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рівняння" sheetId="1" state="visible" r:id="rId1"/>
    <sheet xmlns:r="http://schemas.openxmlformats.org/officeDocument/2006/relationships" name="Журнал змін" sheetId="2" state="visible" r:id="rId2"/>
    <sheet xmlns:r="http://schemas.openxmlformats.org/officeDocument/2006/relationships" name="Ціни постачальників по днях" sheetId="3" state="visible" r:id="rId3"/>
    <sheet xmlns:r="http://schemas.openxmlformats.org/officeDocument/2006/relationships" name="Ваші ціни по днях" sheetId="4" state="visible" r:id="rId4"/>
    <sheet xmlns:r="http://schemas.openxmlformats.org/officeDocument/2006/relationships" name="Пари на перевірку" sheetId="5" state="visible" r:id="rId5"/>
    <sheet xmlns:r="http://schemas.openxmlformats.org/officeDocument/2006/relationships" name="Підсумок" sheetId="6" state="visible" r:id="rId6"/>
  </sheets>
  <definedNames>
    <definedName name="_xlnm._FilterDatabase" localSheetId="0" hidden="1">'Порівняння'!$A$1:$S$526</definedName>
    <definedName name="_xlnm._FilterDatabase" localSheetId="1" hidden="1">'Журнал змін'!$A$1:$I$2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2E7D4F"/>
      <sz val="10"/>
    </font>
    <font>
      <name val="Arial"/>
      <color rgb="001F5FBF"/>
      <sz val="10"/>
      <u val="single"/>
    </font>
    <font>
      <name val="Arial"/>
      <b val="1"/>
      <color rgb="00B8281C"/>
      <sz val="10"/>
    </font>
    <font>
      <name val="Arial"/>
      <i val="1"/>
      <color rgb="005E6D62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2F4A38"/>
      </patternFill>
    </fill>
    <fill>
      <patternFill patternType="solid">
        <fgColor rgb="00FBE3DF"/>
      </patternFill>
    </fill>
    <fill>
      <patternFill patternType="solid">
        <fgColor rgb="00B8281C"/>
      </patternFill>
    </fill>
    <fill>
      <patternFill patternType="solid">
        <fgColor rgb="00FCEFD9"/>
      </patternFill>
    </fill>
    <fill>
      <patternFill patternType="solid">
        <fgColor rgb="009A5B00"/>
      </patternFill>
    </fill>
    <fill>
      <patternFill patternType="solid">
        <fgColor rgb="00DCEF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4" fontId="2" fillId="3" borderId="0" applyAlignment="1" pivotButton="0" quotePrefix="0" xfId="0">
      <alignment vertical="top"/>
    </xf>
    <xf numFmtId="4" fontId="3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0" fontId="0" fillId="3" borderId="0" pivotButton="0" quotePrefix="0" xfId="0"/>
    <xf numFmtId="0" fontId="1" fillId="6" borderId="0" applyAlignment="1" pivotButton="0" quotePrefix="0" xfId="0">
      <alignment vertical="top"/>
    </xf>
    <xf numFmtId="0" fontId="2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4" fontId="2" fillId="5" borderId="0" applyAlignment="1" pivotButton="0" quotePrefix="0" xfId="0">
      <alignment vertical="top"/>
    </xf>
    <xf numFmtId="0" fontId="5" fillId="5" borderId="0" applyAlignment="1" pivotButton="0" quotePrefix="0" xfId="0">
      <alignment vertical="top"/>
    </xf>
    <xf numFmtId="4" fontId="3" fillId="5" borderId="0" applyAlignment="1" pivotButton="0" quotePrefix="0" xfId="0">
      <alignment vertical="top"/>
    </xf>
    <xf numFmtId="164" fontId="2" fillId="5" borderId="0" applyAlignment="1" pivotButton="0" quotePrefix="0" xfId="0">
      <alignment vertical="top"/>
    </xf>
    <xf numFmtId="0" fontId="4" fillId="5" borderId="0" applyAlignment="1" pivotButton="0" quotePrefix="0" xfId="0">
      <alignment vertical="top"/>
    </xf>
    <xf numFmtId="0" fontId="0" fillId="5" borderId="0" pivotButton="0" quotePrefix="0" xfId="0"/>
    <xf numFmtId="0" fontId="2" fillId="7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4" fontId="2" fillId="0" borderId="0" applyAlignment="1" pivotButton="0" quotePrefix="0" xfId="0">
      <alignment vertical="top"/>
    </xf>
    <xf numFmtId="4" fontId="3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dovij-raj.com.ua/p3121436736-tochil'nyy-kamen'-40001000-s&amp;r(123100400)-germaniya.html" TargetMode="External" Id="rId1"/><Relationship Type="http://schemas.openxmlformats.org/officeDocument/2006/relationships/hyperlink" Target="https://sadovij-raj.com.ua/p3121491875-nabor-tochil'nykh-kamney-120240-i-10004000-grit-s&amp;r-(123100402)-germaniya.html" TargetMode="External" Id="rId2"/><Relationship Type="http://schemas.openxmlformats.org/officeDocument/2006/relationships/hyperlink" Target="https://sadovij-raj.com.ua/p2364178366-tochilka-almaznaya-dlya-izognutykh-krayev-ars--ars-pen-(sd-95-pn)-yaponiya.html" TargetMode="External" Id="rId3"/><Relationship Type="http://schemas.openxmlformats.org/officeDocument/2006/relationships/hyperlink" Target="https://sadovij-raj.com.ua/p1735483717-sekator-bosch-easyprune-akkumulyatornyy-(0.600.8b2.100)-germaniya.html" TargetMode="External" Id="rId4"/><Relationship Type="http://schemas.openxmlformats.org/officeDocument/2006/relationships/hyperlink" Target="https://sadovij-raj.com.ua/p1701940354-udobreniye-premium-foliar-premium-foliar-19-19-19+te-15-kg-agrowork-turtsiya.html" TargetMode="External" Id="rId5"/><Relationship Type="http://schemas.openxmlformats.org/officeDocument/2006/relationships/hyperlink" Target="https://sadovij-raj.com.ua/p2924201199-marker-permanentnyy-baumschulen-chernyy-2-mm-(120500200101)-germaniya.html" TargetMode="External" Id="rId6"/><Relationship Type="http://schemas.openxmlformats.org/officeDocument/2006/relationships/hyperlink" Target="https://sadovij-raj.com.ua/p1867364958-kustorez-bahco-p57-25-f-bakho.html" TargetMode="External" Id="rId7"/><Relationship Type="http://schemas.openxmlformats.org/officeDocument/2006/relationships/hyperlink" Target="https://sadovij-raj.com.ua/p1357781331-sekator-bahco-px-m3-dlya-obrezki-sada-+-zapasnoye-lezviye-px-m3-r500p.html" TargetMode="External" Id="rId8"/><Relationship Type="http://schemas.openxmlformats.org/officeDocument/2006/relationships/hyperlink" Target="https://sadovij-raj.com.ua/p1735318268-nozh-mora--morakniv-companion-mg-olive-(11827)-shvetsiya.html" TargetMode="External" Id="rId9"/><Relationship Type="http://schemas.openxmlformats.org/officeDocument/2006/relationships/hyperlink" Target="https://sadovij-raj.com.ua/p2030439201-osadomer-(dozhdemer)-plastikovyy-0-50-mm-lm2-(rain1)-corteva.html" TargetMode="External" Id="rId10"/><Relationship Type="http://schemas.openxmlformats.org/officeDocument/2006/relationships/hyperlink" Target="https://sadovij-raj.com.ua/p1318199258-sekator-akkumulyatornyy-bahco-bcl20ib--bakho.html" TargetMode="External" Id="rId11"/><Relationship Type="http://schemas.openxmlformats.org/officeDocument/2006/relationships/hyperlink" Target="https://ahrotsentr.com.ua/p1819724079-pila-ars--ars-(uv-32e)-serpovidnaya-s-koburoy-yaponiya.html" TargetMode="External" Id="rId12"/><Relationship Type="http://schemas.openxmlformats.org/officeDocument/2006/relationships/hyperlink" Target="https://ahrotsentr.com.ua/p2927500509-etiketki-na-provode-belyye-pvkh-2.0-kh-10-sm-germaniya.html" TargetMode="External" Id="rId13"/><Relationship Type="http://schemas.openxmlformats.org/officeDocument/2006/relationships/hyperlink" Target="https://ahrotsentr.com.ua/p2927538290-etiketki-kolochki-dlya-rasteniy-pet-r-belyye-1.6-kh-10-sm-500-sht.html" TargetMode="External" Id="rId14"/><Relationship Type="http://schemas.openxmlformats.org/officeDocument/2006/relationships/hyperlink" Target="https://sadovij-raj.com.ua/p1985395966-sadovyye-nozhnitsy-dlya-kustov-okat&#183;sune--okatsune-(kst-231)-yaponiya.html" TargetMode="External" Id="rId15"/><Relationship Type="http://schemas.openxmlformats.org/officeDocument/2006/relationships/hyperlink" Target="https://sadovij-raj.com.ua/p2924582524-marker-permanentnyy-edding-400-chernyy-1.0-mm-germaniya.html" TargetMode="External" Id="rId16"/><Relationship Type="http://schemas.openxmlformats.org/officeDocument/2006/relationships/hyperlink" Target="https://sadovij-raj.com.ua/p2924555766-marker-permanentnyy-pancolor-lumocolor-303f-krasnyy-0.6-mm-staedtler-germaniya.html" TargetMode="External" Id="rId17"/><Relationship Type="http://schemas.openxmlformats.org/officeDocument/2006/relationships/hyperlink" Target="https://sadovij-raj.com.ua/p2924440688-marker-permanentnyy-pancolor-lumocolor-303m-chernyy-1.0-mm-(120500200104)-staedtler-germaniya.html" TargetMode="External" Id="rId18"/><Relationship Type="http://schemas.openxmlformats.org/officeDocument/2006/relationships/hyperlink" Target="https://sadovij-raj.com.ua/p1108764202-nozhnitsy-dlya-sbora-urozhaya-p127-19-bahco.html" TargetMode="External" Id="rId19"/><Relationship Type="http://schemas.openxmlformats.org/officeDocument/2006/relationships/hyperlink" Target="https://sadovij-raj.com.ua/p2071858480-sadovyye-nozhnitsy-dlya-kustov-okat&#183;sune--okatsune-(kst-216)-yaponiya.html" TargetMode="External" Id="rId20"/><Relationship Type="http://schemas.openxmlformats.org/officeDocument/2006/relationships/hyperlink" Target="https://sadovij-raj.com.ua/p2484821813-sekator-due-cigni-200-mm-(2c-38020)-italiya.html" TargetMode="External" Id="rId21"/><Relationship Type="http://schemas.openxmlformats.org/officeDocument/2006/relationships/hyperlink" Target="https://sadovij-raj.com.ua/p1104708723-zapasnoye-opornoye-lezviye-dlya-suchkoreza-bahco-p-160-r260a.html" TargetMode="External" Id="rId22"/><Relationship Type="http://schemas.openxmlformats.org/officeDocument/2006/relationships/hyperlink" Target="https://sadovij-raj.com.ua/p2046828239-podvyazka-dlya-rasteniy-12-sm-kh-1000-sht-gibkaya-stal'naya-provoloka-v-bumazhnoy-obolochke-(23fcspe12)-italiya.html" TargetMode="External" Id="rId23"/><Relationship Type="http://schemas.openxmlformats.org/officeDocument/2006/relationships/hyperlink" Target="https://sadovij-raj.com.ua/p2028190492-serp-sadovyy-okat&#183;sune--okatsune-(kst-404)-yaponiya.html" TargetMode="External" Id="rId24"/><Relationship Type="http://schemas.openxmlformats.org/officeDocument/2006/relationships/hyperlink" Target="https://sadovij-raj.com.ua/p2047708469-agrotrubka-(kembrik)-dlya-podvyazki-rasteniy-3-mm-1-kg-230-m-super-extra-cordioli-(23fipegrvs3)-italiya.html" TargetMode="External" Id="rId25"/><Relationship Type="http://schemas.openxmlformats.org/officeDocument/2006/relationships/hyperlink" Target="https://sadovij-raj.com.ua/p2066009575-lopata-sadovaya-nivaki--niwaki-820x160x28-mm-0.98-kg-(lopata_m)-yaponiya.html" TargetMode="External" Id="rId26"/><Relationship Type="http://schemas.openxmlformats.org/officeDocument/2006/relationships/hyperlink" Target="https://sadovij-raj.com.ua/p2372174223-chekhol-kozhanyy&#8203;&#8203;&#8203;&#8203;&#8203;&#8203;&#8203;-okat&#183;sune--okatsune-(kst108)-yaponiya.html" TargetMode="External" Id="rId27"/><Relationship Type="http://schemas.openxmlformats.org/officeDocument/2006/relationships/hyperlink" Target="https://sadovij-raj.com.ua/p2523378799-zapasnoye-lezviye-dlya-vetkoreza-bahco-p280-(r185v).html" TargetMode="External" Id="rId28"/><Relationship Type="http://schemas.openxmlformats.org/officeDocument/2006/relationships/hyperlink" Target="https://sadovij-raj.com.ua/p2030673028-sadovaya-pila-skladnaya-silky-ultra-accel-curve-240-7.5-(446-24)-yaponiya.html" TargetMode="External" Id="rId29"/><Relationship Type="http://schemas.openxmlformats.org/officeDocument/2006/relationships/hyperlink" Target="https://sadovij-raj.com.ua/p2047729184-agrotrubka-(kembrik)-dlya-podvyazki-rasteniy-2-mm-1-kg-320-m-super-extra-cordioli-(23fipegrvs2)-italiya.html" TargetMode="External" Id="rId30"/><Relationship Type="http://schemas.openxmlformats.org/officeDocument/2006/relationships/hyperlink" Target="https://sadovij-raj.com.ua/p2047637483-agrotrubka-(kembrik)-dlya-podvyazki-rasteniy-6-mm-1-kg-98-m-super-extra-cordioli-(23fipegrvs6)-italiya.html" TargetMode="External" Id="rId31"/><Relationship Type="http://schemas.openxmlformats.org/officeDocument/2006/relationships/hyperlink" Target="https://sadovij-raj.com.ua/p1104513432-nabor-bahco-laplander-396-pila-+-knife-2446-nozh-(lap-knife).html" TargetMode="External" Id="rId32"/><Relationship Type="http://schemas.openxmlformats.org/officeDocument/2006/relationships/hyperlink" Target="https://sadovij-raj.com.ua/p1103173737-vysotorez-bahco-p34-27a-f.html" TargetMode="External" Id="rId33"/><Relationship Type="http://schemas.openxmlformats.org/officeDocument/2006/relationships/hyperlink" Target="https://sadovij-raj.com.ua/p1824021205-vosk-dlya-privivki-krasnyy-granulirovannyy-s-fungitsidami-plastigreffe-6535---500-g-(5170007n)-agrichem--italiya.html" TargetMode="External" Id="rId34"/><Relationship Type="http://schemas.openxmlformats.org/officeDocument/2006/relationships/hyperlink" Target="https://sadovij-raj.com.ua/p1097360569-suchkorez-bahco-p160-sl-75.html" TargetMode="External" Id="rId35"/><Relationship Type="http://schemas.openxmlformats.org/officeDocument/2006/relationships/hyperlink" Target="https://sadovij-raj.com.ua/p2046932835-agrotrubka-(kembrik)-dlya-podvyazki-rasteniy-4-mm-1-kg-160-m-super-extra-cordioli-(23fipegrvs4)-italiya.html" TargetMode="External" Id="rId36"/><Relationship Type="http://schemas.openxmlformats.org/officeDocument/2006/relationships/hyperlink" Target="https://sadovij-raj.com.ua/p2047033703-agrotrubka-(kembrik)-dlya-podvyazki-rasteniy-5-mm-1-kg-120-m-super-extra-cordioli-(23fipegrvs5)-italiya.html" TargetMode="External" Id="rId37"/><Relationship Type="http://schemas.openxmlformats.org/officeDocument/2006/relationships/hyperlink" Target="https://sadovij-raj.com.ua/p1103462159-tsentral'nyy-bolt-i-gayka-k-suchkorezu-bahco-p-160-r144pv.html" TargetMode="External" Id="rId38"/><Relationship Type="http://schemas.openxmlformats.org/officeDocument/2006/relationships/hyperlink" Target="https://sadovij-raj.com.ua/p1710032229-vosk-dlya-privivki-roz-plastifina-5470---900-g-(5070007n)-agrichem-italiya.html" TargetMode="External" Id="rId39"/><Relationship Type="http://schemas.openxmlformats.org/officeDocument/2006/relationships/hyperlink" Target="https://sadovij-raj.com.ua/p1813037875-chekhol-kozhanyy-dlya-sekatora-professional'nyy-altuna--altuna-(97004.a)-ispaniya.html" TargetMode="External" Id="rId40"/><Relationship Type="http://schemas.openxmlformats.org/officeDocument/2006/relationships/hyperlink" Target="https://sadovij-raj.com.ua/p2066083380-nozh-rikugatana-s-nerzhaveyushchaya-stal'-dsr1k6-daido-nisaku--nisaku-(njp811)-yaponiya.html" TargetMode="External" Id="rId41"/><Relationship Type="http://schemas.openxmlformats.org/officeDocument/2006/relationships/hyperlink" Target="https://sadovij-raj.com.ua/p2039316124-lopata-sovkovaya--fiskars-ergocomfort-132911-(1001580)-finlyandiya.html" TargetMode="External" Id="rId42"/><Relationship Type="http://schemas.openxmlformats.org/officeDocument/2006/relationships/hyperlink" Target="https://sadovij-raj.com.ua/p2041258111-privivochnyy-nozh-s-otdelitelem-kory-due-buoi-202p-sp-ot-ch-italiya.html" TargetMode="External" Id="rId43"/><Relationship Type="http://schemas.openxmlformats.org/officeDocument/2006/relationships/hyperlink" Target="https://sadovij-raj.com.ua/p1710519015-pasta-arborplast--arborplast-5-kg-dlya-goryachey-privivki-agrichem-italiya.html" TargetMode="External" Id="rId44"/><Relationship Type="http://schemas.openxmlformats.org/officeDocument/2006/relationships/hyperlink" Target="https://sadovij-raj.com.ua/p1817762066-sekator-ars--ars-(120eu)-sadovyy-obvodnoy-yaponiya.html" TargetMode="External" Id="rId45"/><Relationship Type="http://schemas.openxmlformats.org/officeDocument/2006/relationships/hyperlink" Target="https://sadovij-raj.com.ua/p2053771754-sekator-ars--ars-(160zf-3.0-5)-teleskopicheskiy-na-shtange-1.8-3-m-yaponiya.html" TargetMode="External" Id="rId46"/><Relationship Type="http://schemas.openxmlformats.org/officeDocument/2006/relationships/hyperlink" Target="https://sadovij-raj.com.ua/p2063248055-sekator-ars--ars-(160zf-2.0-3)-teleskopicheskiy-na-shtange-1.2-2-m-yaponiya.html" TargetMode="External" Id="rId47"/><Relationship Type="http://schemas.openxmlformats.org/officeDocument/2006/relationships/hyperlink" Target="https://sadovij-raj.com.ua/p2423669419-bol'shoy-sekach-dlya-suchkov-fiskars--fiskars-woodxpert-xa3-126005-(1003621)-finlyandiya.html" TargetMode="External" Id="rId48"/><Relationship Type="http://schemas.openxmlformats.org/officeDocument/2006/relationships/hyperlink" Target="https://sadovij-raj.com.ua/p1685182510-nozh-universal'nyy-fiskars-fiskars-s-chekhlom-k40-125860-(1001622)-finlyandiya.html" TargetMode="External" Id="rId49"/><Relationship Type="http://schemas.openxmlformats.org/officeDocument/2006/relationships/hyperlink" Target="https://sadovij-raj.com.ua/p1696439589-bagor-bol'shoy-fiskars-fiskars-woodxpert-xa22-126007-(1003623)-finlyandiya.html" TargetMode="External" Id="rId50"/><Relationship Type="http://schemas.openxmlformats.org/officeDocument/2006/relationships/hyperlink" Target="https://sadovij-raj.com.ua/p1794903578-pila-ruchnaya-fiskars--fiskars-sw84-123840-(1001620)-finlyandiya.html" TargetMode="External" Id="rId51"/><Relationship Type="http://schemas.openxmlformats.org/officeDocument/2006/relationships/hyperlink" Target="https://sadovij-raj.com.ua/p2435083724-sekator-ploskostnoy-fiskars-fiskars-fingerloop-p44-111440-(1001534)-finlyandiya.html" TargetMode="External" Id="rId52"/><Relationship Type="http://schemas.openxmlformats.org/officeDocument/2006/relationships/hyperlink" Target="https://sadovij-raj.com.ua/p1684796562-nozh-izognutyy-dlya-privivok-fiskars-fiskars-k62-125880-(1001623)-finlyandiya.html" TargetMode="External" Id="rId53"/><Relationship Type="http://schemas.openxmlformats.org/officeDocument/2006/relationships/hyperlink" Target="https://sadovij-raj.com.ua/p1700716023-komplekt-po-ukhodu-za-inventarem-fiskars-fiskars-110990-(1001640)-finlyandiya.html" TargetMode="External" Id="rId54"/><Relationship Type="http://schemas.openxmlformats.org/officeDocument/2006/relationships/hyperlink" Target="https://sadovij-raj.com.ua/p1684589465-vysotorez-ploskostnoy-fiskars-up84-115390-(1001557)-finlyandiya.html" TargetMode="External" Id="rId55"/><Relationship Type="http://schemas.openxmlformats.org/officeDocument/2006/relationships/hyperlink" Target="https://sadovij-raj.com.ua/p2434924086-vysotorez-fiskars-fiskars-quikfit-136525-(1001410)-finlyandiya.html" TargetMode="External" Id="rId56"/><Relationship Type="http://schemas.openxmlformats.org/officeDocument/2006/relationships/hyperlink" Target="https://sadovij-raj.com.ua/p1103462778-zapasnyye-chasti-dlya-suchkoreza-(bolt-i-gayka-dlya-ruchek)-bahco--p160-(-r660v-).html" TargetMode="External" Id="rId57"/><Relationship Type="http://schemas.openxmlformats.org/officeDocument/2006/relationships/hyperlink" Target="https://sadovij-raj.com.ua/p1700781081-vetkorez-bol'shoy-fiskars-fiskars-singlestep-(l)-l39-112450-(1001430)-finlyandiya.html" TargetMode="External" Id="rId58"/><Relationship Type="http://schemas.openxmlformats.org/officeDocument/2006/relationships/hyperlink" Target="https://sadovij-raj.com.ua/p2528412558-pila-vydvizhnaya-fiskars--fiskars-xtract-sw72-123860-(1000612)-finlyandiya.html" TargetMode="External" Id="rId59"/><Relationship Type="http://schemas.openxmlformats.org/officeDocument/2006/relationships/hyperlink" Target="https://sadovij-raj.com.ua/p1696461812-sadovyye-grabli-fiskars-fiskars-solid-135715-(1016036)-finlyandiya.html" TargetMode="External" Id="rId60"/><Relationship Type="http://schemas.openxmlformats.org/officeDocument/2006/relationships/hyperlink" Target="https://sadovij-raj.com.ua/p2436360195-vetkorez-malyy-ploskostnoy-fiskars--fiskars-powergear-(s)-l72-112200-(1001555)-finlyandiya.html" TargetMode="External" Id="rId61"/><Relationship Type="http://schemas.openxmlformats.org/officeDocument/2006/relationships/hyperlink" Target="https://sadovij-raj.com.ua/p2435111835-vetkorez-ploskostnoy-fiskars-fiskars-powergear-(m)-l76-112300-(1001553)-finlyandiya.html" TargetMode="External" Id="rId62"/><Relationship Type="http://schemas.openxmlformats.org/officeDocument/2006/relationships/hyperlink" Target="https://sadovij-raj.com.ua/p1698673281-vetkorez-kontaktnyy-fiskars-fiskars-powerstep-smartfit-l86-112500-(1013564)-finlyandiya.html" TargetMode="External" Id="rId63"/><Relationship Type="http://schemas.openxmlformats.org/officeDocument/2006/relationships/hyperlink" Target="https://sadovij-raj.com.ua/p1685161856-kustorez-fiskars-fiskars-singlestep-hs22-114730-(1001433)-finlyandiya.html" TargetMode="External" Id="rId64"/><Relationship Type="http://schemas.openxmlformats.org/officeDocument/2006/relationships/hyperlink" Target="https://sadovij-raj.com.ua/p1105186247-suchkorez-p173-sl-85--bahco-850mm.html" TargetMode="External" Id="rId65"/><Relationship Type="http://schemas.openxmlformats.org/officeDocument/2006/relationships/hyperlink" Target="https://sadovij-raj.com.ua/p1700776735-sadovyy-sovok-fiskars-fiskars-premium-137200-(1000726)-finlyandiya.html" TargetMode="External" Id="rId66"/><Relationship Type="http://schemas.openxmlformats.org/officeDocument/2006/relationships/hyperlink" Target="https://sadovij-raj.com.ua/p2432748688-nozhnitsy-dlya-travy-i-zhivoy-izgorodi-fiskars--fiskars-powerlevel-gs53-113710-(1001565)-finlyandiya.html" TargetMode="External" Id="rId67"/><Relationship Type="http://schemas.openxmlformats.org/officeDocument/2006/relationships/hyperlink" Target="https://sadovij-raj.com.ua/p1721460348-nozhnitsy-universal'nyye--fiskars--fiskars-s-petley-dlya-pal'tsev-sp45-111450-(1001533)-finlyandiya.html" TargetMode="External" Id="rId68"/><Relationship Type="http://schemas.openxmlformats.org/officeDocument/2006/relationships/hyperlink" Target="https://sadovij-raj.com.ua/p2432565245-nozhnitsy-dlya-zhivoy-izgorodi-s-silovym-privodom-fiskars--fiskars-powergear-hs72-114790-(1000596)-finlyandiya.html" TargetMode="External" Id="rId69"/><Relationship Type="http://schemas.openxmlformats.org/officeDocument/2006/relationships/hyperlink" Target="https://sadovij-raj.com.ua/p2832948613-kul'tivator-ruchnoy-fiskars-quikfit-136511-(1000680)-finlyandiya.html" TargetMode="External" Id="rId70"/><Relationship Type="http://schemas.openxmlformats.org/officeDocument/2006/relationships/hyperlink" Target="https://sadovij-raj.com.ua/p1698553990-vetkorez-malyy-ploskostnoy-fiskars-fiskars-singlestep-(s)-l28-112160-(1001432)-finlyandiya.html" TargetMode="External" Id="rId71"/><Relationship Type="http://schemas.openxmlformats.org/officeDocument/2006/relationships/hyperlink" Target="https://sadovij-raj.com.ua/p2423535755-klin-dlya-rasshchepleniya-vintovoy-fiskars--fiskars-safe-t-120021-(1001615)-finlyandiya.html" TargetMode="External" Id="rId72"/><Relationship Type="http://schemas.openxmlformats.org/officeDocument/2006/relationships/hyperlink" Target="https://sadovij-raj.com.ua/p1694766587-malyy-sekach-dlya-vetok-fiskars-fiskars-woodxpert-126004-(1003609)-finlyandiya.html" TargetMode="External" Id="rId73"/><Relationship Type="http://schemas.openxmlformats.org/officeDocument/2006/relationships/hyperlink" Target="https://sadovij-raj.com.ua/p2433431319-nozhnitsy-dlya-travy-udlinennyye-s-servo-sistemoy-fiskars--fiskars-gs46-113690-(1000590)-finlyandiya.html" TargetMode="External" Id="rId74"/><Relationship Type="http://schemas.openxmlformats.org/officeDocument/2006/relationships/hyperlink" Target="https://sadovij-raj.com.ua/p2423479672-klin-dlya-raskola-breven-fiskars--fiskars-120010-(1001614)-finlyandiya.html" TargetMode="External" Id="rId75"/><Relationship Type="http://schemas.openxmlformats.org/officeDocument/2006/relationships/hyperlink" Target="https://sadovij-raj.com.ua/p2865822999-posadochnaya-vilka-fiskars-solid-137030-(1000696)-finlyandiya.html" TargetMode="External" Id="rId76"/><Relationship Type="http://schemas.openxmlformats.org/officeDocument/2006/relationships/hyperlink" Target="https://sadovij-raj.com.ua/p2456884349-shtanga-fiskars-fiskars-quikfit-(l)1560-mm-136001-(1000661)-finlyandiya.html" TargetMode="External" Id="rId77"/><Relationship Type="http://schemas.openxmlformats.org/officeDocument/2006/relationships/hyperlink" Target="https://sadovij-raj.com.ua/p2432719767-nozhnitsy-dlya-travy-fiskars--fiskars-s50-111090-(1000557)-finlyandiya.html" TargetMode="External" Id="rId78"/><Relationship Type="http://schemas.openxmlformats.org/officeDocument/2006/relationships/hyperlink" Target="https://sadovij-raj.com.ua/p1696424036-klin-dlya-rasshchepleniya-fiskars-fiskars-120020-(1000600)-finlyandiya.html" TargetMode="External" Id="rId79"/><Relationship Type="http://schemas.openxmlformats.org/officeDocument/2006/relationships/hyperlink" Target="https://sadovij-raj.com.ua/p3119809577-plodos&quot;yemnik-nasadka-fiskass--fiskars-(1001562)-finlyandiya.html" TargetMode="External" Id="rId80"/><Relationship Type="http://schemas.openxmlformats.org/officeDocument/2006/relationships/hyperlink" Target="https://sadovij-raj.com.ua/p1689121078-tochilka-dlya-toporov-i-nozhey--fiskars-fiskars-xsharp-120740-(1000601)-finlyandiya.html" TargetMode="External" Id="rId81"/><Relationship Type="http://schemas.openxmlformats.org/officeDocument/2006/relationships/hyperlink" Target="https://sadovij-raj.com.ua/p2451418873-grabli-fiskars-fiskars-quikfit-135514-(1000656)-finlyandiya.html" TargetMode="External" Id="rId82"/><Relationship Type="http://schemas.openxmlformats.org/officeDocument/2006/relationships/hyperlink" Target="https://sadovij-raj.com.ua/p2436332110-vetkorez-bol'shoy-kontaktnyy-fiskars--fiskars-powergear-(l)-l77-112580-(1000583)-finlyandiya.html" TargetMode="External" Id="rId83"/><Relationship Type="http://schemas.openxmlformats.org/officeDocument/2006/relationships/hyperlink" Target="https://sadovij-raj.com.ua/p2433838545-vetkorez-malyy-kontaktnyy-fiskars-fiskars-powergear-powergear-(s)-l31-112170-(1000581)-finlyandiya.html" TargetMode="External" Id="rId84"/><Relationship Type="http://schemas.openxmlformats.org/officeDocument/2006/relationships/hyperlink" Target="https://sadovij-raj.com.ua/p1700732907-nozhnitsy-dlya-travy-s-servo-sistemoy-fiskars-fiskars-gs42-113680-(1000589)-finlyandiya.html" TargetMode="External" Id="rId85"/><Relationship Type="http://schemas.openxmlformats.org/officeDocument/2006/relationships/hyperlink" Target="https://sadovij-raj.com.ua/p2431503333-nozhnitsy-dlya-zhivoy-izgorodi-fiskars--fiskars-powerlever-hs52-114750-(1001564)-finlyandiya.html" TargetMode="External" Id="rId86"/><Relationship Type="http://schemas.openxmlformats.org/officeDocument/2006/relationships/hyperlink" Target="https://sadovij-raj.com.ua/p2432472242-nozhnitsy-dlya-zhivoy-izgorodi-teleskopicheskiye-fiskars--fiskars-smartfit-hs86-114800-(1013565)-finlyandiya.html" TargetMode="External" Id="rId87"/><Relationship Type="http://schemas.openxmlformats.org/officeDocument/2006/relationships/hyperlink" Target="https://sadovij-raj.com.ua/p1698704919-bur-sadovyy-fiskars-fiskars-quikdrill-l-bol'shoy-134730-(1000640)-finlyandiya.html" TargetMode="External" Id="rId88"/><Relationship Type="http://schemas.openxmlformats.org/officeDocument/2006/relationships/hyperlink" Target="https://sadovij-raj.com.ua/p2541520640-grabli-dlya-grunta-16-zubov-fiskars-quikfit-135512-(1000654)-finlyandiya.html" TargetMode="External" Id="rId89"/><Relationship Type="http://schemas.openxmlformats.org/officeDocument/2006/relationships/hyperlink" Target="https://sadovij-raj.com.ua/p1684670860-vetkorez-ploskostnoy-bol'shoy-fiskars-fiskars-singlestep-l38-112460-(1001426)-finlyandiya.html" TargetMode="External" Id="rId90"/><Relationship Type="http://schemas.openxmlformats.org/officeDocument/2006/relationships/hyperlink" Target="https://sadovij-raj.com.ua/p2039221557-bur-sadovyy-fiskars-fiskars-quikdrill-m-sredniy-134720-(1000638)-finlyandiya.html" TargetMode="External" Id="rId91"/><Relationship Type="http://schemas.openxmlformats.org/officeDocument/2006/relationships/hyperlink" Target="https://sadovij-raj.com.ua/p2424693540-sovok-dlya-rassady-fiskars--fiskars-premium-137210-(1000727)-finlyandiya.html" TargetMode="External" Id="rId92"/><Relationship Type="http://schemas.openxmlformats.org/officeDocument/2006/relationships/hyperlink" Target="https://sadovij-raj.com.ua/p2435191456-vetkorez-malyy-kontaktnyy-fiskars-fiskars-powergear-(s)-l71-112180-(1001556)-finlyandiya.html" TargetMode="External" Id="rId93"/><Relationship Type="http://schemas.openxmlformats.org/officeDocument/2006/relationships/hyperlink" Target="https://sadovij-raj.com.ua/p3119842514-sekator-s-khrapovym-mekhanizmom-fiskars--fiskars-powerstep-p83-(111670)-finlyandiya.html" TargetMode="External" Id="rId94"/><Relationship Type="http://schemas.openxmlformats.org/officeDocument/2006/relationships/hyperlink" Target="https://sadovij-raj.com.ua/p2456884349-shtanga-fiskars-fiskars-quikfit-(l)1560-mm-1000661-(136001)-finlyandiya.html" TargetMode="External" Id="rId95"/><Relationship Type="http://schemas.openxmlformats.org/officeDocument/2006/relationships/hyperlink" Target="https://sadovij-raj.com.ua/p2040316333-lezviye-i-raz&quot;yem-zvena-tsepi-dlya-vysotorezov-fiskars-(1026293)-finlyandiya.html" TargetMode="External" Id="rId96"/><Relationship Type="http://schemas.openxmlformats.org/officeDocument/2006/relationships/hyperlink" Target="https://sadovij-raj.com.ua/p2432728041-remkomplekt-verevok-dlya-vysotorezov-fiskars-up82-upx82-(115360)-1027525.html" TargetMode="External" Id="rId97"/><Relationship Type="http://schemas.openxmlformats.org/officeDocument/2006/relationships/hyperlink" Target="https://sadovij-raj.com.ua/p2432762546-remkomplekt-verevok-dlya-vysotorezov-fiskars-upx82-up84-upx86-(115560)-1027526.html" TargetMode="External" Id="rId98"/><Relationship Type="http://schemas.openxmlformats.org/officeDocument/2006/relationships/hyperlink" Target="https://sadovij-raj.com.ua/p2433739253-remkomplekt-ruchek-i-verevok-dlya-universal'nogo-suchkoreza-fiskars-fiskars-upx82-(1026297).html" TargetMode="External" Id="rId99"/><Relationship Type="http://schemas.openxmlformats.org/officeDocument/2006/relationships/hyperlink" Target="https://sadovij-raj.com.ua/p1776283095-kolun-bahco-cuc-0.8-600-bakho.html" TargetMode="External" Id="rId100"/><Relationship Type="http://schemas.openxmlformats.org/officeDocument/2006/relationships/hyperlink" Target="https://sadovij-raj.com.ua/p2433810032-vetkorez-malyy-kontaktnyy-fiskars-fiskars-powergear-(s)-l32-(1026930)-finlyandiya.html" TargetMode="External" Id="rId101"/><Relationship Type="http://schemas.openxmlformats.org/officeDocument/2006/relationships/hyperlink" Target="https://sadovij-raj.com.ua/p1696473139-sapka-dlya-propolki-fiskars-fiskars-ergonomic-oblegchena-136-500-(1000675)-finlyandiya.html" TargetMode="External" Id="rId102"/><Relationship Type="http://schemas.openxmlformats.org/officeDocument/2006/relationships/hyperlink" Target="https://ahrotsentr.com.ua/p2039322678-bur-sadovyy-fiskars-fiskars-quikdrill-s-malyy-134710-(1000636)-finlyandiya.html" TargetMode="External" Id="rId103"/><Relationship Type="http://schemas.openxmlformats.org/officeDocument/2006/relationships/hyperlink" Target="https://sadovij-raj.com.ua/p1105156152-nozh-privivochnyy-p11-bahco.html" TargetMode="External" Id="rId104"/><Relationship Type="http://schemas.openxmlformats.org/officeDocument/2006/relationships/hyperlink" Target="https://sadovij-raj.com.ua/p2433786150-remkomplekt-ruchek-i-verevok-dlya-universal'nogo-suchkoreza-fiskars-fiskars-upx86-(1026296).html" TargetMode="External" Id="rId105"/><Relationship Type="http://schemas.openxmlformats.org/officeDocument/2006/relationships/hyperlink" Target="https://sadovij-raj.com.ua/p2424408736-sadovyy-sovok-fiskars--fiskars-ergo-(1027017)-finlyandiya.html" TargetMode="External" Id="rId106"/><Relationship Type="http://schemas.openxmlformats.org/officeDocument/2006/relationships/hyperlink" Target="https://sadovij-raj.com.ua/p2424450405-sadovyy-sovok-fiskars--fiskars-ergo-(1027018)-finlyandiya.html" TargetMode="External" Id="rId107"/><Relationship Type="http://schemas.openxmlformats.org/officeDocument/2006/relationships/hyperlink" Target="https://sadovij-raj.com.ua/p2039368197-lezviya-dlya-bura-fiskars-quikdrill-pluspart-part-l-bol'shiye-200-mm-134737-(1000641)-finlyandiya.html" TargetMode="External" Id="rId108"/><Relationship Type="http://schemas.openxmlformats.org/officeDocument/2006/relationships/hyperlink" Target="https://sadovij-raj.com.ua/p2040026435-rezhushchaya-golovka-dlya-vysotorezov-fiskars-upx82--upx86-(1026295)-finlyandiya.html" TargetMode="External" Id="rId109"/><Relationship Type="http://schemas.openxmlformats.org/officeDocument/2006/relationships/hyperlink" Target="https://sadovij-raj.com.ua/p1103102454-sekator-bahco-(m)-pg-m2-f-dlya-obrezki-sada,-vinograda,-roz.html" TargetMode="External" Id="rId110"/><Relationship Type="http://schemas.openxmlformats.org/officeDocument/2006/relationships/hyperlink" Target="https://sadovij-raj.com.ua/p2436300375-vetkorez-bol'shoy-ploskostnoy-fiskars--fiskars-powergear-(l)-l78-112590-(1000584)-finlyandiya.html" TargetMode="External" Id="rId111"/><Relationship Type="http://schemas.openxmlformats.org/officeDocument/2006/relationships/hyperlink" Target="https://sadovij-raj.com.ua/p2039272775-lezviya-dlya-bura-fiskars-quikdrill-pluspart-s-malyye-100-mm-134717-(1000637)-finlyandiya.html" TargetMode="External" Id="rId112"/><Relationship Type="http://schemas.openxmlformats.org/officeDocument/2006/relationships/hyperlink" Target="https://sadovij-raj.com.ua/p2435182382-vetkorez-ploskostnoy-fiskars-fiskars-powergear-(m)-l74-112290-(1000582)-finlyandiya.html" TargetMode="External" Id="rId113"/><Relationship Type="http://schemas.openxmlformats.org/officeDocument/2006/relationships/hyperlink" Target="https://sadovij-raj.com.ua/p1776358275-kolun-bahco-suc-1.7-800-bakho.html" TargetMode="External" Id="rId114"/><Relationship Type="http://schemas.openxmlformats.org/officeDocument/2006/relationships/hyperlink" Target="https://sadovij-raj.com.ua/p1566453113-nozhovka-skladnaya-bahco-396-lap.html" TargetMode="External" Id="rId115"/><Relationship Type="http://schemas.openxmlformats.org/officeDocument/2006/relationships/hyperlink" Target="https://sadovij-raj.com.ua/p2032826896-kirka-fiskars--fiskars-isocore-l-(1020166)-finlyandiya.html" TargetMode="External" Id="rId116"/><Relationship Type="http://schemas.openxmlformats.org/officeDocument/2006/relationships/hyperlink" Target="https://sadovij-raj.com.ua/p2432665629-nozhnitsy-dlya-travy-fiskars--fiskars-smartfit-gs40-(1023632)-finlyandiya.html" TargetMode="External" Id="rId117"/><Relationship Type="http://schemas.openxmlformats.org/officeDocument/2006/relationships/hyperlink" Target="https://sadovij-raj.com.ua/p2430253232-perchatki-rabochiye-sadovyye-(10xl)-fiskars--fiskars-160004-(1003477)-finlyandiya.html" TargetMode="External" Id="rId118"/><Relationship Type="http://schemas.openxmlformats.org/officeDocument/2006/relationships/hyperlink" Target="https://sadovij-raj.com.ua/p2430261954-perchatki-rabochiye-sadovyye-(8m)-fiskars--fiskars-160005-(1003478)-finlyandiya.html" TargetMode="External" Id="rId119"/><Relationship Type="http://schemas.openxmlformats.org/officeDocument/2006/relationships/hyperlink" Target="https://sadovij-raj.com.ua/p1776357292-kolun-bahco-suc-1.0-710-bakho.html" TargetMode="External" Id="rId120"/><Relationship Type="http://schemas.openxmlformats.org/officeDocument/2006/relationships/hyperlink" Target="https://sadovij-raj.com.ua/p2431333510-nozhnitsy-dlya-tsvetov-fiskars--fiskars-solid-pruning-shears-sp15-(1051602)-finlyandiya.html" TargetMode="External" Id="rId121"/><Relationship Type="http://schemas.openxmlformats.org/officeDocument/2006/relationships/hyperlink" Target="https://sadovij-raj.com.ua/p1684031572-pila-sadovaya-fiskars-xtract-(l)-sw75-123880-(1000614)-finlyandiya.html" TargetMode="External" Id="rId122"/><Relationship Type="http://schemas.openxmlformats.org/officeDocument/2006/relationships/hyperlink" Target="https://sadovij-raj.com.ua/p1776358024-turisticheskiy-topor-bahco-hfgps-0.7-400fg.html" TargetMode="External" Id="rId123"/><Relationship Type="http://schemas.openxmlformats.org/officeDocument/2006/relationships/hyperlink" Target="https://sadovij-raj.com.ua/p1105198270-nozhovka-vykruzhnaya-300-mm-np-12-com-bahco.html" TargetMode="External" Id="rId124"/><Relationship Type="http://schemas.openxmlformats.org/officeDocument/2006/relationships/hyperlink" Target="https://sadovij-raj.com.ua/p1867849767-nozhnitsy-dlya-ctrizhki-travy-bahco-gs180f-bakho.html" TargetMode="External" Id="rId125"/><Relationship Type="http://schemas.openxmlformats.org/officeDocument/2006/relationships/hyperlink" Target="https://sadovij-raj.com.ua/p1566306076-suchkorez-povyshennoy-moshchnosti-bahco-p19-80-f.html" TargetMode="External" Id="rId126"/><Relationship Type="http://schemas.openxmlformats.org/officeDocument/2006/relationships/hyperlink" Target="https://sadovij-raj.com.ua/p1696446349-kustorez-fiskars-fiskars-solid-hs21-(1026827)-finlyandiya.html" TargetMode="External" Id="rId127"/><Relationship Type="http://schemas.openxmlformats.org/officeDocument/2006/relationships/hyperlink" Target="https://sadovij-raj.com.ua/p2059381870-suchkorez-kontaktnyy-fiskars-fiskars-powergearx-(l)-lx99-112440-(1020189)-finlyandiya.html" TargetMode="External" Id="rId128"/><Relationship Type="http://schemas.openxmlformats.org/officeDocument/2006/relationships/hyperlink" Target="https://sadovij-raj.com.ua/p2059329389-suchkorez-ploskostnoy-fiskars-fiskars-powergearx-(l)-lx98-112490-(1020188)-finlyandiya.html" TargetMode="External" Id="rId129"/><Relationship Type="http://schemas.openxmlformats.org/officeDocument/2006/relationships/hyperlink" Target="https://sadovij-raj.com.ua/p2059317674-suchkorez-ploskostnoy-fiskars-fiskars-powergearx-m-lx94-112390-(1020187)-finlyandiya.html" TargetMode="External" Id="rId130"/><Relationship Type="http://schemas.openxmlformats.org/officeDocument/2006/relationships/hyperlink" Target="https://sadovij-raj.com.ua/p1761149799-vetkorez-ploskostnoy-usilennyy-s-kryukom-fiskars-fiskars-powergear-s-l70-(1002104).html" TargetMode="External" Id="rId131"/><Relationship Type="http://schemas.openxmlformats.org/officeDocument/2006/relationships/hyperlink" Target="https://sadovij-raj.com.ua/p1685148718-lopata-universal'naya-skladnaya-fiskars-fiskars-131320-(1000621)-finlyandiya.html" TargetMode="External" Id="rId132"/><Relationship Type="http://schemas.openxmlformats.org/officeDocument/2006/relationships/hyperlink" Target="https://sadovij-raj.com.ua/p1684782656-nozh-dlya-privivaniya-rasteniy-fiskars-fiskars-k60-125900-(1001625)-finlyandiya.html" TargetMode="External" Id="rId133"/><Relationship Type="http://schemas.openxmlformats.org/officeDocument/2006/relationships/hyperlink" Target="https://sadovij-raj.com.ua/p1713058659-tochilka-dlya-toporov-i-nozhey-fiskars-fiskars-solid-(1026797)-finlyandiya.html" TargetMode="External" Id="rId134"/><Relationship Type="http://schemas.openxmlformats.org/officeDocument/2006/relationships/hyperlink" Target="https://sadovij-raj.com.ua/p1684637695-sekator-ploskostnoy-fiskars-fiskars-single-step-p26-111260-(1000567)-finlyandiya.html" TargetMode="External" Id="rId135"/><Relationship Type="http://schemas.openxmlformats.org/officeDocument/2006/relationships/hyperlink" Target="https://sadovij-raj.com.ua/p1684109086-pila-sadovaya--fiskars-fiskars-sw-330-123330-(1020199)-finlyandiya.html" TargetMode="External" Id="rId136"/><Relationship Type="http://schemas.openxmlformats.org/officeDocument/2006/relationships/hyperlink" Target="https://sadovij-raj.com.ua/p2059445401-suchkorez-kontaktnyy-s-khrapovym-mekhanizmom-fiskars-powerstep-l85-112850-(1000585)-finlyandiya.html" TargetMode="External" Id="rId137"/><Relationship Type="http://schemas.openxmlformats.org/officeDocument/2006/relationships/hyperlink" Target="https://sadovij-raj.com.ua/p2278958617-udobreniye-grogreen-grinta-start-npk-13-40-13-fulvk-+-te-25-kg-lima-bel'giya.html" TargetMode="External" Id="rId138"/><Relationship Type="http://schemas.openxmlformats.org/officeDocument/2006/relationships/hyperlink" Target="https://sadovij-raj.com.ua/p2277920109-udobreniye-grogreen-npk-13-40-13+te-25-kg-lima-bel'giya.html" TargetMode="External" Id="rId139"/><Relationship Type="http://schemas.openxmlformats.org/officeDocument/2006/relationships/hyperlink" Target="https://sadovij-raj.com.ua/p1698745111-posadochnaya-sapa-fiskars-fiskars-solid-137040-(1001601)-finlyandiya.html" TargetMode="External" Id="rId140"/><Relationship Type="http://schemas.openxmlformats.org/officeDocument/2006/relationships/hyperlink" Target="https://sadovij-raj.com.ua/p2431297396-nozhnitsy-dlya-tsvetov-fiskars--fiskars-solid-micro-tip-sp13-(1051600)-finlyandiya.html" TargetMode="External" Id="rId141"/><Relationship Type="http://schemas.openxmlformats.org/officeDocument/2006/relationships/hyperlink" Target="https://sadovij-raj.com.ua/p2040335027-sekator-professional'nyy-fiskars-fiskars-pb-8-m-111850-(1020204)-finlyandiya.html" TargetMode="External" Id="rId142"/><Relationship Type="http://schemas.openxmlformats.org/officeDocument/2006/relationships/hyperlink" Target="https://sadovij-raj.com.ua/p2279996229-udobreniye-grogreen-npk-15-30-15+2mgo+te-25-kg-lima-bel'giya.html" TargetMode="External" Id="rId143"/><Relationship Type="http://schemas.openxmlformats.org/officeDocument/2006/relationships/hyperlink" Target="https://sadovij-raj.com.ua/p1104481428-napil'nik-rombicheskiy-zatochniy-125mm-&quot;wasa&quot;-4-272-05-3-2-bahco-dlya-pil.html" TargetMode="External" Id="rId144"/><Relationship Type="http://schemas.openxmlformats.org/officeDocument/2006/relationships/hyperlink" Target="https://sadovij-raj.com.ua/p2425942513-nozh-fiskars-fiskars-s-tochilkoy-(156017)-1023618-finlyandiya.html" TargetMode="External" Id="rId145"/><Relationship Type="http://schemas.openxmlformats.org/officeDocument/2006/relationships/hyperlink" Target="https://sadovij-raj.com.ua/p1664152920-nozh-sadovyy-krivoy-antonini-16-sm-stal'---c67-(2616n)--italiya.html" TargetMode="External" Id="rId146"/><Relationship Type="http://schemas.openxmlformats.org/officeDocument/2006/relationships/hyperlink" Target="https://sadovij-raj.com.ua/p1757655239-pila-sadovaya-ruchnaya-fiskars-solid-sw16-(1028376)-finlyandiya.html" TargetMode="External" Id="rId147"/><Relationship Type="http://schemas.openxmlformats.org/officeDocument/2006/relationships/hyperlink" Target="https://sadovij-raj.com.ua/p2042479703-topor-molot-fiskars-fiskars-x46-(1001705)-finlyandiya.html" TargetMode="External" Id="rId148"/><Relationship Type="http://schemas.openxmlformats.org/officeDocument/2006/relationships/hyperlink" Target="https://sadovij-raj.com.ua/p1684701646-pila-sadovaya-malaya-fiskars-fiskars-sw37-(1028374)-finlyandiya.html" TargetMode="External" Id="rId149"/><Relationship Type="http://schemas.openxmlformats.org/officeDocument/2006/relationships/hyperlink" Target="https://sadovij-raj.com.ua/p1105187588-suchkorez-teleskopicheskiy-bahco-pg-19-f--bahco--700-do-900mm-bakho.html" TargetMode="External" Id="rId150"/><Relationship Type="http://schemas.openxmlformats.org/officeDocument/2006/relationships/hyperlink" Target="https://sadovij-raj.com.ua/p2280908236-udobreniye-grogreen-grinta-balans-npk-20-20-20+-1-fulvk-+-te-25-kg-lima-bel'giya.html" TargetMode="External" Id="rId151"/><Relationship Type="http://schemas.openxmlformats.org/officeDocument/2006/relationships/hyperlink" Target="https://sadovij-raj.com.ua/p1713070104-nozh-universal'nyy-fiskars-fiskars-s-tochilom-hardware-(1023617)-finlyandiya.html" TargetMode="External" Id="rId152"/><Relationship Type="http://schemas.openxmlformats.org/officeDocument/2006/relationships/hyperlink" Target="https://sadovij-raj.com.ua/p1095604406-&#8203;&#8203;&#8203;&#8203;&#8203;&#8203;&#8203;nozh-dlya-privivki-victorinox-3.91.40-shveytsariya.html" TargetMode="External" Id="rId153"/><Relationship Type="http://schemas.openxmlformats.org/officeDocument/2006/relationships/hyperlink" Target="https://sadovij-raj.com.ua/p2280183643-udobreniye-grogreen-npk-18-18-18+3mgo+te-25-kg-lima-bel'giya.html" TargetMode="External" Id="rId154"/><Relationship Type="http://schemas.openxmlformats.org/officeDocument/2006/relationships/hyperlink" Target="https://sadovij-raj.com.ua/p1694875641-topor-kolun-fiskars-fiskars-x27-xxl-122503-(1015644)-finlyandiya.html" TargetMode="External" Id="rId155"/><Relationship Type="http://schemas.openxmlformats.org/officeDocument/2006/relationships/hyperlink" Target="https://sadovij-raj.com.ua/p3118890783-lopata-shtykovaya-70-mm-fiskass--fiskars-(1001574)-finlyandiya.html" TargetMode="External" Id="rId156"/><Relationship Type="http://schemas.openxmlformats.org/officeDocument/2006/relationships/hyperlink" Target="https://sadovij-raj.com.ua/p2059249425-suchkorez-ploskostnoy-fiskars-fiskars-powergearx-(s)-lx92-112260-(1020186)-finlyandiya.html" TargetMode="External" Id="rId157"/><Relationship Type="http://schemas.openxmlformats.org/officeDocument/2006/relationships/hyperlink" Target="https://sadovij-raj.com.ua/p2425849546-instrument-dlya-udaleniya-sornyakov-fiskars--fiskars-white-oblegchennyy-139940-(1020127)-finlyandiya.html" TargetMode="External" Id="rId158"/><Relationship Type="http://schemas.openxmlformats.org/officeDocument/2006/relationships/hyperlink" Target="https://sadovij-raj.com.ua/p1566488599-vysotorez-bahco-p34-37-bakho.html" TargetMode="External" Id="rId159"/><Relationship Type="http://schemas.openxmlformats.org/officeDocument/2006/relationships/hyperlink" Target="https://sadovij-raj.com.ua/p2924828109-udobreniye-leda--leda-npk-13-40-13+1mgo+te+gs+amino-25-kg-niderlandy.html" TargetMode="External" Id="rId160"/><Relationship Type="http://schemas.openxmlformats.org/officeDocument/2006/relationships/hyperlink" Target="https://sadovij-raj.com.ua/p1684663579-sekator-professional'nyy-fiskars-fiskars-p90-111960-(1001530)-finlyandiya.html" TargetMode="External" Id="rId161"/><Relationship Type="http://schemas.openxmlformats.org/officeDocument/2006/relationships/hyperlink" Target="https://sadovij-raj.com.ua/p1696468794-motyga-fiskars-fiskars-solid-135713-(1016035)-finlyandiya.html" TargetMode="External" Id="rId162"/><Relationship Type="http://schemas.openxmlformats.org/officeDocument/2006/relationships/hyperlink" Target="https://sadovij-raj.com.ua/p2432704690-nozhnitsy-dlya-travy-fiskars--fiskars-solid-gs21-(1026826)-finlyandiya.html" TargetMode="External" Id="rId163"/><Relationship Type="http://schemas.openxmlformats.org/officeDocument/2006/relationships/hyperlink" Target="https://sadovij-raj.com.ua/p2425811219-instrument-dlya-udaleniya-sornyakov-fiskars--fiskars-xact-139950-(1020126)-finlyandiya.html" TargetMode="External" Id="rId164"/><Relationship Type="http://schemas.openxmlformats.org/officeDocument/2006/relationships/hyperlink" Target="https://sadovij-raj.com.ua/p2431451476-nozhnitsy-dlya-zhivoy-izgorodi-fiskars--fiskars-powergear-x-hsx92-114006-(1023631)-finlyandiya.html" TargetMode="External" Id="rId165"/><Relationship Type="http://schemas.openxmlformats.org/officeDocument/2006/relationships/hyperlink" Target="https://sadovij-raj.com.ua/p2426533342-okantovshchik-krayev-gazona-fiskars--fiskars-solid-5371-(1011617)-finlyandiya.html" TargetMode="External" Id="rId166"/><Relationship Type="http://schemas.openxmlformats.org/officeDocument/2006/relationships/hyperlink" Target="https://sadovij-raj.com.ua/p3119785689-pila-nasadka-dlya-vysotoreza-fiskars--fiskars-upx80-(1023633)-finlyandiya.html" TargetMode="External" Id="rId167"/><Relationship Type="http://schemas.openxmlformats.org/officeDocument/2006/relationships/hyperlink" Target="https://sadovij-raj.com.ua/p2425880774-instrument-dlya-udaleniya-sornyakov-fiskars--fiskars-smartfit-teleskopicheskiy-139960-(1020125)-finlyandiya.html" TargetMode="External" Id="rId168"/><Relationship Type="http://schemas.openxmlformats.org/officeDocument/2006/relationships/hyperlink" Target="https://sadovij-raj.com.ua/p2529166234-pila-luchkovaya-fiskars--fiskars-sw31-124810-(1000615)-finlyandiya.html" TargetMode="External" Id="rId169"/><Relationship Type="http://schemas.openxmlformats.org/officeDocument/2006/relationships/hyperlink" Target="https://sadovij-raj.com.ua/p1566350158-obreznaya-pila-v-chekhle-bahco-5128-js-h.html" TargetMode="External" Id="rId170"/><Relationship Type="http://schemas.openxmlformats.org/officeDocument/2006/relationships/hyperlink" Target="https://sadovij-raj.com.ua/p1776347972-kolun-bahco-suc-0.9-600-bakho.html" TargetMode="External" Id="rId171"/><Relationship Type="http://schemas.openxmlformats.org/officeDocument/2006/relationships/hyperlink" Target="https://sadovij-raj.com.ua/p2528502172-pila-luchkovaya-fiskars--fiskars-sw30-124800-(1001621)-finlyandiya.html" TargetMode="External" Id="rId172"/><Relationship Type="http://schemas.openxmlformats.org/officeDocument/2006/relationships/hyperlink" Target="https://sadovij-raj.com.ua/p1685120426-vysotorez-teleskopicheskiy-fiskars--fiskars-powergear-upx86-(1023624)-finlyandiya.html" TargetMode="External" Id="rId173"/><Relationship Type="http://schemas.openxmlformats.org/officeDocument/2006/relationships/hyperlink" Target="https://sadovij-raj.com.ua/p2424584317-sadovyy-sovok-fiskars--fiskars-xact-(1027043)-finlyandiya.html" TargetMode="External" Id="rId174"/><Relationship Type="http://schemas.openxmlformats.org/officeDocument/2006/relationships/hyperlink" Target="https://sadovij-raj.com.ua/p2801090819-zakhvat-dlya-musora-fiskars---fiskars-solid-(1015681)-finlyandiya.html" TargetMode="External" Id="rId175"/><Relationship Type="http://schemas.openxmlformats.org/officeDocument/2006/relationships/hyperlink" Target="https://sadovij-raj.com.ua/p1684687874-pila-sadovaya-bol'shaya-fiskars-fiskars-sw47-(1028375)-finlyandiya.html" TargetMode="External" Id="rId176"/><Relationship Type="http://schemas.openxmlformats.org/officeDocument/2006/relationships/hyperlink" Target="https://sadovij-raj.com.ua/p1696348392-topor-kolun-fiskars-fiskars-s-x11-122443-(1015640)-finlyandiya.html" TargetMode="External" Id="rId177"/><Relationship Type="http://schemas.openxmlformats.org/officeDocument/2006/relationships/hyperlink" Target="https://sadovij-raj.com.ua/p2433561981-vysotorez-fiskars-fiskars-powergear-upx82-(1023625)-finlyandiya.html" TargetMode="External" Id="rId178"/><Relationship Type="http://schemas.openxmlformats.org/officeDocument/2006/relationships/hyperlink" Target="https://sadovij-raj.com.ua/p1684580039-nozh-fiskars-fiskars-s-tochilkoy-156018-(1023619)-finlyandiya.html" TargetMode="External" Id="rId179"/><Relationship Type="http://schemas.openxmlformats.org/officeDocument/2006/relationships/hyperlink" Target="https://sadovij-raj.com.ua/p1694828535-topor-molot-fiskars--fiskars-x37-122160-(1001704)-finlyandiya.html" TargetMode="External" Id="rId180"/><Relationship Type="http://schemas.openxmlformats.org/officeDocument/2006/relationships/hyperlink" Target="https://sadovij-raj.com.ua/p1776300904-kolun-bahco-suc-0.7-450-bakho.html" TargetMode="External" Id="rId181"/><Relationship Type="http://schemas.openxmlformats.org/officeDocument/2006/relationships/hyperlink" Target="https://sadovij-raj.com.ua/p1696373693-topor-kolun-fiskars-fiskars-norden-n12-1051144-finlyandiya.html" TargetMode="External" Id="rId182"/><Relationship Type="http://schemas.openxmlformats.org/officeDocument/2006/relationships/hyperlink" Target="https://sadovij-raj.com.ua/p1696294801-topor-kolun-fiskars-fiskars-x17-m-122-463-(1015641)-finlyandiya.html" TargetMode="External" Id="rId183"/><Relationship Type="http://schemas.openxmlformats.org/officeDocument/2006/relationships/hyperlink" Target="https://sadovij-raj.com.ua/p2823824082-ruchnoy-kul'tivator-fiskars-quikfit-136517-(1000685)-finlyandiya.html" TargetMode="External" Id="rId184"/><Relationship Type="http://schemas.openxmlformats.org/officeDocument/2006/relationships/hyperlink" Target="https://sadovij-raj.com.ua/p1684099119-pila-sadovaya-fiskars-fiskars-sw-240-123240-(1020200)-finlyandiya.html" TargetMode="External" Id="rId185"/><Relationship Type="http://schemas.openxmlformats.org/officeDocument/2006/relationships/hyperlink" Target="https://sadovij-raj.com.ua/p1685229508-lopata-sapernaya-fiskars-fiskars-solid-1066715-finlyandiya.html" TargetMode="External" Id="rId186"/><Relationship Type="http://schemas.openxmlformats.org/officeDocument/2006/relationships/hyperlink" Target="https://sadovij-raj.com.ua/p1566393447-pila-skladnaya-obreznaya-bahco-396-hp.html" TargetMode="External" Id="rId187"/><Relationship Type="http://schemas.openxmlformats.org/officeDocument/2006/relationships/hyperlink" Target="https://sadovij-raj.com.ua/p1103128245-sekator-bahco-(l)-pg-l2-f-dlya-obrezki-sada,-vinograda,-roz.html" TargetMode="External" Id="rId188"/><Relationship Type="http://schemas.openxmlformats.org/officeDocument/2006/relationships/hyperlink" Target="https://sadovij-raj.com.ua/p2099368556-pila-obrizna-bahco-396-js-bakho.html" TargetMode="External" Id="rId189"/><Relationship Type="http://schemas.openxmlformats.org/officeDocument/2006/relationships/hyperlink" Target="https://sadovij-raj.com.ua/p2430227227-perchatki-rabochiye-zimniye-(10xl)-fiskars--fiskars-160007-(1015447)-finlyandiya.html" TargetMode="External" Id="rId190"/><Relationship Type="http://schemas.openxmlformats.org/officeDocument/2006/relationships/hyperlink" Target="https://sadovij-raj.com.ua/p1696286551-topor-kolun-fiskars-fiskars-x21-l-122-473-(1015642)-finlyandiya.html" TargetMode="External" Id="rId191"/><Relationship Type="http://schemas.openxmlformats.org/officeDocument/2006/relationships/hyperlink" Target="https://sadovij-raj.com.ua/p2426949668-nozhnitsy-dlya-travy-fiskars-fiskars-white-gs41-(1026917)-finlyandiya.html" TargetMode="External" Id="rId192"/><Relationship Type="http://schemas.openxmlformats.org/officeDocument/2006/relationships/hyperlink" Target="https://sadovij-raj.com.ua/p2430183955-shtanga-udlinitel'naya-fiskars--fiskars-up80-110460-(1001560)-finlyandiya.html" TargetMode="External" Id="rId193"/><Relationship Type="http://schemas.openxmlformats.org/officeDocument/2006/relationships/hyperlink" Target="https://sadovij-raj.com.ua/p1700746926-lopata-dlya-sazhentsev-fiskars-fiskars-(181e)-131470-(1018606)-finlyandiya.html" TargetMode="External" Id="rId194"/><Relationship Type="http://schemas.openxmlformats.org/officeDocument/2006/relationships/hyperlink" Target="https://sadovij-raj.com.ua/p2040171672-sekator-professional'nyy-fiskars-fiskars-pb-8-l-111870-(1020203)-finlyandiya.html" TargetMode="External" Id="rId195"/><Relationship Type="http://schemas.openxmlformats.org/officeDocument/2006/relationships/hyperlink" Target="https://sadovij-raj.com.ua/p1696354795-universal'nyy-topor-fiskars-fiskars-xs-x7-121423-(1015618)-finlyandiya.html" TargetMode="External" Id="rId196"/><Relationship Type="http://schemas.openxmlformats.org/officeDocument/2006/relationships/hyperlink" Target="https://sadovij-raj.com.ua/p1696285222-topor-kolun-fiskars-fiskars-x25-xl-122483-(1015643)-finlyandiya.html" TargetMode="External" Id="rId197"/><Relationship Type="http://schemas.openxmlformats.org/officeDocument/2006/relationships/hyperlink" Target="https://ahrotsentr.com.ua/p2079292638-suchkorez-ploskostnoy-fiskars-fiskars-quantum-l108-112630-(1001435)-finlyandiya.html" TargetMode="External" Id="rId198"/><Relationship Type="http://schemas.openxmlformats.org/officeDocument/2006/relationships/hyperlink" Target="https://sadovij-raj.com.ua/p1724384065-tochil'nyy-instrument-felko--felco-904.html" TargetMode="External" Id="rId199"/><Relationship Type="http://schemas.openxmlformats.org/officeDocument/2006/relationships/hyperlink" Target="https://sadovij-raj.com.ua/p2618256888-sekator-tipa-nozhnitsy-kamaki--kamaki-(z-26k)-yaponiya.html" TargetMode="External" Id="rId200"/><Relationship Type="http://schemas.openxmlformats.org/officeDocument/2006/relationships/hyperlink" Target="https://sadovij-raj.com.ua/p2432400289-nozhnitsy-dlya-zhivoy-izgorodi-fiskars--fiskars-white-hs53-(1026931)-finlyandiya.html" TargetMode="External" Id="rId201"/><Relationship Type="http://schemas.openxmlformats.org/officeDocument/2006/relationships/hyperlink" Target="https://sadovij-raj.com.ua/p1653277021-nozh-due-buoi-202ap-dlya-privivki-universal'nyy-italiya.html" TargetMode="External" Id="rId202"/><Relationship Type="http://schemas.openxmlformats.org/officeDocument/2006/relationships/hyperlink" Target="https://sadovij-raj.com.ua/p1685173475-lopata-shtykovaya-fiskars-fiskars-ergonomic-1001568-(1066708)-finlyandiya.html" TargetMode="External" Id="rId203"/><Relationship Type="http://schemas.openxmlformats.org/officeDocument/2006/relationships/hyperlink" Target="https://sadovij-raj.com.ua/p1683706656-lopata-shtykovaya-fiskars-fiskars-solid--1003455-(1066716)-finlyandiya.html" TargetMode="External" Id="rId204"/><Relationship Type="http://schemas.openxmlformats.org/officeDocument/2006/relationships/hyperlink" Target="https://sadovij-raj.com.ua/p1710172029-sekator-dlya-privivki-(20-mm-rez-v---lezviye)-innexta-(4940003a)-stoker-italiya.html" TargetMode="External" Id="rId205"/><Relationship Type="http://schemas.openxmlformats.org/officeDocument/2006/relationships/hyperlink" Target="https://sadovij-raj.com.ua/p3102039688-udobreniye-saykin-premium--saikin-premium-18-18-18+m&#183;e+yeav-2-kg-turtsiya.html" TargetMode="External" Id="rId206"/><Relationship Type="http://schemas.openxmlformats.org/officeDocument/2006/relationships/hyperlink" Target="https://sadovij-raj.com.ua/p1794072578-sekator-dlya-privivki-due-buoi-30021-italiya.html" TargetMode="External" Id="rId207"/><Relationship Type="http://schemas.openxmlformats.org/officeDocument/2006/relationships/hyperlink" Target="https://sadovij-raj.com.ua/p2041178156-nozh-antonini-old-bear-s-olivkovoy-rukoyatkoy-19-sm-(930719lu)-italiya.html" TargetMode="External" Id="rId208"/><Relationship Type="http://schemas.openxmlformats.org/officeDocument/2006/relationships/hyperlink" Target="https://sadovij-raj.com.ua/p3101997503-udobreniye-saykin-premium--saikin-premium-10-50-10+m&#183;e+eav-2-kg-turtsiya.html" TargetMode="External" Id="rId209"/><Relationship Type="http://schemas.openxmlformats.org/officeDocument/2006/relationships/hyperlink" Target="https://sadovij-raj.com.ua/p2039320131-lezviya-dlya-bura-fiskars-quikdrill-pluspart-part-m-sredniye-150-mm-134727-(1000639)-finlyandiya.html" TargetMode="External" Id="rId210"/><Relationship Type="http://schemas.openxmlformats.org/officeDocument/2006/relationships/hyperlink" Target="https://sadovij-raj.com.ua/p1994267440-lopata-shtykovaya--fiskars-xact-m-131482-(1003684)-finlyandiya.html" TargetMode="External" Id="rId211"/><Relationship Type="http://schemas.openxmlformats.org/officeDocument/2006/relationships/hyperlink" Target="https://sadovij-raj.com.ua/p1540529361-suchkorez-bahco-p140-f-bakho.html" TargetMode="External" Id="rId212"/><Relationship Type="http://schemas.openxmlformats.org/officeDocument/2006/relationships/hyperlink" Target="https://sadovij-raj.com.ua/p2266703575-kustorez-bahco-p59-25-f-bakho.html" TargetMode="External" Id="rId213"/><Relationship Type="http://schemas.openxmlformats.org/officeDocument/2006/relationships/hyperlink" Target="https://sadovij-raj.com.ua/p1557347470-sekator-ars--ars-(180zr-3.0-5)-teleskopicheskiy-na-shtange-1.8-3-m-povorotnaya-golova-yaponiya.html" TargetMode="External" Id="rId214"/><Relationship Type="http://schemas.openxmlformats.org/officeDocument/2006/relationships/hyperlink" Target="https://sadovij-raj.com.ua/p1710169040-nozhi-dlya-privivochnogo-sekatora-v---lezviye-innexta-(4940004a)-stoker-italiya.html" TargetMode="External" Id="rId215"/><Relationship Type="http://schemas.openxmlformats.org/officeDocument/2006/relationships/hyperlink" Target="https://sadovij-raj.com.ua/p2423740737-malyy-sekach-dlya-suchkov-fiskars--fiskars-solid-s3-(1051087)-finlyandiya.html" TargetMode="External" Id="rId216"/><Relationship Type="http://schemas.openxmlformats.org/officeDocument/2006/relationships/hyperlink" Target="https://sadovij-raj.com.ua/p2618134747-sekator-tipa-nozhnitsy-kamaki--kamaki-(710s)-yaponiya.html" TargetMode="External" Id="rId217"/><Relationship Type="http://schemas.openxmlformats.org/officeDocument/2006/relationships/hyperlink" Target="https://sadovij-raj.com.ua/p1696771802-universal'nyy-topor-fiskars-fiskars-s-x10-121443-(1015619)-finlyandiya.html" TargetMode="External" Id="rId218"/><Relationship Type="http://schemas.openxmlformats.org/officeDocument/2006/relationships/hyperlink" Target="https://sadovij-raj.com.ua/p1994403316-lopata-shtykovaya-fiskars-xact-l-131483-(1003683)-finlyandiya.html" TargetMode="External" Id="rId219"/><Relationship Type="http://schemas.openxmlformats.org/officeDocument/2006/relationships/hyperlink" Target="https://sadovij-raj.com.ua/p1796880652-nozhnitsy-dlya-kustov-ars--ars-(k-900z)-yaponiya.html" TargetMode="External" Id="rId220"/><Relationship Type="http://schemas.openxmlformats.org/officeDocument/2006/relationships/hyperlink" Target="https://sadovij-raj.com.ua/p2071803343-sadovyye-nozhnitsy-dlya-kustov-okat&#183;sune--okatsune-(kst205)-yaponiya.html" TargetMode="External" Id="rId221"/><Relationship Type="http://schemas.openxmlformats.org/officeDocument/2006/relationships/hyperlink" Target="https://sadovij-raj.com.ua/p1103427491-sadovaya-obreznaya-pila-bahco-4211-14-6t-(s-zakalennymi-zub'yami-)-360-mm.html" TargetMode="External" Id="rId222"/><Relationship Type="http://schemas.openxmlformats.org/officeDocument/2006/relationships/hyperlink" Target="https://sadovij-raj.com.ua/p2439888614-komplekt-lezviy-i-vintov-s-gaykami-dlya-sekatorov-ars-vs-8xz--vs-8xr-(vs-8x-1)-yaponiya.html" TargetMode="External" Id="rId223"/><Relationship Type="http://schemas.openxmlformats.org/officeDocument/2006/relationships/hyperlink" Target="https://sadovij-raj.com.ua/p1714941800-pila-ars-turbokat--ars-turbocut-(ct-42pro)-serpovidnaya-s-koburoy-yaponiya.html" TargetMode="External" Id="rId224"/><Relationship Type="http://schemas.openxmlformats.org/officeDocument/2006/relationships/hyperlink" Target="https://sadovij-raj.com.ua/p3193270201-planirovshchik-grunta-bez-drevka-smart-reyn--smart-rain-(sr-l-590)-ukraina.html" TargetMode="External" Id="rId225"/><Relationship Type="http://schemas.openxmlformats.org/officeDocument/2006/relationships/hyperlink" Target="https://ahrotsentr.com.ua/p3200160101-planirovshchik-grunta-bez-cherenka-smart-reyn--smart-rain-(sr-l-590)-ukraina.html" TargetMode="External" Id="rId226"/><Relationship Type="http://schemas.openxmlformats.org/officeDocument/2006/relationships/hyperlink" Target="https://sadovij-raj.com.ua/p1103462392-zapasnyye-stopory-dlya-suchkoreza-p-160--r516v-bahco.html" TargetMode="External" Id="rId227"/><Relationship Type="http://schemas.openxmlformats.org/officeDocument/2006/relationships/hyperlink" Target="https://sadovij-raj.com.ua/p1104457498-sadovaya-obreznaya-pila-bahco-4212-14-6t-(s-peretachivayemymi-zub'yami)-360mm.html" TargetMode="External" Id="rId228"/><Relationship Type="http://schemas.openxmlformats.org/officeDocument/2006/relationships/hyperlink" Target="https://sadovij-raj.com.ua/p1776272989-topor-turisticheskiy--bahco-cuc-0.4-360-bakho.html" TargetMode="External" Id="rId229"/><Relationship Type="http://schemas.openxmlformats.org/officeDocument/2006/relationships/hyperlink" Target="https://sadovij-raj.com.ua/p1714897144-kustorez-bahco-p51-sl-bakho.html" TargetMode="External" Id="rId230"/><Relationship Type="http://schemas.openxmlformats.org/officeDocument/2006/relationships/hyperlink" Target="https://sadovij-raj.com.ua/p2306990408-nozh-dlya-privivki-universal'nyy-dlya-levshey-vysokouglerodistaya-stal'-antonini--antonini-(5016l-sx)-italiya.html" TargetMode="External" Id="rId231"/><Relationship Type="http://schemas.openxmlformats.org/officeDocument/2006/relationships/hyperlink" Target="https://sadovij-raj.com.ua/p1898062975-nozhnitsy-dlya-travy-350-mm-bellota-(3555.b)-ispaniya.html" TargetMode="External" Id="rId232"/><Relationship Type="http://schemas.openxmlformats.org/officeDocument/2006/relationships/hyperlink" Target="https://sadovij-raj.com.ua/p1558251554-sapernaya-lopata-bellota-5526.b-ispaniya.html" TargetMode="External" Id="rId233"/><Relationship Type="http://schemas.openxmlformats.org/officeDocument/2006/relationships/hyperlink" Target="https://sadovij-raj.com.ua/p1683774922-lopata-shtykovaya-fiskars-fiskars-solid-1024542-(1014808)-finlyandiya.html" TargetMode="External" Id="rId234"/><Relationship Type="http://schemas.openxmlformats.org/officeDocument/2006/relationships/hyperlink" Target="https://sadovij-raj.com.ua/p1710083484-mastika-arborin--arborinn-1-kg-dlya-kholodnoy-privivki-(5010003n)-agrichem-italiya.html" TargetMode="External" Id="rId235"/><Relationship Type="http://schemas.openxmlformats.org/officeDocument/2006/relationships/hyperlink" Target="https://sadovij-raj.com.ua/p3112331112-sekator-s-khrapovym-mekhanizmom-due-cigni-200-mm-(2c_38720)-italiya.html" TargetMode="External" Id="rId236"/><Relationship Type="http://schemas.openxmlformats.org/officeDocument/2006/relationships/hyperlink" Target="https://sadovij-raj.com.ua/p1545742315-cuchkorez-lowe-original-20.100-s-nakovalenkoy-l'ove-germaniya.html" TargetMode="External" Id="rId237"/><Relationship Type="http://schemas.openxmlformats.org/officeDocument/2006/relationships/hyperlink" Target="https://sadovij-raj.com.ua/p1559516957-lowe-original-1.104-sekator-s-nakovalenkoy-germaniya.html" TargetMode="External" Id="rId238"/><Relationship Type="http://schemas.openxmlformats.org/officeDocument/2006/relationships/hyperlink" Target="https://sadovij-raj.com.ua/p1558750862-lowe-original-10.107-sekator-s-nakovalenkoy-germaniya.html" TargetMode="External" Id="rId239"/><Relationship Type="http://schemas.openxmlformats.org/officeDocument/2006/relationships/hyperlink" Target="https://sadovij-raj.com.ua/p1558821216-lowe-original-5.124-malen'kiy-sekator-s-nakovalenkoy-germaniya.html" TargetMode="External" Id="rId240"/><Relationship Type="http://schemas.openxmlformats.org/officeDocument/2006/relationships/hyperlink" Target="https://sadovij-raj.com.ua/p1558918603-lowe-20001-rabocheye-lezviye-dlya-suchkoreza-germaniya.html" TargetMode="External" Id="rId241"/><Relationship Type="http://schemas.openxmlformats.org/officeDocument/2006/relationships/hyperlink" Target="https://sadovij-raj.com.ua/p1559478415-lowe-20002-opornaya-nakovalenka-germaniya.html" TargetMode="External" Id="rId242"/><Relationship Type="http://schemas.openxmlformats.org/officeDocument/2006/relationships/hyperlink" Target="https://sadovij-raj.com.ua/p1558903734-lowe-22001-rabocheye-lezviye-dlya-suchkoreza-germaniya.html" TargetMode="External" Id="rId243"/><Relationship Type="http://schemas.openxmlformats.org/officeDocument/2006/relationships/hyperlink" Target="https://sadovij-raj.com.ua/p1559463421-lowe-22002-opornaya-nakovalenka-germaniya.html" TargetMode="External" Id="rId244"/><Relationship Type="http://schemas.openxmlformats.org/officeDocument/2006/relationships/hyperlink" Target="https://sadovij-raj.com.ua/p1559540692-lowe-original-31.060-suchkorez-sadovyy-malyy-germaniya.html" TargetMode="External" Id="rId245"/><Relationship Type="http://schemas.openxmlformats.org/officeDocument/2006/relationships/hyperlink" Target="https://sadovij-raj.com.ua/p3137445344-agrotrubka-(kembrik)-bio-filo-4-mm-0.5-kg-100-m-cordioli-(23fipebio4)-italiya.html" TargetMode="External" Id="rId246"/><Relationship Type="http://schemas.openxmlformats.org/officeDocument/2006/relationships/hyperlink" Target="https://sadovij-raj.com.ua/p2047683669-agrotrubka-(kembrik)-dlya-podvyazki-rasteniy-7-mm-1-kg-75-m-super-extra-cordioli-(23fipegrvs7)-italiya.html" TargetMode="External" Id="rId247"/><Relationship Type="http://schemas.openxmlformats.org/officeDocument/2006/relationships/hyperlink" Target="https://sadovij-raj.com.ua/p1085944832-brusok-tochil'nyy-(3642.b)-bellota-ispaniya.html" TargetMode="External" Id="rId248"/><Relationship Type="http://schemas.openxmlformats.org/officeDocument/2006/relationships/hyperlink" Target="https://sadovij-raj.com.ua/p2058072652-vily-fiskars-fiskars-solid-122-sm-(1003458)-finlyandiya.html" TargetMode="External" Id="rId249"/><Relationship Type="http://schemas.openxmlformats.org/officeDocument/2006/relationships/hyperlink" Target="https://sadovij-raj.com.ua/p2072875635-vysotorez-teleskopicheskiy-170-270-sm-felko--felco-(290)-shveytsariya.html" TargetMode="External" Id="rId250"/><Relationship Type="http://schemas.openxmlformats.org/officeDocument/2006/relationships/hyperlink" Target="https://sadovij-raj.com.ua/p2088519114-grabli-professional'nyye-542-mm-bez-cherenka-bellota-951-20.b-ispaniya.html" TargetMode="External" Id="rId251"/><Relationship Type="http://schemas.openxmlformats.org/officeDocument/2006/relationships/hyperlink" Target="https://ahrotsentr.com.ua/p2927489521-grafitovyy-karandash--lyra-chernyy-3.5-mm-(120500200106).html" TargetMode="External" Id="rId252"/><Relationship Type="http://schemas.openxmlformats.org/officeDocument/2006/relationships/hyperlink" Target="https://sadovij-raj.com.ua/p1658551679-suchkorez-80-sm-990-g-40-mm-falket--falket-(fal8099)-italiya.html" TargetMode="External" Id="rId253"/><Relationship Type="http://schemas.openxmlformats.org/officeDocument/2006/relationships/hyperlink" Target="https://sadovij-raj.com.ua/p1097351464-suchkorez-bahco-p160-sl-60-dlina-60-sm.html" TargetMode="External" Id="rId254"/><Relationship Type="http://schemas.openxmlformats.org/officeDocument/2006/relationships/hyperlink" Target="https://sadovij-raj.com.ua/p1103393486-suchkorez-bahco-p160-sl-90-dlinna-ruchek-900-mm-dlya-obrezki-sada.html" TargetMode="External" Id="rId255"/><Relationship Type="http://schemas.openxmlformats.org/officeDocument/2006/relationships/hyperlink" Target="https://sadovij-raj.com.ua/p1209564535-suchkorez-bahco-p280-sl-80.html" TargetMode="External" Id="rId256"/><Relationship Type="http://schemas.openxmlformats.org/officeDocument/2006/relationships/hyperlink" Target="https://sadovij-raj.com.ua/p1256991921-suchkorez-lowe-original-21.080-professional'nyy-obkhodnoy-germaniya.html" TargetMode="External" Id="rId257"/><Relationship Type="http://schemas.openxmlformats.org/officeDocument/2006/relationships/hyperlink" Target="https://sadovij-raj.com.ua/p1256487116-cuchkorez-lowe-original-22.080-s-nakovalenkoy,-izognutoye-lezviye-l'ove-germaniya.html" TargetMode="External" Id="rId258"/><Relationship Type="http://schemas.openxmlformats.org/officeDocument/2006/relationships/hyperlink" Target="https://sadovij-raj.com.ua/p1256450461-cuchkorez-lowe-original-22.100-s-nakovalenkoy,-izognutoye-lezviye-l'ove-germaniya.html" TargetMode="External" Id="rId259"/><Relationship Type="http://schemas.openxmlformats.org/officeDocument/2006/relationships/hyperlink" Target="https://sadovij-raj.com.ua/p1097036569-suchkorez-felko--felco-210a-60-shveytsariya.html" TargetMode="External" Id="rId260"/><Relationship Type="http://schemas.openxmlformats.org/officeDocument/2006/relationships/hyperlink" Target="https://sadovij-raj.com.ua/p1097036569-suchkorez-felko--felco-210a-60-shveytsariya.html" TargetMode="External" Id="rId261"/><Relationship Type="http://schemas.openxmlformats.org/officeDocument/2006/relationships/hyperlink" Target="https://sadovij-raj.com.ua/p1097298205-suchkorez-felko--felco-210c-60-shveytsariya.html" TargetMode="External" Id="rId262"/><Relationship Type="http://schemas.openxmlformats.org/officeDocument/2006/relationships/hyperlink" Target="https://sadovij-raj.com.ua/p3110547441-suchkorez-(vetkorez)-s-nakoval'ney-lowe-natural-series-22-(n22.065)-germaniya.html" TargetMode="External" Id="rId263"/><Relationship Type="http://schemas.openxmlformats.org/officeDocument/2006/relationships/hyperlink" Target="https://sadovij-raj.com.ua/p2034026234-vetkorez-s-khrapovym-mekhanizmom-ars--ars-(lpa-30l)-yaponiya.html" TargetMode="External" Id="rId264"/><Relationship Type="http://schemas.openxmlformats.org/officeDocument/2006/relationships/hyperlink" Target="https://sadovij-raj.com.ua/p1658551527-suchkorez-obvodnoy-falket--falket-(fal10099)-italiya.html" TargetMode="External" Id="rId265"/><Relationship Type="http://schemas.openxmlformats.org/officeDocument/2006/relationships/hyperlink" Target="https://sadovij-raj.com.ua/p3110529575-vetkorez-obvodnoy-lowe-natural-series-(n21.065)-germaniya.html" TargetMode="External" Id="rId266"/><Relationship Type="http://schemas.openxmlformats.org/officeDocument/2006/relationships/hyperlink" Target="https://sadovij-raj.com.ua/p2058279430-suchkorez-obvodnoy-ars--ars-(lpb-20l)-yaponiya.html" TargetMode="External" Id="rId267"/><Relationship Type="http://schemas.openxmlformats.org/officeDocument/2006/relationships/hyperlink" Target="https://sadovij-raj.com.ua/p2058232851-suchkorez-obvodnoy-ars--ars-(lpb-20m)-yaponiya.html" TargetMode="External" Id="rId268"/><Relationship Type="http://schemas.openxmlformats.org/officeDocument/2006/relationships/hyperlink" Target="https://sadovij-raj.com.ua/p1557943367-suchkorez-obvodnoy-ars--ars-(lpb-30l)-yaponiya.html" TargetMode="External" Id="rId269"/><Relationship Type="http://schemas.openxmlformats.org/officeDocument/2006/relationships/hyperlink" Target="https://sadovij-raj.com.ua/p2058302067-suchkorez-obvodnoy-ars--ars-(lpb-30m)-yaponiya.html" TargetMode="External" Id="rId270"/><Relationship Type="http://schemas.openxmlformats.org/officeDocument/2006/relationships/hyperlink" Target="https://sadovij-raj.com.ua/p3101930028-suchkorez-s-nakoval'ney-lowe-natural-series-(n22.080)-derevyannyye-ruchki-germaniya.html" TargetMode="External" Id="rId271"/><Relationship Type="http://schemas.openxmlformats.org/officeDocument/2006/relationships/hyperlink" Target="https://sadovij-raj.com.ua/p2062549565-suchkorez-s-nakoval'ney-falket--falket-(fal10006)-italiya.html" TargetMode="External" Id="rId272"/><Relationship Type="http://schemas.openxmlformats.org/officeDocument/2006/relationships/hyperlink" Target="https://sadovij-raj.com.ua/p1571655431-dempfer-dlya-vetkorezov-serii-lowe-21-(21008)-lowe-germaniya.html" TargetMode="External" Id="rId273"/><Relationship Type="http://schemas.openxmlformats.org/officeDocument/2006/relationships/hyperlink" Target="https://sadovij-raj.com.ua/p2858541227-dispenser-dlya-masla-kamelii-kikuwa-hommamon-(1090)-yaponiya.html" TargetMode="External" Id="rId274"/><Relationship Type="http://schemas.openxmlformats.org/officeDocument/2006/relationships/hyperlink" Target="https://sadovij-raj.com.ua/p3113243027-elektrosekator-felko--felco-2e-s-keysom-i-perchatkami-shveytsariya.html" TargetMode="External" Id="rId275"/><Relationship Type="http://schemas.openxmlformats.org/officeDocument/2006/relationships/hyperlink" Target="https://ahrotsentr.com.ua/p2927348872-etiketki-petli-dlya-rasteniy-tyvek-belyye-1.7-kh-22-sm-1000-sht-golandiya.html" TargetMode="External" Id="rId276"/><Relationship Type="http://schemas.openxmlformats.org/officeDocument/2006/relationships/hyperlink" Target="https://sadovij-raj.com.ua/p2899183711-zaglushka-dlya-suchkoreza-lowe-2022-(20.008)-germaniya.html" TargetMode="External" Id="rId277"/><Relationship Type="http://schemas.openxmlformats.org/officeDocument/2006/relationships/hyperlink" Target="https://sadovij-raj.com.ua/p1103451020-zapasnoye-lezviye-dlya-suchkoreza--bahco-p-160-r160a.html" TargetMode="External" Id="rId278"/><Relationship Type="http://schemas.openxmlformats.org/officeDocument/2006/relationships/hyperlink" Target="https://sadovij-raj.com.ua/p2439002904-zapasnoye-rezhushcheye-lezviye-bolty-i-gayki-k-sekatoram-ars-vs-8xzvs-8xr-(vs-8x-2)-yaponiya.html" TargetMode="External" Id="rId279"/><Relationship Type="http://schemas.openxmlformats.org/officeDocument/2006/relationships/hyperlink" Target="https://sadovij-raj.com.ua/p2438891891-zapasnoye-rezhushcheye-lezviye-bolty-i-gayki-k-sekatoram-ars-vs-9xzvs-9xr-(vs-9x-2)-yaponiya.html" TargetMode="External" Id="rId280"/><Relationship Type="http://schemas.openxmlformats.org/officeDocument/2006/relationships/hyperlink" Target="https://sadovij-raj.com.ua/p2334367712-smennoye-lezviye-dlya-sekatorov-lowe-8-(8001v).html" TargetMode="External" Id="rId281"/><Relationship Type="http://schemas.openxmlformats.org/officeDocument/2006/relationships/hyperlink" Target="https://sadovij-raj.com.ua/p2889940613-kamen'-tochil'nyy-karbid-kremniya-100kh25kh13-mm-180500-grit-falket--falket-(00901)-italiya.html" TargetMode="External" Id="rId282"/><Relationship Type="http://schemas.openxmlformats.org/officeDocument/2006/relationships/hyperlink" Target="https://sadovij-raj.com.ua/p2019188023-kamen'-tochil'nyy-natural'nyy-due-buoi-(1101)-italiya.html" TargetMode="External" Id="rId283"/><Relationship Type="http://schemas.openxmlformats.org/officeDocument/2006/relationships/hyperlink" Target="https://sadovij-raj.com.ua/p2439909442-kontrlezo-k-suchkorezam-ars-lpb-30-sml-(lpb-30-2)-yaponiya.html" TargetMode="External" Id="rId284"/><Relationship Type="http://schemas.openxmlformats.org/officeDocument/2006/relationships/hyperlink" Target="https://sadovij-raj.com.ua/p2057906925-kosa-560-mm-bellota-2509-22.b-ispaniya.html" TargetMode="External" Id="rId285"/><Relationship Type="http://schemas.openxmlformats.org/officeDocument/2006/relationships/hyperlink" Target="https://sadovij-raj.com.ua/p2057950227-kosa-660-mm-bellota-2509-26.b-ispaniya.html" TargetMode="External" Id="rId286"/><Relationship Type="http://schemas.openxmlformats.org/officeDocument/2006/relationships/hyperlink" Target="https://sadovij-raj.com.ua/p2072522243-kustorez-75-sm-falket--falket-(fal7522)-italiya.html" TargetMode="External" Id="rId287"/><Relationship Type="http://schemas.openxmlformats.org/officeDocument/2006/relationships/hyperlink" Target="https://sadovij-raj.com.ua/p2770651676-kustorez-azumasyusaku-155-mm-sk5-hanakumagawa-(4580149743007)-yaponiya.html" TargetMode="External" Id="rId288"/><Relationship Type="http://schemas.openxmlformats.org/officeDocument/2006/relationships/hyperlink" Target="https://sadovij-raj.com.ua/p1714877876-kustorez-bahco-p51h-sl-bakho.html" TargetMode="External" Id="rId289"/><Relationship Type="http://schemas.openxmlformats.org/officeDocument/2006/relationships/hyperlink" Target="https://sadovij-raj.com.ua/p2921765489-kustorez-shirogami-steel-#2-530-mm-hanakumagawa-(4580149742482)-yaponiya.html" TargetMode="External" Id="rId290"/><Relationship Type="http://schemas.openxmlformats.org/officeDocument/2006/relationships/hyperlink" Target="https://sadovij-raj.com.ua/p2858679724-lastik-dlya-udaleniya-rzhavchin-50x40x20-mm-naniva--naniwa-(a-903)-yaponiya.html" TargetMode="External" Id="rId291"/><Relationship Type="http://schemas.openxmlformats.org/officeDocument/2006/relationships/hyperlink" Target="https://sadovij-raj.com.ua/p2437555322-lezviye-k-suchkorezam-ars-lpb-30-(lpb-30-1)-yaponiya.html" TargetMode="External" Id="rId292"/><Relationship Type="http://schemas.openxmlformats.org/officeDocument/2006/relationships/hyperlink" Target="https://sadovij-raj.com.ua/p1869488889-lopata-shtykovaya-bellota-3103-mfva.b-ispaniya.html" TargetMode="External" Id="rId293"/><Relationship Type="http://schemas.openxmlformats.org/officeDocument/2006/relationships/hyperlink" Target="https://sadovij-raj.com.ua/p3109063606-machete-silky-yoki-270-mm-(570-27)-yaponiya.html" TargetMode="External" Id="rId294"/><Relationship Type="http://schemas.openxmlformats.org/officeDocument/2006/relationships/hyperlink" Target="https://sadovij-raj.com.ua/p2028313542-machete-falchi--falci-giustina-(290213-32)-italiya.html" TargetMode="External" Id="rId295"/><Relationship Type="http://schemas.openxmlformats.org/officeDocument/2006/relationships/hyperlink" Target="https://sadovij-raj.com.ua/p3109106130-machete-topor-silky-nata-210-mm-(555-21)-yaponiya.html" TargetMode="External" Id="rId296"/><Relationship Type="http://schemas.openxmlformats.org/officeDocument/2006/relationships/hyperlink" Target="https://sadovij-raj.com.ua/p3137487968-meshochek-na-poyas-dlya-sbora-yagod-23kh21-(bag2321).html" TargetMode="External" Id="rId297"/><Relationship Type="http://schemas.openxmlformats.org/officeDocument/2006/relationships/hyperlink" Target="https://sadovij-raj.com.ua/p3034560329-nabor-vintov-dlya-suchkorezov-lowe-20012-germaniya.html" TargetMode="External" Id="rId298"/><Relationship Type="http://schemas.openxmlformats.org/officeDocument/2006/relationships/hyperlink" Target="https://sadovij-raj.com.ua/p1970010410-nabor-lezviy-dlya-sadovykh-nozhnits-ars-kr-1000-(kr-1000-1)-yaponiya.html" TargetMode="External" Id="rId299"/><Relationship Type="http://schemas.openxmlformats.org/officeDocument/2006/relationships/hyperlink" Target="https://sadovij-raj.com.ua/p2054676655-nabor-tsentral'nogo-krepezha-lowe-20005-germaniya.html" TargetMode="External" Id="rId300"/><Relationship Type="http://schemas.openxmlformats.org/officeDocument/2006/relationships/hyperlink" Target="https://sadovij-raj.com.ua/p2334615108-napil'nik-dlya-zatochki-pil-silky-kzsi-950-02-64-(kzsi200000).html" TargetMode="External" Id="rId301"/><Relationship Type="http://schemas.openxmlformats.org/officeDocument/2006/relationships/hyperlink" Target="https://sadovij-raj.com.ua/p2716135499-nozhnitsy-170-mm-khanakumagava--hanakumagawa-(4580149746398)-yaponiya.html" TargetMode="External" Id="rId302"/><Relationship Type="http://schemas.openxmlformats.org/officeDocument/2006/relationships/hyperlink" Target="https://sadovij-raj.com.ua/p2716146841-nozhnitsy-200-mm-khanakumagava--hanakumagawa-(4580149742093)-yaponiya.html" TargetMode="External" Id="rId303"/><Relationship Type="http://schemas.openxmlformats.org/officeDocument/2006/relationships/hyperlink" Target="https://sadovij-raj.com.ua/p2053808393-nozhnitsy-due-buoi-(16027)--italiya.html" TargetMode="External" Id="rId304"/><Relationship Type="http://schemas.openxmlformats.org/officeDocument/2006/relationships/hyperlink" Target="https://sadovij-raj.com.ua/p2046590440-nozhnitsy-due-buoi-114818.5-inox-italiya.html" TargetMode="External" Id="rId305"/><Relationship Type="http://schemas.openxmlformats.org/officeDocument/2006/relationships/hyperlink" Target="https://sadovij-raj.com.ua/p1108781158-nozhnitsy-dlya-sbora-vinograda-p128-19-bahco.html" TargetMode="External" Id="rId306"/><Relationship Type="http://schemas.openxmlformats.org/officeDocument/2006/relationships/hyperlink" Target="https://sadovij-raj.com.ua/p2000793336-nozhnitsy-dlya-kustov-(3461-r.b)-bellota-ispaniya.html" TargetMode="External" Id="rId307"/><Relationship Type="http://schemas.openxmlformats.org/officeDocument/2006/relationships/hyperlink" Target="https://sadovij-raj.com.ua/p1559712274-nozhnitsy-dlya-kustov-due-buoi-61320-italiya.html" TargetMode="External" Id="rId308"/><Relationship Type="http://schemas.openxmlformats.org/officeDocument/2006/relationships/hyperlink" Target="https://sadovij-raj.com.ua/p1557060964-nozhnitsy-dlya-kustov-ars--ars-(k-800)-yaponiya.html" TargetMode="External" Id="rId309"/><Relationship Type="http://schemas.openxmlformats.org/officeDocument/2006/relationships/hyperlink" Target="https://sadovij-raj.com.ua/p1557041797-nozhnitsy-dlya-kustov-ars--ars-(kr-1000)-yaponiya.html" TargetMode="External" Id="rId310"/><Relationship Type="http://schemas.openxmlformats.org/officeDocument/2006/relationships/hyperlink" Target="https://sadovij-raj.com.ua/p2070537799-nozhnitsy-dlya-kustov-ars--ars-(kr-1000l)-yaponiya.html" TargetMode="External" Id="rId311"/><Relationship Type="http://schemas.openxmlformats.org/officeDocument/2006/relationships/hyperlink" Target="https://sadovij-raj.com.ua/p2266035575-nozhnitsy-dlya-topiarnoy-strizhki-p52-sl-20-bahco.html" TargetMode="External" Id="rId312"/><Relationship Type="http://schemas.openxmlformats.org/officeDocument/2006/relationships/hyperlink" Target="https://sadovij-raj.com.ua/p3137467006-nozhnitsy-dlya-topiarnoy-strizhki-270-mm-tobisho--tobisho-(tbs270)-yaponiya.html" TargetMode="External" Id="rId313"/><Relationship Type="http://schemas.openxmlformats.org/officeDocument/2006/relationships/hyperlink" Target="https://sadovij-raj.com.ua/p1091594600-nozhovka-sadovaya-s-chekhlom-330-mm-bellota-(4587-13.v)-ispaniya.html" TargetMode="External" Id="rId314"/><Relationship Type="http://schemas.openxmlformats.org/officeDocument/2006/relationships/hyperlink" Target="https://sadovij-raj.com.ua/p1091599421-nozhovka-sadovaya-s-chekhlom-330-mm-bellota-(4588-13.v)-ispaniya.html" TargetMode="External" Id="rId315"/><Relationship Type="http://schemas.openxmlformats.org/officeDocument/2006/relationships/hyperlink" Target="https://sadovij-raj.com.ua/p1654107002-nozh-antonini-5791r-dlya-privivki-antonini-italiya.html" TargetMode="External" Id="rId316"/><Relationship Type="http://schemas.openxmlformats.org/officeDocument/2006/relationships/hyperlink" Target="https://sadovij-raj.com.ua/p1653187005-nozh-due-buoi-201ap-dlya-privivki-universal'nyy-italiya.html" TargetMode="External" Id="rId317"/><Relationship Type="http://schemas.openxmlformats.org/officeDocument/2006/relationships/hyperlink" Target="https://sadovij-raj.com.ua/p2493540303-nozh-morakniv-outdoor-mora-2000-(s)-orange-(12057)-shvetsiya.html" TargetMode="External" Id="rId318"/><Relationship Type="http://schemas.openxmlformats.org/officeDocument/2006/relationships/hyperlink" Target="https://sadovij-raj.com.ua/p1735379430-nozh-mora--morakniv-bushcraft-forest-sandvik-12c27-(12356)-shvetsiya.html" TargetMode="External" Id="rId319"/><Relationship Type="http://schemas.openxmlformats.org/officeDocument/2006/relationships/hyperlink" Target="https://sadovij-raj.com.ua/p2812806911-nozh-gribnika-old-bear-m-19-sm-antonini-(938719lu)-italiya.html" TargetMode="External" Id="rId320"/><Relationship Type="http://schemas.openxmlformats.org/officeDocument/2006/relationships/hyperlink" Target="https://sadovij-raj.com.ua/p2312384623-nozh-dlya-obrezki-i-zachistki-vysokouglerodistaya-stal'-antonini--antonini-(9500l.a)-italiya.html" TargetMode="External" Id="rId321"/><Relationship Type="http://schemas.openxmlformats.org/officeDocument/2006/relationships/hyperlink" Target="https://sadovij-raj.com.ua/p1655201633-nozh-dlya-steplera-(komplekt)-tapener-ht-r1-max-(tc90045).html" TargetMode="External" Id="rId322"/><Relationship Type="http://schemas.openxmlformats.org/officeDocument/2006/relationships/hyperlink" Target="https://sadovij-raj.com.ua/p2046546337-nozh-dlya-levshi-privivochnyy-due-buoi-202p-sin-italiya.html" TargetMode="External" Id="rId323"/><Relationship Type="http://schemas.openxmlformats.org/officeDocument/2006/relationships/hyperlink" Target="https://sadovij-raj.com.ua/p2041239973-nozh-dlya-privivki-antonini--antonini-(5037l)-italiya.html" TargetMode="External" Id="rId324"/><Relationship Type="http://schemas.openxmlformats.org/officeDocument/2006/relationships/hyperlink" Target="https://sadovij-raj.com.ua/p2046559068-nozh-dlya-privivki-orekha-due-buoi-266l-italiya.html" TargetMode="External" Id="rId325"/><Relationship Type="http://schemas.openxmlformats.org/officeDocument/2006/relationships/hyperlink" Target="https://sadovij-raj.com.ua/p2041304017-nozh-dlya-privivki-s-otdelitelem-kory-antonini--antonini-(5116l)-italiya.html" TargetMode="External" Id="rId326"/><Relationship Type="http://schemas.openxmlformats.org/officeDocument/2006/relationships/hyperlink" Target="https://sadovij-raj.com.ua/p2308486833-nozh-dlya-privivki-universal'naya-vysokouglerodistaya-stal'-antonini--antonini-(5016al.r)-italiya.html" TargetMode="External" Id="rId327"/><Relationship Type="http://schemas.openxmlformats.org/officeDocument/2006/relationships/hyperlink" Target="https://sadovij-raj.com.ua/p2308969892-nozh-dlya-privivki-universal'nyy-nerzhaveyushchaya-stal'-antonini--antonini-old-bear-(937719_ln)-italiya.html" TargetMode="External" Id="rId328"/><Relationship Type="http://schemas.openxmlformats.org/officeDocument/2006/relationships/hyperlink" Target="https://sadovij-raj.com.ua/p1799451690-nozh-sadovyy-2-lezviya-dlya-privivki-antonini--antonini-17-sm-stal'---c67-(55402n)-italiya.html" TargetMode="External" Id="rId329"/><Relationship Type="http://schemas.openxmlformats.org/officeDocument/2006/relationships/hyperlink" Target="https://sadovij-raj.com.ua/p2337754711-nozh-sadovyy-dlya-obrezki-tina--tina-(62611)-germaniya.html" TargetMode="External" Id="rId330"/><Relationship Type="http://schemas.openxmlformats.org/officeDocument/2006/relationships/hyperlink" Target="https://sadovij-raj.com.ua/p2342611393-nozh-sadovyy-dlya-obrezki-tina--tina-(63011)-germaniya.html" TargetMode="External" Id="rId331"/><Relationship Type="http://schemas.openxmlformats.org/officeDocument/2006/relationships/hyperlink" Target="https://sadovij-raj.com.ua/p1798804507-nozh-sadovyy-dlya-privivki-antonini--antonini-17-sm-lezviye---c67-(5540l)-italiya.html" TargetMode="External" Id="rId332"/><Relationship Type="http://schemas.openxmlformats.org/officeDocument/2006/relationships/hyperlink" Target="https://sadovij-raj.com.ua/p1799441094-nozh-sadovyy-dlya-privivki-antonini--antonini-17-sm-lezviye---c67-(5540n)-italiya.html" TargetMode="External" Id="rId333"/><Relationship Type="http://schemas.openxmlformats.org/officeDocument/2006/relationships/hyperlink" Target="https://sadovij-raj.com.ua/p3193213523-ogranichitel'-dlya-trimmera-na-nozh-255-mm-smart-rain-(sr-lim-255)-ukraina.html" TargetMode="External" Id="rId334"/><Relationship Type="http://schemas.openxmlformats.org/officeDocument/2006/relationships/hyperlink" Target="https://sadovij-raj.com.ua/p1571623051-opornoye-lezviye-dlya-suchkoreza-lowe-21-lowe-21002-germaniya.html" TargetMode="External" Id="rId335"/><Relationship Type="http://schemas.openxmlformats.org/officeDocument/2006/relationships/hyperlink" Target="https://sadovij-raj.com.ua/p1558990686-opornyy-rychag-dlya-vetkoreza-lowe-20013-germaniya.html" TargetMode="External" Id="rId336"/><Relationship Type="http://schemas.openxmlformats.org/officeDocument/2006/relationships/hyperlink" Target="https://sadovij-raj.com.ua/p1558965491-opornyy-rychag-dlya-vetkoreza-lowe-22013-germaniya.html" TargetMode="External" Id="rId337"/><Relationship Type="http://schemas.openxmlformats.org/officeDocument/2006/relationships/hyperlink" Target="https://sadovij-raj.com.ua/p1839036810-pasta-potaben--potaben-ci-1-kg-agrichem-italiya.html" TargetMode="External" Id="rId338"/><Relationship Type="http://schemas.openxmlformats.org/officeDocument/2006/relationships/hyperlink" Target="https://sadovij-raj.com.ua/p1710189839-pasta-potaben--potaben-ci-500-g-agrichem-italiya.html" TargetMode="External" Id="rId339"/><Relationship Type="http://schemas.openxmlformats.org/officeDocument/2006/relationships/hyperlink" Target="https://sadovij-raj.com.ua/p1557082099-pila-ars--ars-(210dx)-skladnaya-yaponiya.html" TargetMode="External" Id="rId340"/><Relationship Type="http://schemas.openxmlformats.org/officeDocument/2006/relationships/hyperlink" Target="https://sadovij-raj.com.ua/p1796751824-pila-ars--ars-(cam-24ln)-s-koburoy-yaponiya.html" TargetMode="External" Id="rId341"/><Relationship Type="http://schemas.openxmlformats.org/officeDocument/2006/relationships/hyperlink" Target="https://sadovij-raj.com.ua/p2019141021-pila-ars--ars-(cam-24pro)-s-koburoy-yaponiya.html" TargetMode="External" Id="rId342"/><Relationship Type="http://schemas.openxmlformats.org/officeDocument/2006/relationships/hyperlink" Target="https://sadovij-raj.com.ua/p1557291257-pila-ars--ars-(ct-32e)-serpovidnaya-s-koburoy-yaponiya.html" TargetMode="External" Id="rId343"/><Relationship Type="http://schemas.openxmlformats.org/officeDocument/2006/relationships/hyperlink" Target="https://sadovij-raj.com.ua/p2367226548-pila-skladnaya-ars--ars-(g-18l)-yaponiya.html" TargetMode="External" Id="rId344"/><Relationship Type="http://schemas.openxmlformats.org/officeDocument/2006/relationships/hyperlink" Target="https://sadovij-raj.com.ua/p1817989766-pila-ars--ars-(gr-18l)-skladnaya-yaponiya.html" TargetMode="External" Id="rId345"/><Relationship Type="http://schemas.openxmlformats.org/officeDocument/2006/relationships/hyperlink" Target="https://sadovij-raj.com.ua/p2367239855-pila-skladnaya-ars--ars-(pm-24)-yaponiya.html" TargetMode="External" Id="rId346"/><Relationship Type="http://schemas.openxmlformats.org/officeDocument/2006/relationships/hyperlink" Target="https://sadovij-raj.com.ua/p1766530934-pila-ars--ars-(pm-24l)-skladnaya-yaponiya.html" TargetMode="External" Id="rId347"/><Relationship Type="http://schemas.openxmlformats.org/officeDocument/2006/relationships/hyperlink" Target="https://sadovij-raj.com.ua/p1818395208-pila-ars--ars-(uv-32e)-serpovidnaya-s-koburoy-yaponiya.html" TargetMode="External" Id="rId348"/><Relationship Type="http://schemas.openxmlformats.org/officeDocument/2006/relationships/hyperlink" Target="https://sadovij-raj.com.ua/p1714925009-pila-ars-super-turbokat--ars-super-turbocut-(uvr-32pro)-s-koburoy-yaponiya.html" TargetMode="External" Id="rId349"/><Relationship Type="http://schemas.openxmlformats.org/officeDocument/2006/relationships/hyperlink" Target="https://sadovij-raj.com.ua/p2126006218-pila-ars-turbokat--ars-turbocut-(ctr-32pro)-serpovidnaya-s-koburoy-yaponiya.html" TargetMode="External" Id="rId350"/><Relationship Type="http://schemas.openxmlformats.org/officeDocument/2006/relationships/hyperlink" Target="https://sadovij-raj.com.ua/p2382861817-pila-s-izognutym-lezviyem-al'pen-bernina--alpen-bernina-(6350)-shveytsariya.html" TargetMode="External" Id="rId351"/><Relationship Type="http://schemas.openxmlformats.org/officeDocument/2006/relationships/hyperlink" Target="https://sadovij-raj.com.ua/p2366696842-pila-s-koburoy-ars--ars-(duke-25)-yaponiya.html" TargetMode="External" Id="rId352"/><Relationship Type="http://schemas.openxmlformats.org/officeDocument/2006/relationships/hyperlink" Target="https://sadovij-raj.com.ua/p2033113679-pila-sadovaya-silky-sugoi-330-6.5-5.5-(390-33)-yaponiya.html" TargetMode="External" Id="rId353"/><Relationship Type="http://schemas.openxmlformats.org/officeDocument/2006/relationships/hyperlink" Target="https://sadovij-raj.com.ua/p3178463209-pila-sadovaya-raskladnaya-silky-pocketboy-170-10-(340-17)-yaponiya.html" TargetMode="External" Id="rId354"/><Relationship Type="http://schemas.openxmlformats.org/officeDocument/2006/relationships/hyperlink" Target="https://sadovij-raj.com.ua/p1986982369-pila-sadovaya-skladnaya-silky-bigboy-360-6.5--(356-36)-yaponiya.html" TargetMode="External" Id="rId355"/><Relationship Type="http://schemas.openxmlformats.org/officeDocument/2006/relationships/hyperlink" Target="https://sadovij-raj.com.ua/p2396372784-pila-sadovaya-skladnaya-silky-bigboy-360-7-(354-36)-yaponiya.html" TargetMode="External" Id="rId356"/><Relationship Type="http://schemas.openxmlformats.org/officeDocument/2006/relationships/hyperlink" Target="https://sadovij-raj.com.ua/p1861386327-pila-sadovaya-skladnaya-silky-f-180-14-(141-18)-yaponiya.html" TargetMode="External" Id="rId357"/><Relationship Type="http://schemas.openxmlformats.org/officeDocument/2006/relationships/hyperlink" Target="https://sadovij-raj.com.ua/p1986405417-pila-sadovaya-skladnaya-silky-katanaboy-500-5-(403-50)-yaponiya.html" TargetMode="External" Id="rId358"/><Relationship Type="http://schemas.openxmlformats.org/officeDocument/2006/relationships/hyperlink" Target="https://sadovij-raj.com.ua/p2031634597-pila-sadovaya-s-chekhlom-silky-gomtaro-270-13-(104-27)-yaponiya.html" TargetMode="External" Id="rId359"/><Relationship Type="http://schemas.openxmlformats.org/officeDocument/2006/relationships/hyperlink" Target="https://sadovij-raj.com.ua/p2032098835-pila-sadovaya-s-chekhlom-silky-gomtaro-300-8-(102-30)-yaponiya.html" TargetMode="External" Id="rId360"/><Relationship Type="http://schemas.openxmlformats.org/officeDocument/2006/relationships/hyperlink" Target="https://sadovij-raj.com.ua/p2032634395-pila-sadovaya-s-chekhlom-silky-ibuki-390-5.5-(275-39)-yaponiya.html" TargetMode="External" Id="rId361"/><Relationship Type="http://schemas.openxmlformats.org/officeDocument/2006/relationships/hyperlink" Target="https://sadovij-raj.com.ua/p2033050377-pila-sadovaya-s-chekhlom-silky-sugoi-360-6.5-(390-36)-yaponiya.html" TargetMode="External" Id="rId362"/><Relationship Type="http://schemas.openxmlformats.org/officeDocument/2006/relationships/hyperlink" Target="https://sadovij-raj.com.ua/p2030858521-pila-sadovaya-s-chekhlom-silky-sugoi-420-6.5-(390-42)-yaponiya.html" TargetMode="External" Id="rId363"/><Relationship Type="http://schemas.openxmlformats.org/officeDocument/2006/relationships/hyperlink" Target="https://sadovij-raj.com.ua/p2032652906-pila-sadovaya-s-chekhlom-silky-sugowaza-420-6.5-(419-42)-yaponiya.html" TargetMode="External" Id="rId364"/><Relationship Type="http://schemas.openxmlformats.org/officeDocument/2006/relationships/hyperlink" Target="https://sadovij-raj.com.ua/p2031715972-pila-sadovaya-s-chekhlom-silky-zubat-300-7.5-(270-30)-yaponiya.html" TargetMode="External" Id="rId365"/><Relationship Type="http://schemas.openxmlformats.org/officeDocument/2006/relationships/hyperlink" Target="https://sadovij-raj.com.ua/p1986702862-pila-sadovaya-s-chekhlom-silky-zubat-330-10-(278-33)-yaponiya.html" TargetMode="External" Id="rId366"/><Relationship Type="http://schemas.openxmlformats.org/officeDocument/2006/relationships/hyperlink" Target="https://sadovij-raj.com.ua/p2031820429-pila-sadovaya-s-chekhlom-silky-zubat-390-7.5-(270-39)-yaponiya.html" TargetMode="External" Id="rId367"/><Relationship Type="http://schemas.openxmlformats.org/officeDocument/2006/relationships/hyperlink" Target="https://sadovij-raj.com.ua/p2396387380-pila-skladnaya-silky-gomboy-240-8-curve-outback-edition-(752-24)-yaponiya.html" TargetMode="External" Id="rId368"/><Relationship Type="http://schemas.openxmlformats.org/officeDocument/2006/relationships/hyperlink" Target="https://sadovij-raj.com.ua/p2032962794-pila-skladnaya-silky-gomboy-300-mm-(717-30)-yaponiya.html" TargetMode="External" Id="rId369"/><Relationship Type="http://schemas.openxmlformats.org/officeDocument/2006/relationships/hyperlink" Target="https://sadovij-raj.com.ua/p2032925782-pila-skladnaya-silky-professional-bigboy-fine-teeth-(352-36)-yaponiya.html" TargetMode="External" Id="rId370"/><Relationship Type="http://schemas.openxmlformats.org/officeDocument/2006/relationships/hyperlink" Target="https://sadovij-raj.com.ua/p3197739658-pila-skladnaya-silky-professional-series-pocketboy-(726-13)-yaponiya.html" TargetMode="External" Id="rId371"/><Relationship Type="http://schemas.openxmlformats.org/officeDocument/2006/relationships/hyperlink" Target="https://sadovij-raj.com.ua/p2028451198-pila-skladnaya-silky-bigboy-2000-outback-edition-(754-36)-yaponiya.html" TargetMode="External" Id="rId372"/><Relationship Type="http://schemas.openxmlformats.org/officeDocument/2006/relationships/hyperlink" Target="https://sadovij-raj.com.ua/p2033638412-pila-skladnaya-silky-bigboy-360-10-(350-36)-yaponiya.html" TargetMode="External" Id="rId373"/><Relationship Type="http://schemas.openxmlformats.org/officeDocument/2006/relationships/hyperlink" Target="https://sadovij-raj.com.ua/p3193521122-planirovshchik-grunta-ruchnoy-bez-drevka-smart-reyn--smart-rain-(sr-l-1190)-ukraina.html" TargetMode="External" Id="rId374"/><Relationship Type="http://schemas.openxmlformats.org/officeDocument/2006/relationships/hyperlink" Target="https://sadovij-raj.com.ua/p3193368093-planirovshchik-grunta-ruchnoy-bez-drevka-smart-reyn--smart-rain-(sr-l-890).html" TargetMode="External" Id="rId375"/><Relationship Type="http://schemas.openxmlformats.org/officeDocument/2006/relationships/hyperlink" Target="https://ahrotsentr.com.ua/p3161501284-podarochnyy-nabor-felco-(sekator-felko-2-+-firmennaya-shapka)-shveytsariya.html" TargetMode="External" Id="rId376"/><Relationship Type="http://schemas.openxmlformats.org/officeDocument/2006/relationships/hyperlink" Target="https://sadovij-raj.com.ua/p2081861848-polotno-dlya-obreznykh-pil-bahco-(4420-11)-shvetsiya.html" TargetMode="External" Id="rId377"/><Relationship Type="http://schemas.openxmlformats.org/officeDocument/2006/relationships/hyperlink" Target="https://sadovij-raj.com.ua/p2049868737-podvyazka-dlya-rasteniy-10-sm-kh-1000-sht-gibkaya-stal'naya-provoloka--cordioli-(23faspe10)-italiya.html" TargetMode="External" Id="rId378"/><Relationship Type="http://schemas.openxmlformats.org/officeDocument/2006/relationships/hyperlink" Target="https://sadovij-raj.com.ua/p2047867792-podvyazka-dlya-rasteniy-10-sm-kh-1000-sht-gibkaya-stal'naya-provoloka-v-bumazhnoy-obolochke-(23fcspe10)-italiya.html" TargetMode="External" Id="rId379"/><Relationship Type="http://schemas.openxmlformats.org/officeDocument/2006/relationships/hyperlink" Target="https://sadovij-raj.com.ua/p3014128954-podvyazka-dlya-rasteniy-15-sm-kh-1000-sht-stal'naya-provoloka-v-bumazhnoy-obolochke-(23fcspe15)-cordioli-italiya.html" TargetMode="External" Id="rId380"/><Relationship Type="http://schemas.openxmlformats.org/officeDocument/2006/relationships/hyperlink" Target="https://sadovij-raj.com.ua/p2639693717-podvyazka-dlya-rasteniy-150-m-0.45-sm-stal'naya-provoloka-v-plastikovoy-obolochke-(23fa150)-cordioli-italiya.html" TargetMode="External" Id="rId381"/><Relationship Type="http://schemas.openxmlformats.org/officeDocument/2006/relationships/hyperlink" Target="https://sadovij-raj.com.ua/p2639749635-podvyazka-dlya-rasteniy-250-m-stal'naya-provoloka-v-bumazhnoy-obolochke-(23fc250)-cordioli-italiya.html" TargetMode="External" Id="rId382"/><Relationship Type="http://schemas.openxmlformats.org/officeDocument/2006/relationships/hyperlink" Target="https://sadovij-raj.com.ua/p2642560159-podvyazka-dlya-rasteniy-250-m-stal'naya-provoloka-v-bumazhnoy-obolochke-(23fcto)-cordioli-italiya.html" TargetMode="External" Id="rId383"/><Relationship Type="http://schemas.openxmlformats.org/officeDocument/2006/relationships/hyperlink" Target="https://sadovij-raj.com.ua/p2639728433-podvyazka-dlya-rasteniy-tie_15-~1000-sht-15-sm-(23faspe15)-cordioli-italiya.html" TargetMode="External" Id="rId384"/><Relationship Type="http://schemas.openxmlformats.org/officeDocument/2006/relationships/hyperlink" Target="https://sadovij-raj.com.ua/p1570830268-rabocheye-lezviye-dlya-suchkoreza-lowe-21-lowe-21001-germaniya.html" TargetMode="External" Id="rId385"/><Relationship Type="http://schemas.openxmlformats.org/officeDocument/2006/relationships/hyperlink" Target="https://sadovij-raj.com.ua/p2899176378-ruchki-dlya-suchkoreza-lowe-2022-(20011100)-germaniya.html" TargetMode="External" Id="rId386"/><Relationship Type="http://schemas.openxmlformats.org/officeDocument/2006/relationships/hyperlink" Target="https://sadovij-raj.com.ua/p3193392130-ruchnoy-aerator-smart-reyn--smart-rain-(sr-ar-2)-ukraina.html" TargetMode="External" Id="rId387"/><Relationship Type="http://schemas.openxmlformats.org/officeDocument/2006/relationships/hyperlink" Target="https://sadovij-raj.com.ua/p1103396682-sadovaya-obreznaya-pila-bahco-4211-11-6t-(s-zakalennymi-zub'yami-)-280-mm.html" TargetMode="External" Id="rId388"/><Relationship Type="http://schemas.openxmlformats.org/officeDocument/2006/relationships/hyperlink" Target="https://sadovij-raj.com.ua/p1104468718-sadovaya-obreznaya-pila-bahco-4212-11-6t-(s-peretachivayemymi-zub'yami)-280-mm.html" TargetMode="External" Id="rId389"/><Relationship Type="http://schemas.openxmlformats.org/officeDocument/2006/relationships/hyperlink" Target="https://sadovij-raj.com.ua/p2031864651-sadovaya-pila-skladnaya-silky-gomboy-210-10-(121-21)-yaponiya.html" TargetMode="External" Id="rId390"/><Relationship Type="http://schemas.openxmlformats.org/officeDocument/2006/relationships/hyperlink" Target="https://sadovij-raj.com.ua/p1558113285-sadovaya-pila-skladnaya-silky-gomboy-300-10-(121-30)-yaponiya.html" TargetMode="External" Id="rId391"/><Relationship Type="http://schemas.openxmlformats.org/officeDocument/2006/relationships/hyperlink" Target="https://sadovij-raj.com.ua/p2033696642-sadovaya-pila-skladnaya-silky-gomboy-curve-240-8-(717-24)-yaponiya.html" TargetMode="External" Id="rId392"/><Relationship Type="http://schemas.openxmlformats.org/officeDocument/2006/relationships/hyperlink" Target="https://sadovij-raj.com.ua/p2030751666-sadovaya-pila-skladnaya-silky-gomboy-curve-270-8-(717-27)-yaponiya.html" TargetMode="External" Id="rId393"/><Relationship Type="http://schemas.openxmlformats.org/officeDocument/2006/relationships/hyperlink" Target="https://sadovij-raj.com.ua/p3121833157-sadovaya-pila-skladnaya-silky-katanaboy-550-5-(760-55)-yaponiya.html" TargetMode="External" Id="rId394"/><Relationship Type="http://schemas.openxmlformats.org/officeDocument/2006/relationships/hyperlink" Target="https://sadovij-raj.com.ua/p2030716291-sadovaya-pila-skladnaya-silky-katanaboy-650-4-(710-65)-yaponiya.html" TargetMode="External" Id="rId395"/><Relationship Type="http://schemas.openxmlformats.org/officeDocument/2006/relationships/hyperlink" Target="https://sadovij-raj.com.ua/p1558199744-sadovaya-skladnaya-pila-silky-f-180-7.5-(143-18)-yaponiya.html" TargetMode="External" Id="rId396"/><Relationship Type="http://schemas.openxmlformats.org/officeDocument/2006/relationships/hyperlink" Target="https://sadovij-raj.com.ua/p2017508362-sadovyy-nozh-dlya-privivki-antonini--antonini-17-sm-stal'---aisi-420-(5771r)-italiya.html" TargetMode="External" Id="rId397"/><Relationship Type="http://schemas.openxmlformats.org/officeDocument/2006/relationships/hyperlink" Target="https://sadovij-raj.com.ua/p1559836382-sadovyy-nozh-dlya-privivki-antonini--antonini-17-sm-stal'---c67-(5776n)-italiya.html" TargetMode="External" Id="rId398"/><Relationship Type="http://schemas.openxmlformats.org/officeDocument/2006/relationships/hyperlink" Target="https://sadovij-raj.com.ua/p1558703536-sadovyy-sekator-lowe-original-11.107-germaniya.html" TargetMode="External" Id="rId399"/><Relationship Type="http://schemas.openxmlformats.org/officeDocument/2006/relationships/hyperlink" Target="https://sadovij-raj.com.ua/p1558678342-cadovyy-cekator-okatsune-kst103-yaponiya.html" TargetMode="External" Id="rId400"/><Relationship Type="http://schemas.openxmlformats.org/officeDocument/2006/relationships/hyperlink" Target="https://sadovij-raj.com.ua/p1698710825-sadovyy-sovok-fiskars-fiskars-solid-137000-(1000694)-finlyandiya.html" TargetMode="External" Id="rId401"/><Relationship Type="http://schemas.openxmlformats.org/officeDocument/2006/relationships/hyperlink" Target="https://sadovij-raj.com.ua/p1558657323-sadovyye-nozhnitsy-okatsune-(kst307)-yaponiya.html" TargetMode="External" Id="rId402"/><Relationship Type="http://schemas.openxmlformats.org/officeDocument/2006/relationships/hyperlink" Target="https://sadovij-raj.com.ua/p2011962370-sadovyye-nozhnitsy-okat&#183;sune--okatsune-(kst304)-yaponiya.html" TargetMode="External" Id="rId403"/><Relationship Type="http://schemas.openxmlformats.org/officeDocument/2006/relationships/hyperlink" Target="https://sadovij-raj.com.ua/p3100911524-sadovyye-nozhnitsy-okat&#183;sune--okatsune-(kst306)-yaponiya.html" TargetMode="External" Id="rId404"/><Relationship Type="http://schemas.openxmlformats.org/officeDocument/2006/relationships/hyperlink" Target="https://sadovij-raj.com.ua/p2071697809-sadovyye-nozhnitsy-dlya-kustov-okat&#183;sune--okatsune-(kst-204)-yaponiya.html" TargetMode="External" Id="rId405"/><Relationship Type="http://schemas.openxmlformats.org/officeDocument/2006/relationships/hyperlink" Target="https://sadovij-raj.com.ua/p2071697809-sadovyye-nozhnitsy-dlya-kustov-okat&#183;sune--okatsune-(kst204)-yaponiya.html" TargetMode="External" Id="rId406"/><Relationship Type="http://schemas.openxmlformats.org/officeDocument/2006/relationships/hyperlink" Target="https://sadovij-raj.com.ua/p2072596338-sadovyye-nozhnitsy-dlya-kustov-okat&#183;sune--okatsune-(kst205-k)-yaponiya.html" TargetMode="External" Id="rId407"/><Relationship Type="http://schemas.openxmlformats.org/officeDocument/2006/relationships/hyperlink" Target="https://sadovij-raj.com.ua/p2072563773-sadovyye-nozhnitsy-dlya-kustov-okat&#183;sune--okatsune-(kst214)-yaponiya.html" TargetMode="External" Id="rId408"/><Relationship Type="http://schemas.openxmlformats.org/officeDocument/2006/relationships/hyperlink" Target="https://sadovij-raj.com.ua/p2071858480-sadovyye-nozhnitsy-dlya-kustov-okat&#183;sune--okatsune-(kst216)-yaponiya.html" TargetMode="External" Id="rId409"/><Relationship Type="http://schemas.openxmlformats.org/officeDocument/2006/relationships/hyperlink" Target="https://sadovij-raj.com.ua/p1985442401-sadovyye-nozhnitsy-dlya-kustov-okat&#183;sune--okatsune-(kst217)-yaponiya.html" TargetMode="External" Id="rId410"/><Relationship Type="http://schemas.openxmlformats.org/officeDocument/2006/relationships/hyperlink" Target="https://sadovij-raj.com.ua/p2071830420-sadovyye-nozhnitsy-dlya-kustov-okat&#183;sune--okatsune-(kst230)-yaponiya.html" TargetMode="External" Id="rId411"/><Relationship Type="http://schemas.openxmlformats.org/officeDocument/2006/relationships/hyperlink" Target="https://sadovij-raj.com.ua/p1985395966-sadovyye-nozhnitsy-dlya-kustov-okat&#183;sune--okatsune-(kst231)-yaponiya.html" TargetMode="External" Id="rId412"/><Relationship Type="http://schemas.openxmlformats.org/officeDocument/2006/relationships/hyperlink" Target="https://sadovij-raj.com.ua/p2092408222-sapka-pryamougol'naya-bez-cherenka-153-mm-bellota-(3081.b)-ispaniya.html" TargetMode="External" Id="rId413"/><Relationship Type="http://schemas.openxmlformats.org/officeDocument/2006/relationships/hyperlink" Target="https://sadovij-raj.com.ua/p2062606392-sekator-21-sm-falket--falket-(fal2112)-italiya.html" TargetMode="External" Id="rId414"/><Relationship Type="http://schemas.openxmlformats.org/officeDocument/2006/relationships/hyperlink" Target="https://sadovij-raj.com.ua/p1571728034-sekator-210-mm-bellota-(23523-21.b)-ispaniya.html" TargetMode="External" Id="rId415"/><Relationship Type="http://schemas.openxmlformats.org/officeDocument/2006/relationships/hyperlink" Target="https://sadovij-raj.com.ua/p3103654654-sekator-210-mm-falket--falket-(fal2190)-italiya.html" TargetMode="External" Id="rId416"/><Relationship Type="http://schemas.openxmlformats.org/officeDocument/2006/relationships/hyperlink" Target="https://sadovij-raj.com.ua/p3103438524-sekator-220-mm-falket--falket-(fal2097)-italiya.html" TargetMode="External" Id="rId417"/><Relationship Type="http://schemas.openxmlformats.org/officeDocument/2006/relationships/hyperlink" Target="https://sadovij-raj.com.ua/p1092360909-sekator-220-mm-professional'nyy-dlya-bol'shikh-ruk-bellota-(3512-22.b)-ispaniya.html" TargetMode="External" Id="rId418"/><Relationship Type="http://schemas.openxmlformats.org/officeDocument/2006/relationships/hyperlink" Target="https://sadovij-raj.com.ua/p1097404886-sekator-bahco-pg-12-f-shvetsiya.html" TargetMode="External" Id="rId419"/><Relationship Type="http://schemas.openxmlformats.org/officeDocument/2006/relationships/hyperlink" Target="https://sadovij-raj.com.ua/p1566807363-sekator-due-buoi-(114517,5)-tipa-nozhnitsy-dlinnyye-lezviya-italiya.html" TargetMode="External" Id="rId420"/><Relationship Type="http://schemas.openxmlformats.org/officeDocument/2006/relationships/hyperlink" Target="https://sadovij-raj.com.ua/p3112210015-sekator-due-buoi-(12518s)-italiya.html" TargetMode="External" Id="rId421"/><Relationship Type="http://schemas.openxmlformats.org/officeDocument/2006/relationships/hyperlink" Target="https://sadovij-raj.com.ua/p3112128908-sekator-due-buoi-(12521s)-italiya.html" TargetMode="External" Id="rId422"/><Relationship Type="http://schemas.openxmlformats.org/officeDocument/2006/relationships/hyperlink" Target="https://sadovij-raj.com.ua/p1566833640-sekator-due-buoi-114719-tipa-nozhnitsy-dlya-sbora-plodov-italiya.html" TargetMode="External" Id="rId423"/><Relationship Type="http://schemas.openxmlformats.org/officeDocument/2006/relationships/hyperlink" Target="https://sadovij-raj.com.ua/p2861546365-sekator-kenkatabami-mk-s200-obvodnoy-200-mm.html" TargetMode="External" Id="rId424"/><Relationship Type="http://schemas.openxmlformats.org/officeDocument/2006/relationships/hyperlink" Target="https://sadovij-raj.com.ua/p3108087479-sekator-type-a-200-mm-tendzhu--tenju-(1118882)-yaponiya.html" TargetMode="External" Id="rId425"/><Relationship Type="http://schemas.openxmlformats.org/officeDocument/2006/relationships/hyperlink" Target="https://sadovij-raj.com.ua/p2018481620-sekator-ars--ars-(130dx-r)-sadovyy-obvodnoy-krasnyy-yaponiya.html" TargetMode="External" Id="rId426"/><Relationship Type="http://schemas.openxmlformats.org/officeDocument/2006/relationships/hyperlink" Target="https://sadovij-raj.com.ua/p2018391510-sekator-ars--ars-(140dx-r)-tipa-nozhnitsy-krasnyy-yaponiya.html" TargetMode="External" Id="rId427"/><Relationship Type="http://schemas.openxmlformats.org/officeDocument/2006/relationships/hyperlink" Target="https://sadovij-raj.com.ua/p2019118704-sekator-ars--ars-(140l-dx)-tipa-nozhnitsy-yaponiya.html" TargetMode="External" Id="rId428"/><Relationship Type="http://schemas.openxmlformats.org/officeDocument/2006/relationships/hyperlink" Target="https://sadovij-raj.com.ua/p2063196013-sekator-ars--ars-(180-1.8)-na-shtange-1.8-m-yaponiya.html" TargetMode="External" Id="rId429"/><Relationship Type="http://schemas.openxmlformats.org/officeDocument/2006/relationships/hyperlink" Target="https://sadovij-raj.com.ua/p2063223004-sekator-ars--ars-(180-2.4)-na-shtange-2.4-m-yaponiya.html" TargetMode="External" Id="rId430"/><Relationship Type="http://schemas.openxmlformats.org/officeDocument/2006/relationships/hyperlink" Target="https://sadovij-raj.com.ua/p2790829560-sekator-ars--ars-(180lr-1.8)-na-shtange-1.8-m-yaponiya.html" TargetMode="External" Id="rId431"/><Relationship Type="http://schemas.openxmlformats.org/officeDocument/2006/relationships/hyperlink" Target="https://sadovij-raj.com.ua/p2053222902-sekator-ars--ars-(180lr-2.1)-na-shtange-2.1-m-yaponiya.html" TargetMode="External" Id="rId432"/><Relationship Type="http://schemas.openxmlformats.org/officeDocument/2006/relationships/hyperlink" Target="https://sadovij-raj.com.ua/p2062661908-sekator-ars--ars-(180r-1.8)-na-shtange-1.8-m-yaponiya.html" TargetMode="External" Id="rId433"/><Relationship Type="http://schemas.openxmlformats.org/officeDocument/2006/relationships/hyperlink" Target="https://sadovij-raj.com.ua/p2010448439-sekator-ars--ars-(180zf-3.0-5)-teleskopicheskiy-na-shtange-1.7-3-m-yaponiya.html" TargetMode="External" Id="rId434"/><Relationship Type="http://schemas.openxmlformats.org/officeDocument/2006/relationships/hyperlink" Target="https://sadovij-raj.com.ua/p1557832938-sekator-ars--ars-(300l)-tipa-nozhnitsy-dlinnyye-lezviya-yaponiya.html" TargetMode="External" Id="rId435"/><Relationship Type="http://schemas.openxmlformats.org/officeDocument/2006/relationships/hyperlink" Target="https://ahrotsentr.com.ua/p2019273983-sekator-ars--ars-(cb-8)-sadovyy-obvodnoy-yaponiya.html" TargetMode="External" Id="rId436"/><Relationship Type="http://schemas.openxmlformats.org/officeDocument/2006/relationships/hyperlink" Target="https://sadovij-raj.com.ua/p2359236289-sekator-ars--ars-(cb-8z-)-sadovyy-obvodnoy-yaponiya.html" TargetMode="External" Id="rId437"/><Relationship Type="http://schemas.openxmlformats.org/officeDocument/2006/relationships/hyperlink" Target="https://sadovij-raj.com.ua/p2359289697-sekator-ars--ars-(cb-9z)-sadovyy-obvodnoy-yaponiya.html" TargetMode="External" Id="rId438"/><Relationship Type="http://schemas.openxmlformats.org/officeDocument/2006/relationships/hyperlink" Target="https://sadovij-raj.com.ua/p2359999034-sekator-ars--ars-(fb-7&#8203;&#8203;&#8203;&#8203;&#8203;&#8203;&#8203;)-sadovyy-obvodnoy-yaponiya.html" TargetMode="External" Id="rId439"/><Relationship Type="http://schemas.openxmlformats.org/officeDocument/2006/relationships/hyperlink" Target="https://sadovij-raj.com.ua/p2360121102-sekator-ars--ars-(fb-8)-sadovyy-obvodnoy-yaponiya.html" TargetMode="External" Id="rId440"/><Relationship Type="http://schemas.openxmlformats.org/officeDocument/2006/relationships/hyperlink" Target="https://sadovij-raj.com.ua/p2019150197-sekator-ars--ars-(va-7z)-professional'nyy-s-nakoval'ney-yaponiya.html" TargetMode="External" Id="rId441"/><Relationship Type="http://schemas.openxmlformats.org/officeDocument/2006/relationships/hyperlink" Target="https://sadovij-raj.com.ua/p1557870902-sekator-ars--ars-(va-8z)-professional'nyy-s-nakoval'ney-yaponiya.html" TargetMode="External" Id="rId442"/><Relationship Type="http://schemas.openxmlformats.org/officeDocument/2006/relationships/hyperlink" Target="https://sadovij-raj.com.ua/p2018582347-sekator-ars--ars-(vs-7xz)-professional'nyy-obvodnoy-yaponiya.html" TargetMode="External" Id="rId443"/><Relationship Type="http://schemas.openxmlformats.org/officeDocument/2006/relationships/hyperlink" Target="https://sadovij-raj.com.ua/p2325951457-sekator-ars--ars-(vs-8xr)-sadovyy-s-povorotnoy-ruchkoy-yaponiya.html" TargetMode="External" Id="rId444"/><Relationship Type="http://schemas.openxmlformats.org/officeDocument/2006/relationships/hyperlink" Target="https://sadovij-raj.com.ua/p1557891393-sekator-ars--ars-(vs-8xz)-professional'nyy-obvodnoy-yaponiya.html" TargetMode="External" Id="rId445"/><Relationship Type="http://schemas.openxmlformats.org/officeDocument/2006/relationships/hyperlink" Target="https://sadovij-raj.com.ua/p2365429783-sekator-ars--ars-(vs-9xr)-sadovyy-s-povorotnoy-ruchkoy-yaponiya.html" TargetMode="External" Id="rId446"/><Relationship Type="http://schemas.openxmlformats.org/officeDocument/2006/relationships/hyperlink" Target="https://sadovij-raj.com.ua/p1557923708-sekator-ars--ars-(vs-9xz)-professional'nyy-obvodnoy-yaponiya.html" TargetMode="External" Id="rId447"/><Relationship Type="http://schemas.openxmlformats.org/officeDocument/2006/relationships/hyperlink" Target="https://sadovij-raj.com.ua/p2365537481-sekator-ars--ars-(sv-9)-sadovyy-obvodnoy-yaponiya.html" TargetMode="External" Id="rId448"/><Relationship Type="http://schemas.openxmlformats.org/officeDocument/2006/relationships/hyperlink" Target="https://sadovij-raj.com.ua/p2762312141-sekator-al'pen-ridzhi-300--alpen-rigi-300-dlya-sbora-plodov-shveytsariya.html" TargetMode="External" Id="rId449"/><Relationship Type="http://schemas.openxmlformats.org/officeDocument/2006/relationships/hyperlink" Target="https://sadovij-raj.com.ua/p2863037500-sekator-koshiyi--koshiji-mkk-5-kovannyye-nozhnitsy-dlya-tsvetov-180-mm.html" TargetMode="External" Id="rId450"/><Relationship Type="http://schemas.openxmlformats.org/officeDocument/2006/relationships/hyperlink" Target="https://sadovij-raj.com.ua/p2863047741-sekator-koshiyi--koshiji-mkk-7-kovannyye-nozhnitsy-dlya-tsvetov-170-mm.html" TargetMode="External" Id="rId451"/><Relationship Type="http://schemas.openxmlformats.org/officeDocument/2006/relationships/hyperlink" Target="https://sadovij-raj.com.ua/p3108978503-sekator-akkumulyatornyy-bahco-bcl21.html" TargetMode="External" Id="rId452"/><Relationship Type="http://schemas.openxmlformats.org/officeDocument/2006/relationships/hyperlink" Target="https://sadovij-raj.com.ua/p2381203822-sekator-akkumulyatornyy-bosch-professional-pro-pruner-(06019k1021).html" TargetMode="External" Id="rId453"/><Relationship Type="http://schemas.openxmlformats.org/officeDocument/2006/relationships/hyperlink" Target="https://sadovij-raj.com.ua/p1658181208-sekator-s-dvumya-rezhushchimi-lezviyami-21-sm-falket--falket-(fal2000)--italiya.html" TargetMode="External" Id="rId454"/><Relationship Type="http://schemas.openxmlformats.org/officeDocument/2006/relationships/hyperlink" Target="https://sadovij-raj.com.ua/p2062570443-sekator-s-dvumya-rezhushchimi-lezviyami-so-smeshcheniyem-osi-20-sm--falket--falket-(fal2209)-italiya.html" TargetMode="External" Id="rId455"/><Relationship Type="http://schemas.openxmlformats.org/officeDocument/2006/relationships/hyperlink" Target="https://sadovij-raj.com.ua/p2066203267-sekator-s-nakoval'ney-lowe-original-1.109-germaniya.html" TargetMode="External" Id="rId456"/><Relationship Type="http://schemas.openxmlformats.org/officeDocument/2006/relationships/hyperlink" Target="https://sadovij-raj.com.ua/p2062651340-sekator-s-nakoval'ney-falket--falket-(fal1162)-italiya.html" TargetMode="External" Id="rId457"/><Relationship Type="http://schemas.openxmlformats.org/officeDocument/2006/relationships/hyperlink" Target="https://sadovij-raj.com.ua/p3113355368-sekator-obvodnoy-23-sm-falket--falket-(fal2390)-italiya.html" TargetMode="External" Id="rId458"/><Relationship Type="http://schemas.openxmlformats.org/officeDocument/2006/relationships/hyperlink" Target="https://sadovij-raj.com.ua/p2069472803-sekator-obvodnoy-l'ove--lowe-original-(12.104)-germaniya.html" TargetMode="External" Id="rId459"/><Relationship Type="http://schemas.openxmlformats.org/officeDocument/2006/relationships/hyperlink" Target="https://sadovij-raj.com.ua/p2069431431-sekator-obvodnoy-s-povorotnoy-ruchkoy-l'ove--lowe-original-(12.109)-germaniya.html" TargetMode="External" Id="rId460"/><Relationship Type="http://schemas.openxmlformats.org/officeDocument/2006/relationships/hyperlink" Target="https://sadovij-raj.com.ua/p1255531047-sekator-sadovyy-lowe-original-14.104-(190-mm)-germaniya.html" TargetMode="External" Id="rId461"/><Relationship Type="http://schemas.openxmlformats.org/officeDocument/2006/relationships/hyperlink" Target="https://sadovij-raj.com.ua/p1256461222-sekator-sadovyy-lowe-original-14.107-(germaniya).html" TargetMode="External" Id="rId462"/><Relationship Type="http://schemas.openxmlformats.org/officeDocument/2006/relationships/hyperlink" Target="https://sadovij-raj.com.ua/p1255679073-sekator-sadovyy-lowe-original-15.104.html" TargetMode="External" Id="rId463"/><Relationship Type="http://schemas.openxmlformats.org/officeDocument/2006/relationships/hyperlink" Target="https://sadovij-raj.com.ua/p1558284488-sekator-sadovyy-okatsune-104-(kst104)-210-mm-yaponiya.html" TargetMode="External" Id="rId464"/><Relationship Type="http://schemas.openxmlformats.org/officeDocument/2006/relationships/hyperlink" Target="https://sadovij-raj.com.ua/p2070361508-sekator-sadovyy-l'ove--lowe-original-(11.104)-germaniya.html" TargetMode="External" Id="rId465"/><Relationship Type="http://schemas.openxmlformats.org/officeDocument/2006/relationships/hyperlink" Target="https://sadovij-raj.com.ua/p2623325872-sekator-sadovyy-okat&#183;sune--okatsune-101-(kst101)-yaponiya.html" TargetMode="External" Id="rId466"/><Relationship Type="http://schemas.openxmlformats.org/officeDocument/2006/relationships/hyperlink" Target="https://sadovij-raj.com.ua/p2066478854-sekator-sadovyy-dlya-roz-l'ove--lowe-original-(16.104)-germaniya.html" TargetMode="External" Id="rId467"/><Relationship Type="http://schemas.openxmlformats.org/officeDocument/2006/relationships/hyperlink" Target="https://sadovij-raj.com.ua/p2070477824-sekator-sadovyy-dlya-roz-l'ove--lowe-original-(16.107)-germaniya.html" TargetMode="External" Id="rId468"/><Relationship Type="http://schemas.openxmlformats.org/officeDocument/2006/relationships/hyperlink" Target="https://sadovij-raj.com.ua/p2070332429-sekator-sadovyy-s--povorotnoy-ruchkoy-l'ove--lowe-original-(11.109)-germaniya.html" TargetMode="External" Id="rId469"/><Relationship Type="http://schemas.openxmlformats.org/officeDocument/2006/relationships/hyperlink" Target="https://sadovij-raj.com.ua/p2529271064-sekator-tipa-nozhnitsy-doukan--doukan-(dk-673)-yaponiya.html" TargetMode="External" Id="rId470"/><Relationship Type="http://schemas.openxmlformats.org/officeDocument/2006/relationships/hyperlink" Target="https://sadovij-raj.com.ua/p2618232539-sekator-tipa-nozhnitsy-kamaki--kamaki-(z-21k)-yaponiya.html" TargetMode="External" Id="rId471"/><Relationship Type="http://schemas.openxmlformats.org/officeDocument/2006/relationships/hyperlink" Target="https://sadovij-raj.com.ua/p2618312544-sekator-tipa-nozhnitsy-nishigaki--nishigaki-n-207-yaponiya.html" TargetMode="External" Id="rId472"/><Relationship Type="http://schemas.openxmlformats.org/officeDocument/2006/relationships/hyperlink" Target="https://sadovij-raj.com.ua/p2367848567-sekator-tipa-nozhnitsy-izognutyye-lezviya-ars--ars-(310)-yaponiya.html" TargetMode="External" Id="rId473"/><Relationship Type="http://schemas.openxmlformats.org/officeDocument/2006/relationships/hyperlink" Target="https://sadovij-raj.com.ua/p2364209001-sekator-tipa-nozhnitsy-dlinnyye-lezviya-ars--ars-(300l-dx)-yaponiya.html" TargetMode="External" Id="rId474"/><Relationship Type="http://schemas.openxmlformats.org/officeDocument/2006/relationships/hyperlink" Target="https://sadovij-raj.com.ua/p2070603796-serp-kosa-dlya-travy-32-sm-fuks--fux-(p6201)-avstriya.html" TargetMode="External" Id="rId475"/><Relationship Type="http://schemas.openxmlformats.org/officeDocument/2006/relationships/hyperlink" Target="https://sadovij-raj.com.ua/p2070627489-serp-kosa-dlya-travy-37-sm-fuks--fux-(p6202)-avstriya.html" TargetMode="External" Id="rId476"/><Relationship Type="http://schemas.openxmlformats.org/officeDocument/2006/relationships/hyperlink" Target="https://sadovij-raj.com.ua/p1558227262-skladnaya-pila-silky-gomboy-240-10-(121-24)-yaponiya.html" TargetMode="External" Id="rId477"/><Relationship Type="http://schemas.openxmlformats.org/officeDocument/2006/relationships/hyperlink" Target="https://sadovij-raj.com.ua/p2129597525-skoby-original'nyye-dlya-steplera-tapener-max-(ms93305).html" TargetMode="External" Id="rId478"/><Relationship Type="http://schemas.openxmlformats.org/officeDocument/2006/relationships/hyperlink" Target="https://sadovij-raj.com.ua/p3109134866-topor-silky-ono-120-(568-10)-yaponiya.html" TargetMode="External" Id="rId479"/><Relationship Type="http://schemas.openxmlformats.org/officeDocument/2006/relationships/hyperlink" Target="https://sadovij-raj.com.ua/p3112066026-topor-universal'nyy-turisticheskiy-felko--felco-460-shveytsariya.html" TargetMode="External" Id="rId480"/><Relationship Type="http://schemas.openxmlformats.org/officeDocument/2006/relationships/hyperlink" Target="https://sadovij-raj.com.ua/p1558037445-lenta-dlya-podvyazki-max-tape-10vp-(tp91041)-0.10*11mm*40m*20sht-yaponiya.html" TargetMode="External" Id="rId481"/><Relationship Type="http://schemas.openxmlformats.org/officeDocument/2006/relationships/hyperlink" Target="https://sadovij-raj.com.ua/p1557981706-lenta-dlya-podvyazki-max-tape-15vp-(tp91043)-0.15*11mm*26m*20sht-yaponiya.html" TargetMode="External" Id="rId482"/><Relationship Type="http://schemas.openxmlformats.org/officeDocument/2006/relationships/hyperlink" Target="https://sadovij-raj.com.ua/p2065088985-lenta-dlya-podvyazki-armirovannaya-max-tape-t32b-(tp91510)-0.25*9mm*32m*5sht-dlya-steplera-max-tapener-ht-s45-yaponi.html" TargetMode="External" Id="rId483"/><Relationship Type="http://schemas.openxmlformats.org/officeDocument/2006/relationships/hyperlink" Target="https://sadovij-raj.com.ua/p2116594752-lenta-dlya-steplera-podvyazchika-tapener-samorazlagayushchayasya-bio-nastro-(12maxbiod)-0.15*11mm*26m*10sht-gielle-itali.html" TargetMode="External" Id="rId484"/><Relationship Type="http://schemas.openxmlformats.org/officeDocument/2006/relationships/hyperlink" Target="https://sadovij-raj.com.ua/p1710564589-lenta-plenka-dlya-privivki-66-metrov-(19mm-kh-0.1mm)-samokleyushchayasya-agrichem-(5030005n)-italiya.html" TargetMode="External" Id="rId485"/><Relationship Type="http://schemas.openxmlformats.org/officeDocument/2006/relationships/hyperlink" Target="https://sadovij-raj.com.ua/p1710563727-lenta-plenka-dlya-privivki-agrichem-50-m-(32mm-kh-0.1mm)-bez-perforatsii-(samokleyushchayasya)-(4980005n)-italiya.html" TargetMode="External" Id="rId486"/><Relationship Type="http://schemas.openxmlformats.org/officeDocument/2006/relationships/hyperlink" Target="https://sadovij-raj.com.ua/p2924101753-sumka-smart-reyn--smart-rain-280-l-(sr-bag).html" TargetMode="External" Id="rId487"/><Relationship Type="http://schemas.openxmlformats.org/officeDocument/2006/relationships/hyperlink" Target="https://sadovij-raj.com.ua/p2396327741-sumka-dlya-sbora-urozhaya-1220-kg-manzana-(ww12-20)-ispaniya.html" TargetMode="External" Id="rId488"/><Relationship Type="http://schemas.openxmlformats.org/officeDocument/2006/relationships/hyperlink" Target="https://sadovij-raj.com.ua/p2046868211-sumka-dlya-kembrika-s-remnem-(12margo)-tubet-italiya.html" TargetMode="External" Id="rId489"/><Relationship Type="http://schemas.openxmlformats.org/officeDocument/2006/relationships/hyperlink" Target="https://sadovij-raj.com.ua/p1096957027-suchkorez--vetkorez-felco-200a-60.html" TargetMode="External" Id="rId490"/><Relationship Type="http://schemas.openxmlformats.org/officeDocument/2006/relationships/hyperlink" Target="https://ahrotsentr.com.ua/p1325624340-suchkorez--vetkorez-felco-200a-60.html" TargetMode="External" Id="rId491"/><Relationship Type="http://schemas.openxmlformats.org/officeDocument/2006/relationships/hyperlink" Target="https://sadovij-raj.com.ua/p3101986844-suchkorez-obvodnoy-lowe-natural-series-(n21.080)-derevyannyye-ruchki-germaniya.html" TargetMode="External" Id="rId492"/><Relationship Type="http://schemas.openxmlformats.org/officeDocument/2006/relationships/hyperlink" Target="https://sadovij-raj.com.ua/p2360173102-tochilka-almaznaya-skladnaya-ars--ars-butterfly-(sd-100-bt)-yaponiya.html" TargetMode="External" Id="rId493"/><Relationship Type="http://schemas.openxmlformats.org/officeDocument/2006/relationships/hyperlink" Target="https://sadovij-raj.com.ua/p1558690340-tochil'nyy-kamen'-okatsune-400-grit-(kst412)-yaponiya.html" TargetMode="External" Id="rId494"/><Relationship Type="http://schemas.openxmlformats.org/officeDocument/2006/relationships/hyperlink" Target="https://sadovij-raj.com.ua/p1094558839-tochil'nyy-kamen'-almaz-100-mm-(500-2000-grit)-felco-902.html" TargetMode="External" Id="rId495"/><Relationship Type="http://schemas.openxmlformats.org/officeDocument/2006/relationships/hyperlink" Target="https://sadovij-raj.com.ua/p1991835452-tochil'nyy-instrument-felko--felco-905-shveytsariya.html" TargetMode="External" Id="rId496"/><Relationship Type="http://schemas.openxmlformats.org/officeDocument/2006/relationships/hyperlink" Target="https://sadovij-raj.com.ua/p2041141415-tochil'nyy-instrument-felko--felco-906-shveytsariya.html" TargetMode="External" Id="rId497"/><Relationship Type="http://schemas.openxmlformats.org/officeDocument/2006/relationships/hyperlink" Target="https://sadovij-raj.com.ua/p2438746906-chekhol-dlya-sekatora-due-buoi-(121000550502)-italiya.html" TargetMode="External" Id="rId498"/><Relationship Type="http://schemas.openxmlformats.org/officeDocument/2006/relationships/hyperlink" Target="https://sadovij-raj.com.ua/p1794979379-chekhol-kamuflyazhnyy-80-sm-(131419)-dlya-lopaty-fiskars-solid-1066715.html" TargetMode="External" Id="rId499"/><Relationship Type="http://schemas.openxmlformats.org/officeDocument/2006/relationships/hyperlink" Target="https://sadovij-raj.com.ua/p2429177392-chekhol-chernyy-126-sm-(131426)-dlya-lopaty-fiskars-solid-1066716.html" TargetMode="External" Id="rId500"/><Relationship Type="http://schemas.openxmlformats.org/officeDocument/2006/relationships/hyperlink" Target="https://sadovij-raj.com.ua/p1723556903-chekhol-chernyy-80-sm-(131418)-dlya-lopaty-fiskars-solid-1066715.html" TargetMode="External" Id="rId501"/><Relationship Type="http://schemas.openxmlformats.org/officeDocument/2006/relationships/hyperlink" Target="https://sadovij-raj.com.ua/p2070729899-chekhol-kozhanyy-okat&#183;sune--okatsune-(kst133)-yaponiya.html" TargetMode="External" Id="rId502"/><Relationship Type="http://schemas.openxmlformats.org/officeDocument/2006/relationships/hyperlink" Target="https://sadovij-raj.com.ua/p2071388232-chekhol-kozhanyy-dlya-sekatora-due-buoi-(1297010133)-italiya.html" TargetMode="External" Id="rId503"/><Relationship Type="http://schemas.openxmlformats.org/officeDocument/2006/relationships/hyperlink" Target="https://sadovij-raj.com.ua/p2336647355-privivochnyy-nozh-tina--tina-(60011)-germaniya.html" TargetMode="External" Id="rId504"/><Relationship Type="http://schemas.openxmlformats.org/officeDocument/2006/relationships/hyperlink" Target="https://sadovij-raj.com.ua/p2335461505-privivochnyy-nozh-tina--tina-(63512)-germaniya.html" TargetMode="External" Id="rId505"/><Relationship Type="http://schemas.openxmlformats.org/officeDocument/2006/relationships/hyperlink" Target="https://sadovij-raj.com.ua/p2041430080-privivochnyy-nozh-dlya-okulirovki-s-otdelitelem-kory-due-buoi-211p-sp-ot-italiya.html" TargetMode="External" Id="rId506"/><Relationship Type="http://schemas.openxmlformats.org/officeDocument/2006/relationships/hyperlink" Target="https://sadovij-raj.com.ua/p2335398519-privivochnyy-nozh-dlya-levshi-tina--tina-(64110l)-germaniya.html" TargetMode="External" Id="rId507"/><Relationship Type="http://schemas.openxmlformats.org/officeDocument/2006/relationships/hyperlink" Target="https://sadovij-raj.com.ua/p2041289651-privivochnyy-nozh-s-otdelitelem-kory-due-buoi-224p-sp-ot-italiya.html" TargetMode="External" Id="rId508"/><Relationship Type="http://schemas.openxmlformats.org/officeDocument/2006/relationships/hyperlink" Target="https://sadovij-raj.com.ua/p2341995064-privivochnyy-nozh-s-otdelitelem-kory-tina--tina-(64110f-)-germaniya.html" TargetMode="External" Id="rId509"/><Relationship Type="http://schemas.openxmlformats.org/officeDocument/2006/relationships/hyperlink" Target="https://sadovij-raj.com.ua/p2341832839-privivochnyy-nozh-s-otdelitelem-kory-tina--tina-(64510f-)-germaniya.html" TargetMode="External" Id="rId510"/><Relationship Type="http://schemas.openxmlformats.org/officeDocument/2006/relationships/hyperlink" Target="https://sadovij-raj.com.ua/p2338835540-privivochnyy-nozh-universal'nyy-tina--tina-(600a12)-germaniya.html" TargetMode="External" Id="rId511"/><Relationship Type="http://schemas.openxmlformats.org/officeDocument/2006/relationships/hyperlink" Target="https://sadovij-raj.com.ua/p1095354169-&#8203;&#8203;&#8203;&#8203;&#8203;&#8203;&#8203;nozh-dlya-privivki-victorinox-3.90.20-shveytsariya.html" TargetMode="External" Id="rId5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54" customWidth="1" min="2" max="2"/>
    <col width="11" customWidth="1" min="3" max="3"/>
    <col width="46" customWidth="1" min="4" max="4"/>
    <col width="13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8" customWidth="1" min="11" max="11"/>
    <col width="14" customWidth="1" min="12" max="12"/>
    <col width="12" customWidth="1" min="13" max="13"/>
    <col width="11" customWidth="1" min="14" max="14"/>
    <col width="16" customWidth="1" min="15" max="15"/>
    <col width="14" customWidth="1" min="16" max="16"/>
    <col width="12" customWidth="1" min="17" max="17"/>
    <col width="16" customWidth="1" min="18" max="18"/>
    <col width="11" customWidth="1" min="19" max="19"/>
  </cols>
  <sheetData>
    <row r="1" ht="32" customHeight="1">
      <c r="A1" s="1" t="inlineStr">
        <is>
          <t>Статус</t>
        </is>
      </c>
      <c r="B1" s="1" t="inlineStr">
        <is>
          <t>Що сталось</t>
        </is>
      </c>
      <c r="C1" s="1" t="inlineStr">
        <is>
          <t>Мій ID</t>
        </is>
      </c>
      <c r="D1" s="1" t="inlineStr">
        <is>
          <t>Мій товар</t>
        </is>
      </c>
      <c r="E1" s="1" t="inlineStr">
        <is>
          <t>Моя ціна, грн</t>
        </is>
      </c>
      <c r="F1" s="1" t="inlineStr">
        <is>
          <t>У мене в наявності</t>
        </is>
      </c>
      <c r="G1" s="1" t="inlineStr">
        <is>
          <t>Водоспад: ціна, грн</t>
        </is>
      </c>
      <c r="H1" s="1" t="inlineStr">
        <is>
          <t>Водоспад: наявність</t>
        </is>
      </c>
      <c r="I1" s="1" t="inlineStr">
        <is>
          <t>Клуб Рослин: ціна, грн</t>
        </is>
      </c>
      <c r="J1" s="1" t="inlineStr">
        <is>
          <t>Клуб Рослин: наявність</t>
        </is>
      </c>
      <c r="K1" s="1" t="inlineStr">
        <is>
          <t>Орієнтир</t>
        </is>
      </c>
      <c r="L1" s="1" t="inlineStr">
        <is>
          <t>Ціна орієнтира, грн</t>
        </is>
      </c>
      <c r="M1" s="1" t="inlineStr">
        <is>
          <t>Різниця, грн</t>
        </is>
      </c>
      <c r="N1" s="1" t="inlineStr">
        <is>
          <t>Різниця, %</t>
        </is>
      </c>
      <c r="O1" s="1" t="inlineStr">
        <is>
          <t>Зміна в орієнтира сьогодні, грн</t>
        </is>
      </c>
      <c r="P1" s="1" t="inlineStr">
        <is>
          <t>Змін в орієнтира за 30 днів</t>
        </is>
      </c>
      <c r="Q1" s="1" t="inlineStr">
        <is>
          <t>Розбіжність, днів</t>
        </is>
      </c>
      <c r="R1" s="1" t="inlineStr">
        <is>
          <t>Як зіставлено</t>
        </is>
      </c>
      <c r="S1" s="1" t="inlineStr">
        <is>
          <t>Мій товар</t>
        </is>
      </c>
    </row>
    <row r="2">
      <c r="A2" s="2" t="inlineStr">
        <is>
          <t>Потребує уваги</t>
        </is>
      </c>
      <c r="B2" s="3" t="inlineStr">
        <is>
          <t>Ваша ціна нижча на 5150 грн (90.5%)</t>
        </is>
      </c>
      <c r="C2" s="4" t="inlineStr">
        <is>
          <t>123100400</t>
        </is>
      </c>
      <c r="D2" s="3" t="inlineStr">
        <is>
          <t>Точильний камінь 4000/1000 S&amp;R (123100400) Німеччина</t>
        </is>
      </c>
      <c r="E2" s="5" t="n">
        <v>540</v>
      </c>
      <c r="F2" s="4" t="inlineStr">
        <is>
          <t>так</t>
        </is>
      </c>
      <c r="G2" s="6" t="n">
        <v>5690</v>
      </c>
      <c r="H2" s="4" t="inlineStr">
        <is>
          <t>так</t>
        </is>
      </c>
      <c r="I2" s="5" t="n"/>
      <c r="J2" s="4" t="inlineStr"/>
      <c r="K2" s="4" t="inlineStr">
        <is>
          <t>Водоспад</t>
        </is>
      </c>
      <c r="L2" s="5" t="n">
        <v>5690</v>
      </c>
      <c r="M2" s="5">
        <f>IF(L2="","",E2-L2)</f>
        <v/>
      </c>
      <c r="N2" s="7">
        <f>IF(OR(L2="",L2=0),"",M2/L2)</f>
        <v/>
      </c>
      <c r="O2" s="5" t="n"/>
      <c r="P2" s="4" t="n">
        <v>0</v>
      </c>
      <c r="Q2" s="4" t="n">
        <v>1</v>
      </c>
      <c r="R2" s="4" t="inlineStr">
        <is>
          <t>код</t>
        </is>
      </c>
      <c r="S2" s="8" t="inlineStr">
        <is>
          <t>відкрити</t>
        </is>
      </c>
    </row>
    <row r="3">
      <c r="A3" s="2" t="inlineStr">
        <is>
          <t>Потребує уваги</t>
        </is>
      </c>
      <c r="B3" s="3" t="inlineStr">
        <is>
          <t>Ваша ціна нижча на 4935 грн (86.7%)</t>
        </is>
      </c>
      <c r="C3" s="4" t="inlineStr">
        <is>
          <t>123100402</t>
        </is>
      </c>
      <c r="D3" s="3" t="inlineStr">
        <is>
          <t>Набір точильних каменів 120/240 та 4000/1000 гріт S&amp;R (123100402) Німеччина</t>
        </is>
      </c>
      <c r="E3" s="5" t="n">
        <v>755</v>
      </c>
      <c r="F3" s="4" t="inlineStr">
        <is>
          <t>так</t>
        </is>
      </c>
      <c r="G3" s="6" t="n">
        <v>5690</v>
      </c>
      <c r="H3" s="4" t="inlineStr">
        <is>
          <t>так</t>
        </is>
      </c>
      <c r="I3" s="5" t="n"/>
      <c r="J3" s="4" t="inlineStr"/>
      <c r="K3" s="4" t="inlineStr">
        <is>
          <t>Водоспад</t>
        </is>
      </c>
      <c r="L3" s="5" t="n">
        <v>5690</v>
      </c>
      <c r="M3" s="5">
        <f>IF(L3="","",E3-L3)</f>
        <v/>
      </c>
      <c r="N3" s="7">
        <f>IF(OR(L3="",L3=0),"",M3/L3)</f>
        <v/>
      </c>
      <c r="O3" s="5" t="n"/>
      <c r="P3" s="4" t="n">
        <v>0</v>
      </c>
      <c r="Q3" s="4" t="n">
        <v>1</v>
      </c>
      <c r="R3" s="4" t="inlineStr">
        <is>
          <t>код</t>
        </is>
      </c>
      <c r="S3" s="8" t="inlineStr">
        <is>
          <t>відкрити</t>
        </is>
      </c>
    </row>
    <row r="4">
      <c r="A4" s="2" t="inlineStr">
        <is>
          <t>Потребує уваги</t>
        </is>
      </c>
      <c r="B4" s="3" t="inlineStr">
        <is>
          <t>Ваша ціна нижча на 750 грн (46.9%); Немає в наявності в жодного постачальника</t>
        </is>
      </c>
      <c r="C4" s="4" t="inlineStr">
        <is>
          <t>SD-95-PN</t>
        </is>
      </c>
      <c r="D4" s="3" t="inlineStr">
        <is>
          <t>Точилка діамантова для вигнутих країв АРС / ARS Pen (SD-95-PN) Японія</t>
        </is>
      </c>
      <c r="E4" s="5" t="n">
        <v>849</v>
      </c>
      <c r="F4" s="4" t="inlineStr">
        <is>
          <t>так</t>
        </is>
      </c>
      <c r="G4" s="5" t="n"/>
      <c r="H4" s="4" t="inlineStr"/>
      <c r="I4" s="6" t="n">
        <v>1599</v>
      </c>
      <c r="J4" s="9" t="inlineStr">
        <is>
          <t>ні</t>
        </is>
      </c>
      <c r="K4" s="4" t="inlineStr">
        <is>
          <t>Клуб Рослин</t>
        </is>
      </c>
      <c r="L4" s="5" t="n">
        <v>1599</v>
      </c>
      <c r="M4" s="5">
        <f>IF(L4="","",E4-L4)</f>
        <v/>
      </c>
      <c r="N4" s="7">
        <f>IF(OR(L4="",L4=0),"",M4/L4)</f>
        <v/>
      </c>
      <c r="O4" s="5" t="n"/>
      <c r="P4" s="4" t="n">
        <v>0</v>
      </c>
      <c r="Q4" s="4" t="n">
        <v>1</v>
      </c>
      <c r="R4" s="4" t="inlineStr">
        <is>
          <t>код</t>
        </is>
      </c>
      <c r="S4" s="8" t="inlineStr">
        <is>
          <t>відкрити</t>
        </is>
      </c>
    </row>
    <row r="5">
      <c r="A5" s="2" t="inlineStr">
        <is>
          <t>Потребує уваги</t>
        </is>
      </c>
      <c r="B5" s="3" t="inlineStr">
        <is>
          <t>Ваша ціна нижча на 1557 грн (26.8%)</t>
        </is>
      </c>
      <c r="C5" s="4" t="inlineStr">
        <is>
          <t>0.600.8B2.100</t>
        </is>
      </c>
      <c r="D5" s="3" t="inlineStr">
        <is>
          <t>Секатор Bosch EasyPrune акумуляторний (0.600.8B2.100) Німеччина</t>
        </is>
      </c>
      <c r="E5" s="5" t="n">
        <v>4245</v>
      </c>
      <c r="F5" s="9" t="inlineStr">
        <is>
          <t>ні</t>
        </is>
      </c>
      <c r="G5" s="6" t="n">
        <v>5802</v>
      </c>
      <c r="H5" s="9" t="inlineStr">
        <is>
          <t>ні</t>
        </is>
      </c>
      <c r="I5" s="5" t="n"/>
      <c r="J5" s="4" t="inlineStr"/>
      <c r="K5" s="4" t="inlineStr">
        <is>
          <t>Водоспад</t>
        </is>
      </c>
      <c r="L5" s="5" t="n">
        <v>5802</v>
      </c>
      <c r="M5" s="5">
        <f>IF(L5="","",E5-L5)</f>
        <v/>
      </c>
      <c r="N5" s="7">
        <f>IF(OR(L5="",L5=0),"",M5/L5)</f>
        <v/>
      </c>
      <c r="O5" s="5" t="n"/>
      <c r="P5" s="4" t="n">
        <v>0</v>
      </c>
      <c r="Q5" s="4" t="n">
        <v>1</v>
      </c>
      <c r="R5" s="4" t="inlineStr">
        <is>
          <t>код</t>
        </is>
      </c>
      <c r="S5" s="8" t="inlineStr">
        <is>
          <t>відкрити</t>
        </is>
      </c>
    </row>
    <row r="6">
      <c r="A6" s="2" t="inlineStr">
        <is>
          <t>Потребує уваги</t>
        </is>
      </c>
      <c r="B6" s="3" t="inlineStr">
        <is>
          <t>Ваша ціна нижча на 549 грн (19.6%)</t>
        </is>
      </c>
      <c r="C6" s="4" t="inlineStr">
        <is>
          <t>7249</t>
        </is>
      </c>
      <c r="D6" s="3" t="inlineStr">
        <is>
          <t>Добриво Преміум Фоліар Premium Foliar 19-19-19+ТЕ 15 кг AgroWork Туреччина</t>
        </is>
      </c>
      <c r="E6" s="5" t="n">
        <v>2250</v>
      </c>
      <c r="F6" s="9" t="inlineStr">
        <is>
          <t>ні</t>
        </is>
      </c>
      <c r="G6" s="5" t="n"/>
      <c r="H6" s="4" t="inlineStr"/>
      <c r="I6" s="6" t="n">
        <v>2799</v>
      </c>
      <c r="J6" s="9" t="inlineStr">
        <is>
          <t>ні</t>
        </is>
      </c>
      <c r="K6" s="4" t="inlineStr">
        <is>
          <t>Клуб Рослин</t>
        </is>
      </c>
      <c r="L6" s="5" t="n">
        <v>2799</v>
      </c>
      <c r="M6" s="5">
        <f>IF(L6="","",E6-L6)</f>
        <v/>
      </c>
      <c r="N6" s="7">
        <f>IF(OR(L6="",L6=0),"",M6/L6)</f>
        <v/>
      </c>
      <c r="O6" s="5" t="n"/>
      <c r="P6" s="4" t="n">
        <v>0</v>
      </c>
      <c r="Q6" s="4" t="n">
        <v>1</v>
      </c>
      <c r="R6" s="4" t="inlineStr">
        <is>
          <t>код</t>
        </is>
      </c>
      <c r="S6" s="8" t="inlineStr">
        <is>
          <t>відкрити</t>
        </is>
      </c>
    </row>
    <row r="7">
      <c r="A7" s="2" t="inlineStr">
        <is>
          <t>Потребує уваги</t>
        </is>
      </c>
      <c r="B7" s="3" t="inlineStr">
        <is>
          <t>Ваша ціна нижча на 33 грн (18.5%)</t>
        </is>
      </c>
      <c r="C7" s="4" t="inlineStr">
        <is>
          <t>120500200101</t>
        </is>
      </c>
      <c r="D7" s="3" t="inlineStr">
        <is>
          <t>Маркер перманентний Baumschulen чорний 2 мм (120500200101) Німеччина</t>
        </is>
      </c>
      <c r="E7" s="5" t="n">
        <v>145</v>
      </c>
      <c r="F7" s="9" t="inlineStr">
        <is>
          <t>ні</t>
        </is>
      </c>
      <c r="G7" s="5" t="n"/>
      <c r="H7" s="4" t="inlineStr"/>
      <c r="I7" s="6" t="n">
        <v>178</v>
      </c>
      <c r="J7" s="4" t="inlineStr">
        <is>
          <t>так</t>
        </is>
      </c>
      <c r="K7" s="4" t="inlineStr">
        <is>
          <t>Клуб Рослин</t>
        </is>
      </c>
      <c r="L7" s="5" t="n">
        <v>178</v>
      </c>
      <c r="M7" s="5">
        <f>IF(L7="","",E7-L7)</f>
        <v/>
      </c>
      <c r="N7" s="7">
        <f>IF(OR(L7="",L7=0),"",M7/L7)</f>
        <v/>
      </c>
      <c r="O7" s="5" t="n"/>
      <c r="P7" s="4" t="n">
        <v>0</v>
      </c>
      <c r="Q7" s="4" t="n">
        <v>1</v>
      </c>
      <c r="R7" s="4" t="inlineStr">
        <is>
          <t>код</t>
        </is>
      </c>
      <c r="S7" s="8" t="inlineStr">
        <is>
          <t>відкрити</t>
        </is>
      </c>
    </row>
    <row r="8">
      <c r="A8" s="2" t="inlineStr">
        <is>
          <t>Потребує уваги</t>
        </is>
      </c>
      <c r="B8" s="3" t="inlineStr">
        <is>
          <t>Ваша ціна нижча на 430 грн (16.6%)</t>
        </is>
      </c>
      <c r="C8" s="4" t="inlineStr">
        <is>
          <t>P57-25-F</t>
        </is>
      </c>
      <c r="D8" s="3" t="inlineStr">
        <is>
          <t>Кущоріз Bahco P57-25-F Бахо</t>
        </is>
      </c>
      <c r="E8" s="5" t="n">
        <v>2160</v>
      </c>
      <c r="F8" s="4" t="inlineStr">
        <is>
          <t>так</t>
        </is>
      </c>
      <c r="G8" s="6" t="n">
        <v>2590</v>
      </c>
      <c r="H8" s="4" t="inlineStr">
        <is>
          <t>так</t>
        </is>
      </c>
      <c r="I8" s="5" t="n"/>
      <c r="J8" s="4" t="inlineStr"/>
      <c r="K8" s="4" t="inlineStr">
        <is>
          <t>Водоспад</t>
        </is>
      </c>
      <c r="L8" s="5" t="n">
        <v>2590</v>
      </c>
      <c r="M8" s="5">
        <f>IF(L8="","",E8-L8)</f>
        <v/>
      </c>
      <c r="N8" s="7">
        <f>IF(OR(L8="",L8=0),"",M8/L8)</f>
        <v/>
      </c>
      <c r="O8" s="5" t="n"/>
      <c r="P8" s="4" t="n">
        <v>0</v>
      </c>
      <c r="Q8" s="4" t="n">
        <v>1</v>
      </c>
      <c r="R8" s="4" t="inlineStr">
        <is>
          <t>код</t>
        </is>
      </c>
      <c r="S8" s="8" t="inlineStr">
        <is>
          <t>відкрити</t>
        </is>
      </c>
    </row>
    <row r="9">
      <c r="A9" s="2" t="inlineStr">
        <is>
          <t>Потребує уваги</t>
        </is>
      </c>
      <c r="B9" s="3" t="inlineStr">
        <is>
          <t>Ваша ціна нижча на 450 грн (15.3%)</t>
        </is>
      </c>
      <c r="C9" s="4" t="inlineStr">
        <is>
          <t>PX-M3-R500P</t>
        </is>
      </c>
      <c r="D9" s="3" t="inlineStr">
        <is>
          <t>Секатор Bahco PX-M3 для обрізки саду</t>
        </is>
      </c>
      <c r="E9" s="5" t="n">
        <v>2500</v>
      </c>
      <c r="F9" s="9" t="inlineStr">
        <is>
          <t>ні</t>
        </is>
      </c>
      <c r="G9" s="5" t="n">
        <v>2050</v>
      </c>
      <c r="H9" s="9" t="inlineStr">
        <is>
          <t>ні</t>
        </is>
      </c>
      <c r="I9" s="6" t="n">
        <v>2950</v>
      </c>
      <c r="J9" s="4" t="inlineStr">
        <is>
          <t>так</t>
        </is>
      </c>
      <c r="K9" s="4" t="inlineStr">
        <is>
          <t>Клуб Рослин</t>
        </is>
      </c>
      <c r="L9" s="5" t="n">
        <v>2950</v>
      </c>
      <c r="M9" s="5">
        <f>IF(L9="","",E9-L9)</f>
        <v/>
      </c>
      <c r="N9" s="7">
        <f>IF(OR(L9="",L9=0),"",M9/L9)</f>
        <v/>
      </c>
      <c r="O9" s="5" t="n"/>
      <c r="P9" s="4" t="n">
        <v>0</v>
      </c>
      <c r="Q9" s="4" t="n">
        <v>1</v>
      </c>
      <c r="R9" s="4" t="inlineStr">
        <is>
          <t>назва</t>
        </is>
      </c>
      <c r="S9" s="8" t="inlineStr">
        <is>
          <t>відкрити</t>
        </is>
      </c>
    </row>
    <row r="10">
      <c r="A10" s="2" t="inlineStr">
        <is>
          <t>Потребує уваги</t>
        </is>
      </c>
      <c r="B10" s="3" t="inlineStr">
        <is>
          <t>Ваша ціна нижча на 100 грн (12.5%)</t>
        </is>
      </c>
      <c r="C10" s="4" t="inlineStr">
        <is>
          <t>11827</t>
        </is>
      </c>
      <c r="D10" s="3" t="inlineStr">
        <is>
          <t>Ніж Morakniv Companion MG Olive (11827) Mora Швеція</t>
        </is>
      </c>
      <c r="E10" s="5" t="n">
        <v>699</v>
      </c>
      <c r="F10" s="4" t="inlineStr">
        <is>
          <t>так</t>
        </is>
      </c>
      <c r="G10" s="6" t="n">
        <v>799</v>
      </c>
      <c r="H10" s="4" t="inlineStr">
        <is>
          <t>так</t>
        </is>
      </c>
      <c r="I10" s="5" t="n"/>
      <c r="J10" s="4" t="inlineStr"/>
      <c r="K10" s="4" t="inlineStr">
        <is>
          <t>Водоспад</t>
        </is>
      </c>
      <c r="L10" s="5" t="n">
        <v>799</v>
      </c>
      <c r="M10" s="5">
        <f>IF(L10="","",E10-L10)</f>
        <v/>
      </c>
      <c r="N10" s="7">
        <f>IF(OR(L10="",L10=0),"",M10/L10)</f>
        <v/>
      </c>
      <c r="O10" s="5" t="n"/>
      <c r="P10" s="4" t="n">
        <v>0</v>
      </c>
      <c r="Q10" s="4" t="n">
        <v>1</v>
      </c>
      <c r="R10" s="4" t="inlineStr">
        <is>
          <t>код</t>
        </is>
      </c>
      <c r="S10" s="8" t="inlineStr">
        <is>
          <t>відкрити</t>
        </is>
      </c>
    </row>
    <row r="11">
      <c r="A11" s="2" t="inlineStr">
        <is>
          <t>Потребує уваги</t>
        </is>
      </c>
      <c r="B11" s="3" t="inlineStr">
        <is>
          <t>Ваша ціна нижча на 22 грн (10.0%)</t>
        </is>
      </c>
      <c r="C11" s="4" t="inlineStr">
        <is>
          <t>Rain1</t>
        </is>
      </c>
      <c r="D11" s="3" t="inlineStr">
        <is>
          <t>Опадомір (дощомір) пластиковий 0-50 mm L/m2 (Rain1) Corteva</t>
        </is>
      </c>
      <c r="E11" s="5" t="n">
        <v>198</v>
      </c>
      <c r="F11" s="9" t="inlineStr">
        <is>
          <t>ні</t>
        </is>
      </c>
      <c r="G11" s="6" t="n">
        <v>220</v>
      </c>
      <c r="H11" s="9" t="inlineStr">
        <is>
          <t>ні</t>
        </is>
      </c>
      <c r="I11" s="5" t="n"/>
      <c r="J11" s="4" t="inlineStr"/>
      <c r="K11" s="4" t="inlineStr">
        <is>
          <t>Водоспад</t>
        </is>
      </c>
      <c r="L11" s="5" t="n">
        <v>220</v>
      </c>
      <c r="M11" s="5">
        <f>IF(L11="","",E11-L11)</f>
        <v/>
      </c>
      <c r="N11" s="7">
        <f>IF(OR(L11="",L11=0),"",M11/L11)</f>
        <v/>
      </c>
      <c r="O11" s="5" t="n"/>
      <c r="P11" s="4" t="n">
        <v>0</v>
      </c>
      <c r="Q11" s="4" t="n">
        <v>1</v>
      </c>
      <c r="R11" s="4" t="inlineStr">
        <is>
          <t>код</t>
        </is>
      </c>
      <c r="S11" s="8" t="inlineStr">
        <is>
          <t>відкрити</t>
        </is>
      </c>
    </row>
    <row r="12">
      <c r="A12" s="2" t="inlineStr">
        <is>
          <t>Потребує уваги</t>
        </is>
      </c>
      <c r="B12" s="3" t="inlineStr">
        <is>
          <t>Ваша ціна нижча на 1474 грн (8.7%)</t>
        </is>
      </c>
      <c r="C12" s="4" t="inlineStr">
        <is>
          <t>BCL20IB</t>
        </is>
      </c>
      <c r="D12" s="3" t="inlineStr">
        <is>
          <t>Секатор акумуляторний Bahco BCL20IB Бахо</t>
        </is>
      </c>
      <c r="E12" s="5" t="n">
        <v>15525</v>
      </c>
      <c r="F12" s="9" t="inlineStr">
        <is>
          <t>ні</t>
        </is>
      </c>
      <c r="G12" s="6" t="n">
        <v>16999</v>
      </c>
      <c r="H12" s="9" t="inlineStr">
        <is>
          <t>ні</t>
        </is>
      </c>
      <c r="I12" s="5" t="n"/>
      <c r="J12" s="4" t="inlineStr"/>
      <c r="K12" s="4" t="inlineStr">
        <is>
          <t>Водоспад</t>
        </is>
      </c>
      <c r="L12" s="5" t="n">
        <v>16999</v>
      </c>
      <c r="M12" s="5">
        <f>IF(L12="","",E12-L12)</f>
        <v/>
      </c>
      <c r="N12" s="7">
        <f>IF(OR(L12="",L12=0),"",M12/L12)</f>
        <v/>
      </c>
      <c r="O12" s="5" t="n"/>
      <c r="P12" s="4" t="n">
        <v>0</v>
      </c>
      <c r="Q12" s="4" t="n">
        <v>1</v>
      </c>
      <c r="R12" s="4" t="inlineStr">
        <is>
          <t>код</t>
        </is>
      </c>
      <c r="S12" s="8" t="inlineStr">
        <is>
          <t>відкрити</t>
        </is>
      </c>
    </row>
    <row r="13">
      <c r="A13" s="2" t="inlineStr">
        <is>
          <t>Потребує уваги</t>
        </is>
      </c>
      <c r="B13" s="3" t="inlineStr">
        <is>
          <t>Ваша ціна нижча на 141 грн (8.3%)</t>
        </is>
      </c>
      <c r="C13" s="4" t="inlineStr">
        <is>
          <t>UV-32Е</t>
        </is>
      </c>
      <c r="D13" s="3" t="inlineStr">
        <is>
          <t>Пила АРС / ARS (UV-32E) серповидна з кобурою Японія</t>
        </is>
      </c>
      <c r="E13" s="5" t="n">
        <v>1549</v>
      </c>
      <c r="F13" s="9" t="inlineStr">
        <is>
          <t>ні</t>
        </is>
      </c>
      <c r="G13" s="6" t="n">
        <v>1690</v>
      </c>
      <c r="H13" s="4" t="inlineStr">
        <is>
          <t>так</t>
        </is>
      </c>
      <c r="I13" s="5" t="n"/>
      <c r="J13" s="4" t="inlineStr"/>
      <c r="K13" s="4" t="inlineStr">
        <is>
          <t>Водоспад</t>
        </is>
      </c>
      <c r="L13" s="5" t="n">
        <v>1690</v>
      </c>
      <c r="M13" s="5">
        <f>IF(L13="","",E13-L13)</f>
        <v/>
      </c>
      <c r="N13" s="7">
        <f>IF(OR(L13="",L13=0),"",M13/L13)</f>
        <v/>
      </c>
      <c r="O13" s="5" t="n"/>
      <c r="P13" s="4" t="n">
        <v>0</v>
      </c>
      <c r="Q13" s="4" t="n">
        <v>1</v>
      </c>
      <c r="R13" s="4" t="inlineStr">
        <is>
          <t>код</t>
        </is>
      </c>
      <c r="S13" s="8" t="inlineStr">
        <is>
          <t>відкрити</t>
        </is>
      </c>
    </row>
    <row r="14">
      <c r="A14" s="2" t="inlineStr">
        <is>
          <t>Потребує уваги</t>
        </is>
      </c>
      <c r="B14" s="3" t="inlineStr">
        <is>
          <t>Ваша ціна нижча на 40 грн (7.7%)</t>
        </is>
      </c>
      <c r="C14" s="4" t="inlineStr">
        <is>
          <t>120500100606</t>
        </is>
      </c>
      <c r="D14" s="3" t="inlineStr">
        <is>
          <t>Етикетки на дроті білі ПВХ 2.0 х 10 см 250 шт Німеччина</t>
        </is>
      </c>
      <c r="E14" s="5" t="n">
        <v>479</v>
      </c>
      <c r="F14" s="9" t="inlineStr">
        <is>
          <t>ні</t>
        </is>
      </c>
      <c r="G14" s="5" t="n"/>
      <c r="H14" s="4" t="inlineStr"/>
      <c r="I14" s="6" t="n">
        <v>519</v>
      </c>
      <c r="J14" s="4" t="inlineStr">
        <is>
          <t>так</t>
        </is>
      </c>
      <c r="K14" s="4" t="inlineStr">
        <is>
          <t>Клуб Рослин</t>
        </is>
      </c>
      <c r="L14" s="5" t="n">
        <v>519</v>
      </c>
      <c r="M14" s="5">
        <f>IF(L14="","",E14-L14)</f>
        <v/>
      </c>
      <c r="N14" s="7">
        <f>IF(OR(L14="",L14=0),"",M14/L14)</f>
        <v/>
      </c>
      <c r="O14" s="5" t="n"/>
      <c r="P14" s="4" t="n">
        <v>0</v>
      </c>
      <c r="Q14" s="4" t="n">
        <v>1</v>
      </c>
      <c r="R14" s="4" t="inlineStr">
        <is>
          <t>код</t>
        </is>
      </c>
      <c r="S14" s="8" t="inlineStr">
        <is>
          <t>відкрити</t>
        </is>
      </c>
    </row>
    <row r="15">
      <c r="A15" s="2" t="inlineStr">
        <is>
          <t>Потребує уваги</t>
        </is>
      </c>
      <c r="B15" s="3" t="inlineStr">
        <is>
          <t>Ваша ціна нижча на 55 грн (7.6%)</t>
        </is>
      </c>
      <c r="C15" s="4" t="inlineStr">
        <is>
          <t>120500100703</t>
        </is>
      </c>
      <c r="D15" s="3" t="inlineStr">
        <is>
          <t>Етикетки-кілочки для рослин PET-R білі 1.6 х 10 см 500 шт</t>
        </is>
      </c>
      <c r="E15" s="5" t="n">
        <v>670</v>
      </c>
      <c r="F15" s="9" t="inlineStr">
        <is>
          <t>ні</t>
        </is>
      </c>
      <c r="G15" s="5" t="n"/>
      <c r="H15" s="4" t="inlineStr"/>
      <c r="I15" s="6" t="n">
        <v>725</v>
      </c>
      <c r="J15" s="4" t="inlineStr">
        <is>
          <t>так</t>
        </is>
      </c>
      <c r="K15" s="4" t="inlineStr">
        <is>
          <t>Клуб Рослин</t>
        </is>
      </c>
      <c r="L15" s="5" t="n">
        <v>725</v>
      </c>
      <c r="M15" s="5">
        <f>IF(L15="","",E15-L15)</f>
        <v/>
      </c>
      <c r="N15" s="7">
        <f>IF(OR(L15="",L15=0),"",M15/L15)</f>
        <v/>
      </c>
      <c r="O15" s="5" t="n"/>
      <c r="P15" s="4" t="n">
        <v>0</v>
      </c>
      <c r="Q15" s="4" t="n">
        <v>1</v>
      </c>
      <c r="R15" s="4" t="inlineStr">
        <is>
          <t>код</t>
        </is>
      </c>
      <c r="S15" s="8" t="inlineStr">
        <is>
          <t>відкрити</t>
        </is>
      </c>
    </row>
    <row r="16">
      <c r="A16" s="2" t="inlineStr">
        <is>
          <t>Потребує уваги</t>
        </is>
      </c>
      <c r="B16" s="3" t="inlineStr">
        <is>
          <t>Ваша ціна нижча на 405 грн (7.5%)</t>
        </is>
      </c>
      <c r="C16" s="4" t="inlineStr">
        <is>
          <t>KST 231</t>
        </is>
      </c>
      <c r="D16" s="3" t="inlineStr">
        <is>
          <t>Садові ножиці для живоплоту Окатсуне / Okatsune (KST 231) Японія</t>
        </is>
      </c>
      <c r="E16" s="5" t="n">
        <v>4985</v>
      </c>
      <c r="F16" s="4" t="inlineStr">
        <is>
          <t>так</t>
        </is>
      </c>
      <c r="G16" s="6" t="n">
        <v>5390</v>
      </c>
      <c r="H16" s="4" t="inlineStr">
        <is>
          <t>так</t>
        </is>
      </c>
      <c r="I16" s="5" t="n">
        <v>5390</v>
      </c>
      <c r="J16" s="4" t="inlineStr">
        <is>
          <t>так</t>
        </is>
      </c>
      <c r="K16" s="4" t="inlineStr">
        <is>
          <t>Водоспад</t>
        </is>
      </c>
      <c r="L16" s="5" t="n">
        <v>5390</v>
      </c>
      <c r="M16" s="5">
        <f>IF(L16="","",E16-L16)</f>
        <v/>
      </c>
      <c r="N16" s="7">
        <f>IF(OR(L16="",L16=0),"",M16/L16)</f>
        <v/>
      </c>
      <c r="O16" s="5" t="n"/>
      <c r="P16" s="4" t="n">
        <v>0</v>
      </c>
      <c r="Q16" s="4" t="n">
        <v>1</v>
      </c>
      <c r="R16" s="4" t="inlineStr">
        <is>
          <t>код</t>
        </is>
      </c>
      <c r="S16" s="8" t="inlineStr">
        <is>
          <t>відкрити</t>
        </is>
      </c>
    </row>
    <row r="17">
      <c r="A17" s="2" t="inlineStr">
        <is>
          <t>Потребує уваги</t>
        </is>
      </c>
      <c r="B17" s="3" t="inlineStr">
        <is>
          <t>Ваша ціна нижча на 13 грн (7.3%)</t>
        </is>
      </c>
      <c r="C17" s="4" t="inlineStr">
        <is>
          <t>120500200110</t>
        </is>
      </c>
      <c r="D17" s="3" t="inlineStr">
        <is>
          <t>Маркер перманентний Edding 400 чорний 1.0 мм Німеччина</t>
        </is>
      </c>
      <c r="E17" s="5" t="n">
        <v>165</v>
      </c>
      <c r="F17" s="9" t="inlineStr">
        <is>
          <t>ні</t>
        </is>
      </c>
      <c r="G17" s="5" t="n"/>
      <c r="H17" s="4" t="inlineStr"/>
      <c r="I17" s="6" t="n">
        <v>178</v>
      </c>
      <c r="J17" s="4" t="inlineStr">
        <is>
          <t>так</t>
        </is>
      </c>
      <c r="K17" s="4" t="inlineStr">
        <is>
          <t>Клуб Рослин</t>
        </is>
      </c>
      <c r="L17" s="5" t="n">
        <v>178</v>
      </c>
      <c r="M17" s="5">
        <f>IF(L17="","",E17-L17)</f>
        <v/>
      </c>
      <c r="N17" s="7">
        <f>IF(OR(L17="",L17=0),"",M17/L17)</f>
        <v/>
      </c>
      <c r="O17" s="5" t="n"/>
      <c r="P17" s="4" t="n">
        <v>0</v>
      </c>
      <c r="Q17" s="4" t="n">
        <v>1</v>
      </c>
      <c r="R17" s="4" t="inlineStr">
        <is>
          <t>код</t>
        </is>
      </c>
      <c r="S17" s="8" t="inlineStr">
        <is>
          <t>відкрити</t>
        </is>
      </c>
    </row>
    <row r="18">
      <c r="A18" s="2" t="inlineStr">
        <is>
          <t>Потребує уваги</t>
        </is>
      </c>
      <c r="B18" s="3" t="inlineStr">
        <is>
          <t>Ваша ціна нижча на 14 грн (7.0%)</t>
        </is>
      </c>
      <c r="C18" s="4" t="inlineStr">
        <is>
          <t>120500200103</t>
        </is>
      </c>
      <c r="D18" s="3" t="inlineStr">
        <is>
          <t>Маркер перманентний Pancolor Lumocolor 303F червоний 0.6 мм Staedtler Німеччина</t>
        </is>
      </c>
      <c r="E18" s="5" t="n">
        <v>186</v>
      </c>
      <c r="F18" s="9" t="inlineStr">
        <is>
          <t>ні</t>
        </is>
      </c>
      <c r="G18" s="5" t="n"/>
      <c r="H18" s="4" t="inlineStr"/>
      <c r="I18" s="6" t="n">
        <v>200</v>
      </c>
      <c r="J18" s="4" t="inlineStr">
        <is>
          <t>так</t>
        </is>
      </c>
      <c r="K18" s="4" t="inlineStr">
        <is>
          <t>Клуб Рослин</t>
        </is>
      </c>
      <c r="L18" s="5" t="n">
        <v>200</v>
      </c>
      <c r="M18" s="5">
        <f>IF(L18="","",E18-L18)</f>
        <v/>
      </c>
      <c r="N18" s="7">
        <f>IF(OR(L18="",L18=0),"",M18/L18)</f>
        <v/>
      </c>
      <c r="O18" s="5" t="n"/>
      <c r="P18" s="4" t="n">
        <v>0</v>
      </c>
      <c r="Q18" s="4" t="n">
        <v>1</v>
      </c>
      <c r="R18" s="4" t="inlineStr">
        <is>
          <t>код</t>
        </is>
      </c>
      <c r="S18" s="8" t="inlineStr">
        <is>
          <t>відкрити</t>
        </is>
      </c>
    </row>
    <row r="19">
      <c r="A19" s="2" t="inlineStr">
        <is>
          <t>Потребує уваги</t>
        </is>
      </c>
      <c r="B19" s="3" t="inlineStr">
        <is>
          <t>Ваша ціна нижча на 14 грн (7.0%)</t>
        </is>
      </c>
      <c r="C19" s="4" t="inlineStr">
        <is>
          <t>120500200104</t>
        </is>
      </c>
      <c r="D19" s="3" t="inlineStr">
        <is>
          <t>Маркер перманентний Pancolor Lumocolor 303M чорний 1.0 мм (120500200104) Staedtler Німеччина</t>
        </is>
      </c>
      <c r="E19" s="5" t="n">
        <v>186</v>
      </c>
      <c r="F19" s="9" t="inlineStr">
        <is>
          <t>ні</t>
        </is>
      </c>
      <c r="G19" s="5" t="n"/>
      <c r="H19" s="4" t="inlineStr"/>
      <c r="I19" s="6" t="n">
        <v>200</v>
      </c>
      <c r="J19" s="4" t="inlineStr">
        <is>
          <t>так</t>
        </is>
      </c>
      <c r="K19" s="4" t="inlineStr">
        <is>
          <t>Клуб Рослин</t>
        </is>
      </c>
      <c r="L19" s="5" t="n">
        <v>200</v>
      </c>
      <c r="M19" s="5">
        <f>IF(L19="","",E19-L19)</f>
        <v/>
      </c>
      <c r="N19" s="7">
        <f>IF(OR(L19="",L19=0),"",M19/L19)</f>
        <v/>
      </c>
      <c r="O19" s="5" t="n"/>
      <c r="P19" s="4" t="n">
        <v>0</v>
      </c>
      <c r="Q19" s="4" t="n">
        <v>1</v>
      </c>
      <c r="R19" s="4" t="inlineStr">
        <is>
          <t>код</t>
        </is>
      </c>
      <c r="S19" s="8" t="inlineStr">
        <is>
          <t>відкрити</t>
        </is>
      </c>
    </row>
    <row r="20">
      <c r="A20" s="2" t="inlineStr">
        <is>
          <t>Потребує уваги</t>
        </is>
      </c>
      <c r="B20" s="3" t="inlineStr">
        <is>
          <t>Ваша ціна нижча на 36 грн (6.7%)</t>
        </is>
      </c>
      <c r="C20" s="4" t="inlineStr">
        <is>
          <t>P127-19</t>
        </is>
      </c>
      <c r="D20" s="3" t="inlineStr">
        <is>
          <t>Ножиці для збору врожаю P127-19 Bahco</t>
        </is>
      </c>
      <c r="E20" s="5" t="n">
        <v>504</v>
      </c>
      <c r="F20" s="4" t="inlineStr">
        <is>
          <t>так</t>
        </is>
      </c>
      <c r="G20" s="5" t="n"/>
      <c r="H20" s="4" t="inlineStr"/>
      <c r="I20" s="6" t="n">
        <v>540</v>
      </c>
      <c r="J20" s="4" t="inlineStr">
        <is>
          <t>так</t>
        </is>
      </c>
      <c r="K20" s="4" t="inlineStr">
        <is>
          <t>Клуб Рослин</t>
        </is>
      </c>
      <c r="L20" s="5" t="n">
        <v>540</v>
      </c>
      <c r="M20" s="5">
        <f>IF(L20="","",E20-L20)</f>
        <v/>
      </c>
      <c r="N20" s="7">
        <f>IF(OR(L20="",L20=0),"",M20/L20)</f>
        <v/>
      </c>
      <c r="O20" s="5" t="n"/>
      <c r="P20" s="4" t="n">
        <v>0</v>
      </c>
      <c r="Q20" s="4" t="n">
        <v>1</v>
      </c>
      <c r="R20" s="4" t="inlineStr">
        <is>
          <t>код</t>
        </is>
      </c>
      <c r="S20" s="8" t="inlineStr">
        <is>
          <t>відкрити</t>
        </is>
      </c>
    </row>
    <row r="21">
      <c r="A21" s="2" t="inlineStr">
        <is>
          <t>Потребує уваги</t>
        </is>
      </c>
      <c r="B21" s="3" t="inlineStr">
        <is>
          <t>Ваша ціна нижча на 300 грн (6.7%)</t>
        </is>
      </c>
      <c r="C21" s="4" t="inlineStr">
        <is>
          <t>5386</t>
        </is>
      </c>
      <c r="D21" s="3" t="inlineStr">
        <is>
          <t>Садові ножиці для кущів Окатсуне / Okatsune (KST 216)</t>
        </is>
      </c>
      <c r="E21" s="5" t="n">
        <v>4190</v>
      </c>
      <c r="F21" s="9" t="inlineStr">
        <is>
          <t>ні</t>
        </is>
      </c>
      <c r="G21" s="6" t="n">
        <v>4490</v>
      </c>
      <c r="H21" s="4" t="inlineStr">
        <is>
          <t>так</t>
        </is>
      </c>
      <c r="I21" s="5" t="n">
        <v>4490</v>
      </c>
      <c r="J21" s="4" t="inlineStr">
        <is>
          <t>так</t>
        </is>
      </c>
      <c r="K21" s="4" t="inlineStr">
        <is>
          <t>Водоспад</t>
        </is>
      </c>
      <c r="L21" s="5" t="n">
        <v>4490</v>
      </c>
      <c r="M21" s="5">
        <f>IF(L21="","",E21-L21)</f>
        <v/>
      </c>
      <c r="N21" s="7">
        <f>IF(OR(L21="",L21=0),"",M21/L21)</f>
        <v/>
      </c>
      <c r="O21" s="5" t="n"/>
      <c r="P21" s="4" t="n">
        <v>0</v>
      </c>
      <c r="Q21" s="4" t="n">
        <v>1</v>
      </c>
      <c r="R21" s="4" t="inlineStr">
        <is>
          <t>код</t>
        </is>
      </c>
      <c r="S21" s="10" t="n"/>
    </row>
    <row r="22">
      <c r="A22" s="2" t="inlineStr">
        <is>
          <t>Потребує уваги</t>
        </is>
      </c>
      <c r="B22" s="3" t="inlineStr">
        <is>
          <t>Ваша ціна нижча на 300 грн (6.7%)</t>
        </is>
      </c>
      <c r="C22" s="4" t="inlineStr">
        <is>
          <t>KST 216</t>
        </is>
      </c>
      <c r="D22" s="3" t="inlineStr">
        <is>
          <t>Садові ножиці для кущів Окатсуне / Okatsune (KST216) Японія</t>
        </is>
      </c>
      <c r="E22" s="5" t="n">
        <v>4190</v>
      </c>
      <c r="F22" s="9" t="inlineStr">
        <is>
          <t>ні</t>
        </is>
      </c>
      <c r="G22" s="6" t="n">
        <v>4490</v>
      </c>
      <c r="H22" s="4" t="inlineStr">
        <is>
          <t>так</t>
        </is>
      </c>
      <c r="I22" s="5" t="n">
        <v>4490</v>
      </c>
      <c r="J22" s="4" t="inlineStr">
        <is>
          <t>так</t>
        </is>
      </c>
      <c r="K22" s="4" t="inlineStr">
        <is>
          <t>Водоспад</t>
        </is>
      </c>
      <c r="L22" s="5" t="n">
        <v>4490</v>
      </c>
      <c r="M22" s="5">
        <f>IF(L22="","",E22-L22)</f>
        <v/>
      </c>
      <c r="N22" s="7">
        <f>IF(OR(L22="",L22=0),"",M22/L22)</f>
        <v/>
      </c>
      <c r="O22" s="5" t="n"/>
      <c r="P22" s="4" t="n">
        <v>0</v>
      </c>
      <c r="Q22" s="4" t="n">
        <v>1</v>
      </c>
      <c r="R22" s="4" t="inlineStr">
        <is>
          <t>код</t>
        </is>
      </c>
      <c r="S22" s="8" t="inlineStr">
        <is>
          <t>відкрити</t>
        </is>
      </c>
    </row>
    <row r="23">
      <c r="A23" s="2" t="inlineStr">
        <is>
          <t>Потребує уваги</t>
        </is>
      </c>
      <c r="B23" s="3" t="inlineStr">
        <is>
          <t>Ваша ціна нижча на 139 грн (6.5%)</t>
        </is>
      </c>
      <c r="C23" s="4" t="inlineStr">
        <is>
          <t>2C 380/20</t>
        </is>
      </c>
      <c r="D23" s="3" t="inlineStr">
        <is>
          <t>Секатор Due Cigni 200 мм (2C 380/20) Італія</t>
        </is>
      </c>
      <c r="E23" s="5" t="n">
        <v>1990</v>
      </c>
      <c r="F23" s="9" t="inlineStr">
        <is>
          <t>ні</t>
        </is>
      </c>
      <c r="G23" s="6" t="n">
        <v>2129</v>
      </c>
      <c r="H23" s="4" t="inlineStr">
        <is>
          <t>так</t>
        </is>
      </c>
      <c r="I23" s="5" t="n"/>
      <c r="J23" s="4" t="inlineStr"/>
      <c r="K23" s="4" t="inlineStr">
        <is>
          <t>Водоспад</t>
        </is>
      </c>
      <c r="L23" s="5" t="n">
        <v>2129</v>
      </c>
      <c r="M23" s="5">
        <f>IF(L23="","",E23-L23)</f>
        <v/>
      </c>
      <c r="N23" s="7">
        <f>IF(OR(L23="",L23=0),"",M23/L23)</f>
        <v/>
      </c>
      <c r="O23" s="5" t="n"/>
      <c r="P23" s="4" t="n">
        <v>0</v>
      </c>
      <c r="Q23" s="4" t="n">
        <v>1</v>
      </c>
      <c r="R23" s="4" t="inlineStr">
        <is>
          <t>код</t>
        </is>
      </c>
      <c r="S23" s="8" t="inlineStr">
        <is>
          <t>відкрити</t>
        </is>
      </c>
    </row>
    <row r="24">
      <c r="A24" s="2" t="inlineStr">
        <is>
          <t>Потребує уваги</t>
        </is>
      </c>
      <c r="B24" s="3" t="inlineStr">
        <is>
          <t>Ваша ціна нижча на 53 грн (4.9%)</t>
        </is>
      </c>
      <c r="C24" s="4" t="inlineStr">
        <is>
          <t>R260A</t>
        </is>
      </c>
      <c r="D24" s="3" t="inlineStr">
        <is>
          <t>Запасне опорне лезо для сучкоріза Bahco P-160 R260A</t>
        </is>
      </c>
      <c r="E24" s="5" t="n">
        <v>1037</v>
      </c>
      <c r="F24" s="4" t="inlineStr">
        <is>
          <t>так</t>
        </is>
      </c>
      <c r="G24" s="6" t="n">
        <v>1090</v>
      </c>
      <c r="H24" s="4" t="inlineStr">
        <is>
          <t>так</t>
        </is>
      </c>
      <c r="I24" s="5" t="n">
        <v>1090</v>
      </c>
      <c r="J24" s="4" t="inlineStr">
        <is>
          <t>так</t>
        </is>
      </c>
      <c r="K24" s="4" t="inlineStr">
        <is>
          <t>Водоспад</t>
        </is>
      </c>
      <c r="L24" s="5" t="n">
        <v>1090</v>
      </c>
      <c r="M24" s="5">
        <f>IF(L24="","",E24-L24)</f>
        <v/>
      </c>
      <c r="N24" s="7">
        <f>IF(OR(L24="",L24=0),"",M24/L24)</f>
        <v/>
      </c>
      <c r="O24" s="5" t="n"/>
      <c r="P24" s="4" t="n">
        <v>0</v>
      </c>
      <c r="Q24" s="4" t="n">
        <v>1</v>
      </c>
      <c r="R24" s="4" t="inlineStr">
        <is>
          <t>код</t>
        </is>
      </c>
      <c r="S24" s="8" t="inlineStr">
        <is>
          <t>відкрити</t>
        </is>
      </c>
    </row>
    <row r="25">
      <c r="A25" s="2" t="inlineStr">
        <is>
          <t>Потребує уваги</t>
        </is>
      </c>
      <c r="B25" s="3" t="inlineStr">
        <is>
          <t>Ваша ціна нижча на 5 грн (4.8%)</t>
        </is>
      </c>
      <c r="C25" s="4" t="inlineStr">
        <is>
          <t>23FCSPE12</t>
        </is>
      </c>
      <c r="D25" s="3" t="inlineStr">
        <is>
          <t>Підв`язка для рослин 12 см Х 1000 шт гнучкий сталевий дріт у паперовій оболонці (23FCSPE12) Італія</t>
        </is>
      </c>
      <c r="E25" s="5" t="n">
        <v>100</v>
      </c>
      <c r="F25" s="4" t="inlineStr">
        <is>
          <t>так</t>
        </is>
      </c>
      <c r="G25" s="6" t="n">
        <v>105</v>
      </c>
      <c r="H25" s="4" t="inlineStr">
        <is>
          <t>так</t>
        </is>
      </c>
      <c r="I25" s="5" t="n"/>
      <c r="J25" s="4" t="inlineStr"/>
      <c r="K25" s="4" t="inlineStr">
        <is>
          <t>Водоспад</t>
        </is>
      </c>
      <c r="L25" s="5" t="n">
        <v>105</v>
      </c>
      <c r="M25" s="5">
        <f>IF(L25="","",E25-L25)</f>
        <v/>
      </c>
      <c r="N25" s="7">
        <f>IF(OR(L25="",L25=0),"",M25/L25)</f>
        <v/>
      </c>
      <c r="O25" s="5" t="n"/>
      <c r="P25" s="4" t="n">
        <v>0</v>
      </c>
      <c r="Q25" s="4" t="n">
        <v>1</v>
      </c>
      <c r="R25" s="4" t="inlineStr">
        <is>
          <t>код</t>
        </is>
      </c>
      <c r="S25" s="8" t="inlineStr">
        <is>
          <t>відкрити</t>
        </is>
      </c>
    </row>
    <row r="26">
      <c r="A26" s="2" t="inlineStr">
        <is>
          <t>Потребує уваги</t>
        </is>
      </c>
      <c r="B26" s="3" t="inlineStr">
        <is>
          <t>Ваша ціна нижча на 60 грн (4.8%)</t>
        </is>
      </c>
      <c r="C26" s="4" t="inlineStr">
        <is>
          <t>KST404</t>
        </is>
      </c>
      <c r="D26" s="3" t="inlineStr">
        <is>
          <t>Серп садовий Окатсуне / Okatsune (KST 404) Японія</t>
        </is>
      </c>
      <c r="E26" s="5" t="n">
        <v>1190</v>
      </c>
      <c r="F26" s="4" t="inlineStr">
        <is>
          <t>так</t>
        </is>
      </c>
      <c r="G26" s="6" t="n">
        <v>1250</v>
      </c>
      <c r="H26" s="4" t="inlineStr">
        <is>
          <t>так</t>
        </is>
      </c>
      <c r="I26" s="5" t="n">
        <v>1190</v>
      </c>
      <c r="J26" s="9" t="inlineStr">
        <is>
          <t>ні</t>
        </is>
      </c>
      <c r="K26" s="4" t="inlineStr">
        <is>
          <t>Водоспад</t>
        </is>
      </c>
      <c r="L26" s="5" t="n">
        <v>1250</v>
      </c>
      <c r="M26" s="5">
        <f>IF(L26="","",E26-L26)</f>
        <v/>
      </c>
      <c r="N26" s="7">
        <f>IF(OR(L26="",L26=0),"",M26/L26)</f>
        <v/>
      </c>
      <c r="O26" s="5" t="n"/>
      <c r="P26" s="4" t="n">
        <v>0</v>
      </c>
      <c r="Q26" s="4" t="n">
        <v>1</v>
      </c>
      <c r="R26" s="4" t="inlineStr">
        <is>
          <t>код</t>
        </is>
      </c>
      <c r="S26" s="8" t="inlineStr">
        <is>
          <t>відкрити</t>
        </is>
      </c>
    </row>
    <row r="27">
      <c r="A27" s="2" t="inlineStr">
        <is>
          <t>Потребує уваги</t>
        </is>
      </c>
      <c r="B27" s="3" t="inlineStr">
        <is>
          <t>Ваша ціна нижча на 15 грн (4.3%)</t>
        </is>
      </c>
      <c r="C27" s="4" t="inlineStr">
        <is>
          <t>23FIPEGRVS3</t>
        </is>
      </c>
      <c r="D27" s="3" t="inlineStr">
        <is>
          <t>Агротрубка (кембрик) для підв`язки рослин 3 мм 1 кг 230 м Super extra cordioli (23FIPEGRVS3) Італія</t>
        </is>
      </c>
      <c r="E27" s="5" t="n">
        <v>330</v>
      </c>
      <c r="F27" s="4" t="inlineStr">
        <is>
          <t>так</t>
        </is>
      </c>
      <c r="G27" s="6" t="n">
        <v>345</v>
      </c>
      <c r="H27" s="4" t="inlineStr">
        <is>
          <t>так</t>
        </is>
      </c>
      <c r="I27" s="5" t="n"/>
      <c r="J27" s="4" t="inlineStr"/>
      <c r="K27" s="4" t="inlineStr">
        <is>
          <t>Водоспад</t>
        </is>
      </c>
      <c r="L27" s="5" t="n">
        <v>345</v>
      </c>
      <c r="M27" s="5">
        <f>IF(L27="","",E27-L27)</f>
        <v/>
      </c>
      <c r="N27" s="7">
        <f>IF(OR(L27="",L27=0),"",M27/L27)</f>
        <v/>
      </c>
      <c r="O27" s="5" t="n"/>
      <c r="P27" s="4" t="n">
        <v>0</v>
      </c>
      <c r="Q27" s="4" t="n">
        <v>1</v>
      </c>
      <c r="R27" s="4" t="inlineStr">
        <is>
          <t>код</t>
        </is>
      </c>
      <c r="S27" s="8" t="inlineStr">
        <is>
          <t>відкрити</t>
        </is>
      </c>
    </row>
    <row r="28">
      <c r="A28" s="2" t="inlineStr">
        <is>
          <t>Потребує уваги</t>
        </is>
      </c>
      <c r="B28" s="3" t="inlineStr">
        <is>
          <t>Ваша ціна нижча на 200 грн (4.3%)</t>
        </is>
      </c>
      <c r="C28" s="4" t="inlineStr">
        <is>
          <t>Lopata_M</t>
        </is>
      </c>
      <c r="D28" s="3" t="inlineStr">
        <is>
          <t>Лопата саперна Нівакі / Niwaki 820x160x28 мм 0.98 кг (Lopata_M) Японія</t>
        </is>
      </c>
      <c r="E28" s="5" t="n">
        <v>4399</v>
      </c>
      <c r="F28" s="9" t="inlineStr">
        <is>
          <t>ні</t>
        </is>
      </c>
      <c r="G28" s="6" t="n">
        <v>4599</v>
      </c>
      <c r="H28" s="9" t="inlineStr">
        <is>
          <t>ні</t>
        </is>
      </c>
      <c r="I28" s="5" t="n"/>
      <c r="J28" s="4" t="inlineStr"/>
      <c r="K28" s="4" t="inlineStr">
        <is>
          <t>Водоспад</t>
        </is>
      </c>
      <c r="L28" s="5" t="n">
        <v>4599</v>
      </c>
      <c r="M28" s="5">
        <f>IF(L28="","",E28-L28)</f>
        <v/>
      </c>
      <c r="N28" s="7">
        <f>IF(OR(L28="",L28=0),"",M28/L28)</f>
        <v/>
      </c>
      <c r="O28" s="5" t="n"/>
      <c r="P28" s="4" t="n">
        <v>0</v>
      </c>
      <c r="Q28" s="4" t="n">
        <v>1</v>
      </c>
      <c r="R28" s="4" t="inlineStr">
        <is>
          <t>код</t>
        </is>
      </c>
      <c r="S28" s="8" t="inlineStr">
        <is>
          <t>відкрити</t>
        </is>
      </c>
    </row>
    <row r="29">
      <c r="A29" s="2" t="inlineStr">
        <is>
          <t>Потребує уваги</t>
        </is>
      </c>
      <c r="B29" s="3" t="inlineStr">
        <is>
          <t>Ваша ціна нижча на 40 грн (4.0%)</t>
        </is>
      </c>
      <c r="C29" s="4" t="inlineStr">
        <is>
          <t>KST108</t>
        </is>
      </c>
      <c r="D29" s="3" t="inlineStr">
        <is>
          <t>Чохол шкіряний Окатсуне / Okatsune (KST108) Японія</t>
        </is>
      </c>
      <c r="E29" s="5" t="n">
        <v>950</v>
      </c>
      <c r="F29" s="4" t="inlineStr">
        <is>
          <t>так</t>
        </is>
      </c>
      <c r="G29" s="6" t="n">
        <v>990</v>
      </c>
      <c r="H29" s="4" t="inlineStr">
        <is>
          <t>так</t>
        </is>
      </c>
      <c r="I29" s="5" t="n">
        <v>890</v>
      </c>
      <c r="J29" s="9" t="inlineStr">
        <is>
          <t>ні</t>
        </is>
      </c>
      <c r="K29" s="4" t="inlineStr">
        <is>
          <t>Водоспад</t>
        </is>
      </c>
      <c r="L29" s="5" t="n">
        <v>990</v>
      </c>
      <c r="M29" s="5">
        <f>IF(L29="","",E29-L29)</f>
        <v/>
      </c>
      <c r="N29" s="7">
        <f>IF(OR(L29="",L29=0),"",M29/L29)</f>
        <v/>
      </c>
      <c r="O29" s="5" t="n"/>
      <c r="P29" s="4" t="n">
        <v>0</v>
      </c>
      <c r="Q29" s="4" t="n">
        <v>1</v>
      </c>
      <c r="R29" s="4" t="inlineStr">
        <is>
          <t>код</t>
        </is>
      </c>
      <c r="S29" s="8" t="inlineStr">
        <is>
          <t>відкрити</t>
        </is>
      </c>
    </row>
    <row r="30">
      <c r="A30" s="2" t="inlineStr">
        <is>
          <t>Потребує уваги</t>
        </is>
      </c>
      <c r="B30" s="3" t="inlineStr">
        <is>
          <t>Ваша ціна нижча на 51 грн (3.9%)</t>
        </is>
      </c>
      <c r="C30" s="4" t="inlineStr">
        <is>
          <t>6b06622a-abbb-11ee-bf43-c87f546feb15</t>
        </is>
      </c>
      <c r="D30" s="3" t="inlineStr">
        <is>
          <t>Лопата штикова Bellota 3103 MFVA.B Іспанія</t>
        </is>
      </c>
      <c r="E30" s="5" t="n">
        <v>1259</v>
      </c>
      <c r="F30" s="9" t="inlineStr">
        <is>
          <t>ні</t>
        </is>
      </c>
      <c r="G30" s="5" t="n"/>
      <c r="H30" s="4" t="inlineStr"/>
      <c r="I30" s="6" t="n">
        <v>1310</v>
      </c>
      <c r="J30" s="4" t="inlineStr">
        <is>
          <t>так</t>
        </is>
      </c>
      <c r="K30" s="4" t="inlineStr">
        <is>
          <t>Клуб Рослин</t>
        </is>
      </c>
      <c r="L30" s="5" t="n">
        <v>1310</v>
      </c>
      <c r="M30" s="5">
        <f>IF(L30="","",E30-L30)</f>
        <v/>
      </c>
      <c r="N30" s="7">
        <f>IF(OR(L30="",L30=0),"",M30/L30)</f>
        <v/>
      </c>
      <c r="O30" s="5" t="n"/>
      <c r="P30" s="4" t="n">
        <v>0</v>
      </c>
      <c r="Q30" s="4" t="n">
        <v>1</v>
      </c>
      <c r="R30" s="4" t="inlineStr">
        <is>
          <t>схожа назва</t>
        </is>
      </c>
      <c r="S30" s="10" t="n"/>
    </row>
    <row r="31">
      <c r="A31" s="2" t="inlineStr">
        <is>
          <t>Потребує уваги</t>
        </is>
      </c>
      <c r="B31" s="3" t="inlineStr">
        <is>
          <t>Ваша ціна нижча на 180 грн (3.8%)</t>
        </is>
      </c>
      <c r="C31" s="4" t="inlineStr">
        <is>
          <t>7d31f229-bf5c-11ee-bf58-c87f546feb15</t>
        </is>
      </c>
      <c r="D31" s="3" t="inlineStr">
        <is>
          <t>Коса 660 мм Bellota 2509-26.B Іспанія</t>
        </is>
      </c>
      <c r="E31" s="5" t="n">
        <v>4499</v>
      </c>
      <c r="F31" s="9" t="inlineStr">
        <is>
          <t>ні</t>
        </is>
      </c>
      <c r="G31" s="5" t="n"/>
      <c r="H31" s="4" t="inlineStr"/>
      <c r="I31" s="6" t="n">
        <v>4679</v>
      </c>
      <c r="J31" s="4" t="inlineStr">
        <is>
          <t>так</t>
        </is>
      </c>
      <c r="K31" s="4" t="inlineStr">
        <is>
          <t>Клуб Рослин</t>
        </is>
      </c>
      <c r="L31" s="5" t="n">
        <v>4679</v>
      </c>
      <c r="M31" s="5">
        <f>IF(L31="","",E31-L31)</f>
        <v/>
      </c>
      <c r="N31" s="7">
        <f>IF(OR(L31="",L31=0),"",M31/L31)</f>
        <v/>
      </c>
      <c r="O31" s="5" t="n"/>
      <c r="P31" s="4" t="n">
        <v>0</v>
      </c>
      <c r="Q31" s="4" t="n">
        <v>1</v>
      </c>
      <c r="R31" s="4" t="inlineStr">
        <is>
          <t>код</t>
        </is>
      </c>
      <c r="S31" s="10" t="n"/>
    </row>
    <row r="32">
      <c r="A32" s="2" t="inlineStr">
        <is>
          <t>Потребує уваги</t>
        </is>
      </c>
      <c r="B32" s="3" t="inlineStr">
        <is>
          <t>Ваша ціна нижча на 42 грн (3.5%)</t>
        </is>
      </c>
      <c r="C32" s="4" t="inlineStr">
        <is>
          <t>R185V</t>
        </is>
      </c>
      <c r="D32" s="3" t="inlineStr">
        <is>
          <t>Запасне лезо для гілкоріза Bahco P280 (R185V)</t>
        </is>
      </c>
      <c r="E32" s="5" t="n">
        <v>1148</v>
      </c>
      <c r="F32" s="4" t="inlineStr">
        <is>
          <t>так</t>
        </is>
      </c>
      <c r="G32" s="6" t="n">
        <v>1190</v>
      </c>
      <c r="H32" s="4" t="inlineStr">
        <is>
          <t>так</t>
        </is>
      </c>
      <c r="I32" s="5" t="n"/>
      <c r="J32" s="4" t="inlineStr"/>
      <c r="K32" s="4" t="inlineStr">
        <is>
          <t>Водоспад</t>
        </is>
      </c>
      <c r="L32" s="5" t="n">
        <v>1190</v>
      </c>
      <c r="M32" s="5">
        <f>IF(L32="","",E32-L32)</f>
        <v/>
      </c>
      <c r="N32" s="7">
        <f>IF(OR(L32="",L32=0),"",M32/L32)</f>
        <v/>
      </c>
      <c r="O32" s="5" t="n"/>
      <c r="P32" s="4" t="n">
        <v>0</v>
      </c>
      <c r="Q32" s="4" t="n">
        <v>1</v>
      </c>
      <c r="R32" s="4" t="inlineStr">
        <is>
          <t>код</t>
        </is>
      </c>
      <c r="S32" s="8" t="inlineStr">
        <is>
          <t>відкрити</t>
        </is>
      </c>
    </row>
    <row r="33">
      <c r="A33" s="2" t="inlineStr">
        <is>
          <t>Потребує уваги</t>
        </is>
      </c>
      <c r="B33" s="3" t="inlineStr">
        <is>
          <t>Ваша ціна нижча на 90 грн (3.0%)</t>
        </is>
      </c>
      <c r="C33" s="4" t="inlineStr">
        <is>
          <t>446-24</t>
        </is>
      </c>
      <c r="D33" s="3" t="inlineStr">
        <is>
          <t>Садова пила складна Silky Ultra Accel Curve 240-7.5 (446-24) Японія</t>
        </is>
      </c>
      <c r="E33" s="5" t="n">
        <v>2900</v>
      </c>
      <c r="F33" s="9" t="inlineStr">
        <is>
          <t>ні</t>
        </is>
      </c>
      <c r="G33" s="6" t="n">
        <v>2990</v>
      </c>
      <c r="H33" s="4" t="inlineStr">
        <is>
          <t>так</t>
        </is>
      </c>
      <c r="I33" s="5" t="n"/>
      <c r="J33" s="4" t="inlineStr"/>
      <c r="K33" s="4" t="inlineStr">
        <is>
          <t>Водоспад</t>
        </is>
      </c>
      <c r="L33" s="5" t="n">
        <v>2990</v>
      </c>
      <c r="M33" s="5">
        <f>IF(L33="","",E33-L33)</f>
        <v/>
      </c>
      <c r="N33" s="7">
        <f>IF(OR(L33="",L33=0),"",M33/L33)</f>
        <v/>
      </c>
      <c r="O33" s="5" t="n"/>
      <c r="P33" s="4" t="n">
        <v>0</v>
      </c>
      <c r="Q33" s="4" t="n">
        <v>1</v>
      </c>
      <c r="R33" s="4" t="inlineStr">
        <is>
          <t>код</t>
        </is>
      </c>
      <c r="S33" s="8" t="inlineStr">
        <is>
          <t>відкрити</t>
        </is>
      </c>
    </row>
    <row r="34">
      <c r="A34" s="2" t="inlineStr">
        <is>
          <t>Потребує уваги</t>
        </is>
      </c>
      <c r="B34" s="3" t="inlineStr">
        <is>
          <t>Ваша ціна нижча на 10 грн (2.9%)</t>
        </is>
      </c>
      <c r="C34" s="4" t="inlineStr">
        <is>
          <t>23FIPEGRVS2</t>
        </is>
      </c>
      <c r="D34" s="3" t="inlineStr">
        <is>
          <t>Агротрубка (кембрик) для підв`язки рослин 2 мм 1кг 320 м Super extra cordioli (23FIPEGRVS2) Італія</t>
        </is>
      </c>
      <c r="E34" s="5" t="n">
        <v>340</v>
      </c>
      <c r="F34" s="4" t="inlineStr">
        <is>
          <t>так</t>
        </is>
      </c>
      <c r="G34" s="6" t="n">
        <v>350</v>
      </c>
      <c r="H34" s="4" t="inlineStr">
        <is>
          <t>так</t>
        </is>
      </c>
      <c r="I34" s="5" t="n"/>
      <c r="J34" s="4" t="inlineStr"/>
      <c r="K34" s="4" t="inlineStr">
        <is>
          <t>Водоспад</t>
        </is>
      </c>
      <c r="L34" s="5" t="n">
        <v>350</v>
      </c>
      <c r="M34" s="5">
        <f>IF(L34="","",E34-L34)</f>
        <v/>
      </c>
      <c r="N34" s="7">
        <f>IF(OR(L34="",L34=0),"",M34/L34)</f>
        <v/>
      </c>
      <c r="O34" s="5" t="n"/>
      <c r="P34" s="4" t="n">
        <v>0</v>
      </c>
      <c r="Q34" s="4" t="n">
        <v>1</v>
      </c>
      <c r="R34" s="4" t="inlineStr">
        <is>
          <t>код</t>
        </is>
      </c>
      <c r="S34" s="8" t="inlineStr">
        <is>
          <t>відкрити</t>
        </is>
      </c>
    </row>
    <row r="35">
      <c r="A35" s="2" t="inlineStr">
        <is>
          <t>Потребує уваги</t>
        </is>
      </c>
      <c r="B35" s="3" t="inlineStr">
        <is>
          <t>Ваша ціна нижча на 10 грн (2.8%)</t>
        </is>
      </c>
      <c r="C35" s="4" t="inlineStr">
        <is>
          <t>23FIPEGRVS6</t>
        </is>
      </c>
      <c r="D35" s="3" t="inlineStr">
        <is>
          <t>Агротрубка (кембрик) для підв`язки рослин 6 мм 1 кг 98 м Super extra cordioli (23FIPEGRVS6) Італія</t>
        </is>
      </c>
      <c r="E35" s="5" t="n">
        <v>350</v>
      </c>
      <c r="F35" s="4" t="inlineStr">
        <is>
          <t>так</t>
        </is>
      </c>
      <c r="G35" s="6" t="n">
        <v>360</v>
      </c>
      <c r="H35" s="4" t="inlineStr">
        <is>
          <t>так</t>
        </is>
      </c>
      <c r="I35" s="5" t="n"/>
      <c r="J35" s="4" t="inlineStr"/>
      <c r="K35" s="4" t="inlineStr">
        <is>
          <t>Водоспад</t>
        </is>
      </c>
      <c r="L35" s="5" t="n">
        <v>360</v>
      </c>
      <c r="M35" s="5">
        <f>IF(L35="","",E35-L35)</f>
        <v/>
      </c>
      <c r="N35" s="7">
        <f>IF(OR(L35="",L35=0),"",M35/L35)</f>
        <v/>
      </c>
      <c r="O35" s="5" t="n"/>
      <c r="P35" s="4" t="n">
        <v>0</v>
      </c>
      <c r="Q35" s="4" t="n">
        <v>1</v>
      </c>
      <c r="R35" s="4" t="inlineStr">
        <is>
          <t>код</t>
        </is>
      </c>
      <c r="S35" s="8" t="inlineStr">
        <is>
          <t>відкрити</t>
        </is>
      </c>
    </row>
    <row r="36">
      <c r="A36" s="2" t="inlineStr">
        <is>
          <t>Потребує уваги</t>
        </is>
      </c>
      <c r="B36" s="3" t="inlineStr">
        <is>
          <t>Ваша ціна нижча на 40 грн (2.8%)</t>
        </is>
      </c>
      <c r="C36" s="4" t="inlineStr">
        <is>
          <t>LAP-KNIFE</t>
        </is>
      </c>
      <c r="D36" s="3" t="inlineStr">
        <is>
          <t>Набір Bahco laplander 396 пилка + Knife 2446 ніж (LAP-KNIFE)</t>
        </is>
      </c>
      <c r="E36" s="5" t="n">
        <v>1390</v>
      </c>
      <c r="F36" s="4" t="inlineStr">
        <is>
          <t>так</t>
        </is>
      </c>
      <c r="G36" s="6" t="n">
        <v>1430</v>
      </c>
      <c r="H36" s="4" t="inlineStr">
        <is>
          <t>так</t>
        </is>
      </c>
      <c r="I36" s="5" t="n"/>
      <c r="J36" s="4" t="inlineStr"/>
      <c r="K36" s="4" t="inlineStr">
        <is>
          <t>Водоспад</t>
        </is>
      </c>
      <c r="L36" s="5" t="n">
        <v>1430</v>
      </c>
      <c r="M36" s="5">
        <f>IF(L36="","",E36-L36)</f>
        <v/>
      </c>
      <c r="N36" s="7">
        <f>IF(OR(L36="",L36=0),"",M36/L36)</f>
        <v/>
      </c>
      <c r="O36" s="5" t="n"/>
      <c r="P36" s="4" t="n">
        <v>0</v>
      </c>
      <c r="Q36" s="4" t="n">
        <v>1</v>
      </c>
      <c r="R36" s="4" t="inlineStr">
        <is>
          <t>назва</t>
        </is>
      </c>
      <c r="S36" s="8" t="inlineStr">
        <is>
          <t>відкрити</t>
        </is>
      </c>
    </row>
    <row r="37">
      <c r="A37" s="2" t="inlineStr">
        <is>
          <t>Потребує уваги</t>
        </is>
      </c>
      <c r="B37" s="3" t="inlineStr">
        <is>
          <t>Ваша ціна нижча на 10 грн (2.2%)</t>
        </is>
      </c>
      <c r="C37" s="4" t="inlineStr">
        <is>
          <t>121000332326</t>
        </is>
      </c>
      <c r="D37" s="3" t="inlineStr">
        <is>
          <t>Масло камелии антикоррозионное Kurobara Tsubak 100 млi Hanakumagawa Япония</t>
        </is>
      </c>
      <c r="E37" s="5" t="n">
        <v>445</v>
      </c>
      <c r="F37" s="9" t="inlineStr">
        <is>
          <t>ні</t>
        </is>
      </c>
      <c r="G37" s="5" t="n"/>
      <c r="H37" s="4" t="inlineStr"/>
      <c r="I37" s="6" t="n">
        <v>455</v>
      </c>
      <c r="J37" s="4" t="inlineStr">
        <is>
          <t>так</t>
        </is>
      </c>
      <c r="K37" s="4" t="inlineStr">
        <is>
          <t>Клуб Рослин</t>
        </is>
      </c>
      <c r="L37" s="5" t="n">
        <v>455</v>
      </c>
      <c r="M37" s="5">
        <f>IF(L37="","",E37-L37)</f>
        <v/>
      </c>
      <c r="N37" s="7">
        <f>IF(OR(L37="",L37=0),"",M37/L37)</f>
        <v/>
      </c>
      <c r="O37" s="5" t="n"/>
      <c r="P37" s="4" t="n">
        <v>0</v>
      </c>
      <c r="Q37" s="4" t="n">
        <v>1</v>
      </c>
      <c r="R37" s="4" t="inlineStr">
        <is>
          <t>код</t>
        </is>
      </c>
      <c r="S37" s="10" t="n"/>
    </row>
    <row r="38">
      <c r="A38" s="2" t="inlineStr">
        <is>
          <t>Потребує уваги</t>
        </is>
      </c>
      <c r="B38" s="3" t="inlineStr">
        <is>
          <t>Ваша ціна нижча на 42 грн (1.9%)</t>
        </is>
      </c>
      <c r="C38" s="4" t="inlineStr">
        <is>
          <t>P34-27A-F</t>
        </is>
      </c>
      <c r="D38" s="3" t="inlineStr">
        <is>
          <t>Висоторіз Bahco P34-27A-F</t>
        </is>
      </c>
      <c r="E38" s="5" t="n">
        <v>2148</v>
      </c>
      <c r="F38" s="4" t="inlineStr">
        <is>
          <t>так</t>
        </is>
      </c>
      <c r="G38" s="6" t="n">
        <v>2190</v>
      </c>
      <c r="H38" s="4" t="inlineStr">
        <is>
          <t>так</t>
        </is>
      </c>
      <c r="I38" s="5" t="n">
        <v>2190</v>
      </c>
      <c r="J38" s="4" t="inlineStr">
        <is>
          <t>так</t>
        </is>
      </c>
      <c r="K38" s="4" t="inlineStr">
        <is>
          <t>Водоспад</t>
        </is>
      </c>
      <c r="L38" s="5" t="n">
        <v>2190</v>
      </c>
      <c r="M38" s="5">
        <f>IF(L38="","",E38-L38)</f>
        <v/>
      </c>
      <c r="N38" s="7">
        <f>IF(OR(L38="",L38=0),"",M38/L38)</f>
        <v/>
      </c>
      <c r="O38" s="5" t="n"/>
      <c r="P38" s="4" t="n">
        <v>0</v>
      </c>
      <c r="Q38" s="4" t="n">
        <v>1</v>
      </c>
      <c r="R38" s="4" t="inlineStr">
        <is>
          <t>код</t>
        </is>
      </c>
      <c r="S38" s="8" t="inlineStr">
        <is>
          <t>відкрити</t>
        </is>
      </c>
    </row>
    <row r="39">
      <c r="A39" s="2" t="inlineStr">
        <is>
          <t>Потребує уваги</t>
        </is>
      </c>
      <c r="B39" s="3" t="inlineStr">
        <is>
          <t>Ваша ціна нижча на 5 грн (1.5%)</t>
        </is>
      </c>
      <c r="C39" s="4" t="inlineStr">
        <is>
          <t>5170007N</t>
        </is>
      </c>
      <c r="D39" s="3" t="inlineStr">
        <is>
          <t>Віск для щеплення червоний гранульований з фунгіцидами Plastigreffe 6535 - 500 г (5170007N) AgriChem Італія</t>
        </is>
      </c>
      <c r="E39" s="5" t="n">
        <v>320</v>
      </c>
      <c r="F39" s="4" t="inlineStr">
        <is>
          <t>так</t>
        </is>
      </c>
      <c r="G39" s="6" t="n">
        <v>325</v>
      </c>
      <c r="H39" s="4" t="inlineStr">
        <is>
          <t>так</t>
        </is>
      </c>
      <c r="I39" s="5" t="n"/>
      <c r="J39" s="4" t="inlineStr"/>
      <c r="K39" s="4" t="inlineStr">
        <is>
          <t>Водоспад</t>
        </is>
      </c>
      <c r="L39" s="5" t="n">
        <v>325</v>
      </c>
      <c r="M39" s="5">
        <f>IF(L39="","",E39-L39)</f>
        <v/>
      </c>
      <c r="N39" s="7">
        <f>IF(OR(L39="",L39=0),"",M39/L39)</f>
        <v/>
      </c>
      <c r="O39" s="5" t="n"/>
      <c r="P39" s="4" t="n">
        <v>0</v>
      </c>
      <c r="Q39" s="4" t="n">
        <v>1</v>
      </c>
      <c r="R39" s="4" t="inlineStr">
        <is>
          <t>код</t>
        </is>
      </c>
      <c r="S39" s="8" t="inlineStr">
        <is>
          <t>відкрити</t>
        </is>
      </c>
    </row>
    <row r="40">
      <c r="A40" s="2" t="inlineStr">
        <is>
          <t>Потребує уваги</t>
        </is>
      </c>
      <c r="B40" s="3" t="inlineStr">
        <is>
          <t>Ваша ціна нижча на 60 грн (1.5%)</t>
        </is>
      </c>
      <c r="C40" s="4" t="inlineStr">
        <is>
          <t>P160-SL-75</t>
        </is>
      </c>
      <c r="D40" s="3" t="inlineStr">
        <is>
          <t>Гілкоріз Bahco P160-SL-75</t>
        </is>
      </c>
      <c r="E40" s="5" t="n">
        <v>3990</v>
      </c>
      <c r="F40" s="4" t="inlineStr">
        <is>
          <t>так</t>
        </is>
      </c>
      <c r="G40" s="6" t="n">
        <v>4050</v>
      </c>
      <c r="H40" s="4" t="inlineStr">
        <is>
          <t>так</t>
        </is>
      </c>
      <c r="I40" s="5" t="n">
        <v>4050</v>
      </c>
      <c r="J40" s="4" t="inlineStr">
        <is>
          <t>так</t>
        </is>
      </c>
      <c r="K40" s="4" t="inlineStr">
        <is>
          <t>Водоспад</t>
        </is>
      </c>
      <c r="L40" s="5" t="n">
        <v>4050</v>
      </c>
      <c r="M40" s="5">
        <f>IF(L40="","",E40-L40)</f>
        <v/>
      </c>
      <c r="N40" s="7">
        <f>IF(OR(L40="",L40=0),"",M40/L40)</f>
        <v/>
      </c>
      <c r="O40" s="5" t="n"/>
      <c r="P40" s="4" t="n">
        <v>0</v>
      </c>
      <c r="Q40" s="4" t="n">
        <v>1</v>
      </c>
      <c r="R40" s="4" t="inlineStr">
        <is>
          <t>код</t>
        </is>
      </c>
      <c r="S40" s="8" t="inlineStr">
        <is>
          <t>відкрити</t>
        </is>
      </c>
    </row>
    <row r="41">
      <c r="A41" s="2" t="inlineStr">
        <is>
          <t>Потребує уваги</t>
        </is>
      </c>
      <c r="B41" s="3" t="inlineStr">
        <is>
          <t>Ваша ціна нижча на 5 грн (1.4%); Немає в наявності в жодного постачальника</t>
        </is>
      </c>
      <c r="C41" s="4" t="inlineStr">
        <is>
          <t>23FIPEGRVS4</t>
        </is>
      </c>
      <c r="D41" s="3" t="inlineStr">
        <is>
          <t>Агротрубка (кембрик) для підв`язки рослин 4 мм 1 кг 160 м Super extra Cordioli (23FIPEGRVS4) Італія</t>
        </is>
      </c>
      <c r="E41" s="5" t="n">
        <v>340</v>
      </c>
      <c r="F41" s="4" t="inlineStr">
        <is>
          <t>так</t>
        </is>
      </c>
      <c r="G41" s="6" t="n">
        <v>345</v>
      </c>
      <c r="H41" s="9" t="inlineStr">
        <is>
          <t>ні</t>
        </is>
      </c>
      <c r="I41" s="5" t="n"/>
      <c r="J41" s="4" t="inlineStr"/>
      <c r="K41" s="4" t="inlineStr">
        <is>
          <t>Водоспад</t>
        </is>
      </c>
      <c r="L41" s="5" t="n">
        <v>345</v>
      </c>
      <c r="M41" s="5">
        <f>IF(L41="","",E41-L41)</f>
        <v/>
      </c>
      <c r="N41" s="7">
        <f>IF(OR(L41="",L41=0),"",M41/L41)</f>
        <v/>
      </c>
      <c r="O41" s="5" t="n"/>
      <c r="P41" s="4" t="n">
        <v>0</v>
      </c>
      <c r="Q41" s="4" t="n">
        <v>1</v>
      </c>
      <c r="R41" s="4" t="inlineStr">
        <is>
          <t>код</t>
        </is>
      </c>
      <c r="S41" s="8" t="inlineStr">
        <is>
          <t>відкрити</t>
        </is>
      </c>
    </row>
    <row r="42">
      <c r="A42" s="2" t="inlineStr">
        <is>
          <t>Потребує уваги</t>
        </is>
      </c>
      <c r="B42" s="3" t="inlineStr">
        <is>
          <t>Ваша ціна нижча на 5 грн (1.4%)</t>
        </is>
      </c>
      <c r="C42" s="4" t="inlineStr">
        <is>
          <t>23FIPEGRVS5</t>
        </is>
      </c>
      <c r="D42" s="3" t="inlineStr">
        <is>
          <t>Агротрубка (кембрик) для підв`язки рослин 5 мм 1 кг 120 м Super extra cordioli (23FIPEGRVS5) Італія</t>
        </is>
      </c>
      <c r="E42" s="5" t="n">
        <v>340</v>
      </c>
      <c r="F42" s="4" t="inlineStr">
        <is>
          <t>так</t>
        </is>
      </c>
      <c r="G42" s="6" t="n">
        <v>345</v>
      </c>
      <c r="H42" s="4" t="inlineStr">
        <is>
          <t>так</t>
        </is>
      </c>
      <c r="I42" s="5" t="n"/>
      <c r="J42" s="4" t="inlineStr"/>
      <c r="K42" s="4" t="inlineStr">
        <is>
          <t>Водоспад</t>
        </is>
      </c>
      <c r="L42" s="5" t="n">
        <v>345</v>
      </c>
      <c r="M42" s="5">
        <f>IF(L42="","",E42-L42)</f>
        <v/>
      </c>
      <c r="N42" s="7">
        <f>IF(OR(L42="",L42=0),"",M42/L42)</f>
        <v/>
      </c>
      <c r="O42" s="5" t="n"/>
      <c r="P42" s="4" t="n">
        <v>0</v>
      </c>
      <c r="Q42" s="4" t="n">
        <v>1</v>
      </c>
      <c r="R42" s="4" t="inlineStr">
        <is>
          <t>код</t>
        </is>
      </c>
      <c r="S42" s="8" t="inlineStr">
        <is>
          <t>відкрити</t>
        </is>
      </c>
    </row>
    <row r="43">
      <c r="A43" s="2" t="inlineStr">
        <is>
          <t>Потребує уваги</t>
        </is>
      </c>
      <c r="B43" s="3" t="inlineStr">
        <is>
          <t>Ваша ціна нижча на 5 грн (1.4%)</t>
        </is>
      </c>
      <c r="C43" s="4" t="inlineStr">
        <is>
          <t>R144PV</t>
        </is>
      </c>
      <c r="D43" s="3" t="inlineStr">
        <is>
          <t>Центральний болт і гайка до сучкоріза Bahco P-160 R144PV</t>
        </is>
      </c>
      <c r="E43" s="5" t="n">
        <v>345</v>
      </c>
      <c r="F43" s="4" t="inlineStr">
        <is>
          <t>так</t>
        </is>
      </c>
      <c r="G43" s="6" t="n">
        <v>350</v>
      </c>
      <c r="H43" s="4" t="inlineStr">
        <is>
          <t>так</t>
        </is>
      </c>
      <c r="I43" s="5" t="n"/>
      <c r="J43" s="4" t="inlineStr"/>
      <c r="K43" s="4" t="inlineStr">
        <is>
          <t>Водоспад</t>
        </is>
      </c>
      <c r="L43" s="5" t="n">
        <v>350</v>
      </c>
      <c r="M43" s="5">
        <f>IF(L43="","",E43-L43)</f>
        <v/>
      </c>
      <c r="N43" s="7">
        <f>IF(OR(L43="",L43=0),"",M43/L43)</f>
        <v/>
      </c>
      <c r="O43" s="5" t="n"/>
      <c r="P43" s="4" t="n">
        <v>0</v>
      </c>
      <c r="Q43" s="4" t="n">
        <v>1</v>
      </c>
      <c r="R43" s="4" t="inlineStr">
        <is>
          <t>код</t>
        </is>
      </c>
      <c r="S43" s="8" t="inlineStr">
        <is>
          <t>відкрити</t>
        </is>
      </c>
    </row>
    <row r="44">
      <c r="A44" s="2" t="inlineStr">
        <is>
          <t>Потребує уваги</t>
        </is>
      </c>
      <c r="B44" s="3" t="inlineStr">
        <is>
          <t>Ваша ціна нижча на 4 грн (1.3%)</t>
        </is>
      </c>
      <c r="C44" s="4" t="inlineStr">
        <is>
          <t>5070007N</t>
        </is>
      </c>
      <c r="D44" s="3" t="inlineStr">
        <is>
          <t>Віск для щеплення троянд Plastifina 5470 - 900 г (5070007N) AgriChem Італія</t>
        </is>
      </c>
      <c r="E44" s="5" t="n">
        <v>295</v>
      </c>
      <c r="F44" s="9" t="inlineStr">
        <is>
          <t>ні</t>
        </is>
      </c>
      <c r="G44" s="6" t="n">
        <v>299</v>
      </c>
      <c r="H44" s="9" t="inlineStr">
        <is>
          <t>ні</t>
        </is>
      </c>
      <c r="I44" s="5" t="n"/>
      <c r="J44" s="4" t="inlineStr"/>
      <c r="K44" s="4" t="inlineStr">
        <is>
          <t>Водоспад</t>
        </is>
      </c>
      <c r="L44" s="5" t="n">
        <v>299</v>
      </c>
      <c r="M44" s="5">
        <f>IF(L44="","",E44-L44)</f>
        <v/>
      </c>
      <c r="N44" s="7">
        <f>IF(OR(L44="",L44=0),"",M44/L44)</f>
        <v/>
      </c>
      <c r="O44" s="5" t="n"/>
      <c r="P44" s="4" t="n">
        <v>0</v>
      </c>
      <c r="Q44" s="4" t="n">
        <v>1</v>
      </c>
      <c r="R44" s="4" t="inlineStr">
        <is>
          <t>код</t>
        </is>
      </c>
      <c r="S44" s="8" t="inlineStr">
        <is>
          <t>відкрити</t>
        </is>
      </c>
    </row>
    <row r="45">
      <c r="A45" s="2" t="inlineStr">
        <is>
          <t>Потребує уваги</t>
        </is>
      </c>
      <c r="B45" s="3" t="inlineStr">
        <is>
          <t>Ваша ціна нижча на 10 грн (1.2%); Немає в наявності в жодного постачальника</t>
        </is>
      </c>
      <c r="C45" s="4" t="inlineStr">
        <is>
          <t>97004.A</t>
        </is>
      </c>
      <c r="D45" s="3" t="inlineStr">
        <is>
          <t>Чохол шкіряний для секатора професійний Алтуна / Altuna (97004.A) Іспанія</t>
        </is>
      </c>
      <c r="E45" s="5" t="n">
        <v>859</v>
      </c>
      <c r="F45" s="4" t="inlineStr">
        <is>
          <t>так</t>
        </is>
      </c>
      <c r="G45" s="6" t="n">
        <v>869</v>
      </c>
      <c r="H45" s="9" t="inlineStr">
        <is>
          <t>ні</t>
        </is>
      </c>
      <c r="I45" s="5" t="n"/>
      <c r="J45" s="4" t="inlineStr"/>
      <c r="K45" s="4" t="inlineStr">
        <is>
          <t>Водоспад</t>
        </is>
      </c>
      <c r="L45" s="5" t="n">
        <v>869</v>
      </c>
      <c r="M45" s="5">
        <f>IF(L45="","",E45-L45)</f>
        <v/>
      </c>
      <c r="N45" s="7">
        <f>IF(OR(L45="",L45=0),"",M45/L45)</f>
        <v/>
      </c>
      <c r="O45" s="5" t="n"/>
      <c r="P45" s="4" t="n">
        <v>0</v>
      </c>
      <c r="Q45" s="4" t="n">
        <v>1</v>
      </c>
      <c r="R45" s="4" t="inlineStr">
        <is>
          <t>код</t>
        </is>
      </c>
      <c r="S45" s="8" t="inlineStr">
        <is>
          <t>відкрити</t>
        </is>
      </c>
    </row>
    <row r="46">
      <c r="A46" s="2" t="inlineStr">
        <is>
          <t>Потребує уваги</t>
        </is>
      </c>
      <c r="B46" s="3" t="inlineStr">
        <is>
          <t>Ваша ціна нижча на 29 грн (0.7%)</t>
        </is>
      </c>
      <c r="C46" s="4" t="inlineStr">
        <is>
          <t>7245</t>
        </is>
      </c>
      <c r="D46" s="3" t="inlineStr">
        <is>
          <t>Добриво Терафлекс Terraflex (17-17-17+TE) 25 кг SmartGrow Бельгія</t>
        </is>
      </c>
      <c r="E46" s="5" t="n">
        <v>3850</v>
      </c>
      <c r="F46" s="9" t="inlineStr">
        <is>
          <t>ні</t>
        </is>
      </c>
      <c r="G46" s="5" t="n"/>
      <c r="H46" s="4" t="inlineStr"/>
      <c r="I46" s="6" t="n">
        <v>3879</v>
      </c>
      <c r="J46" s="9" t="inlineStr">
        <is>
          <t>ні</t>
        </is>
      </c>
      <c r="K46" s="4" t="inlineStr">
        <is>
          <t>Клуб Рослин</t>
        </is>
      </c>
      <c r="L46" s="5" t="n">
        <v>3879</v>
      </c>
      <c r="M46" s="5">
        <f>IF(L46="","",E46-L46)</f>
        <v/>
      </c>
      <c r="N46" s="7">
        <f>IF(OR(L46="",L46=0),"",M46/L46)</f>
        <v/>
      </c>
      <c r="O46" s="5" t="n"/>
      <c r="P46" s="4" t="n">
        <v>0</v>
      </c>
      <c r="Q46" s="4" t="n">
        <v>1</v>
      </c>
      <c r="R46" s="4" t="inlineStr">
        <is>
          <t>код</t>
        </is>
      </c>
      <c r="S46" s="10" t="n"/>
    </row>
    <row r="47">
      <c r="A47" s="2" t="inlineStr">
        <is>
          <t>Потребує уваги</t>
        </is>
      </c>
      <c r="B47" s="3" t="inlineStr">
        <is>
          <t>Ваша ціна нижча на 15 грн (0.6%)</t>
        </is>
      </c>
      <c r="C47" s="4" t="inlineStr">
        <is>
          <t>NJP811</t>
        </is>
      </c>
      <c r="D47" s="3" t="inlineStr">
        <is>
          <t>Ніж Rikugatana S нержавіюча сталь DSR1K6 DAIDO Нісаку / Nisaku (NJP811) Японія</t>
        </is>
      </c>
      <c r="E47" s="5" t="n">
        <v>2475</v>
      </c>
      <c r="F47" s="9" t="inlineStr">
        <is>
          <t>ні</t>
        </is>
      </c>
      <c r="G47" s="6" t="n">
        <v>2490</v>
      </c>
      <c r="H47" s="9" t="inlineStr">
        <is>
          <t>ні</t>
        </is>
      </c>
      <c r="I47" s="5" t="n"/>
      <c r="J47" s="4" t="inlineStr"/>
      <c r="K47" s="4" t="inlineStr">
        <is>
          <t>Водоспад</t>
        </is>
      </c>
      <c r="L47" s="5" t="n">
        <v>2490</v>
      </c>
      <c r="M47" s="5">
        <f>IF(L47="","",E47-L47)</f>
        <v/>
      </c>
      <c r="N47" s="7">
        <f>IF(OR(L47="",L47=0),"",M47/L47)</f>
        <v/>
      </c>
      <c r="O47" s="5" t="n"/>
      <c r="P47" s="4" t="n">
        <v>0</v>
      </c>
      <c r="Q47" s="4" t="n">
        <v>1</v>
      </c>
      <c r="R47" s="4" t="inlineStr">
        <is>
          <t>код</t>
        </is>
      </c>
      <c r="S47" s="8" t="inlineStr">
        <is>
          <t>відкрити</t>
        </is>
      </c>
    </row>
    <row r="48">
      <c r="A48" s="2" t="inlineStr">
        <is>
          <t>Потребує уваги</t>
        </is>
      </c>
      <c r="B48" s="3" t="inlineStr">
        <is>
          <t>Ваша ціна нижча на 4 грн (0.4%)</t>
        </is>
      </c>
      <c r="C48" s="4" t="inlineStr">
        <is>
          <t>1001580</t>
        </is>
      </c>
      <c r="D48" s="3" t="inlineStr">
        <is>
          <t>Лопата совкова Fiskars ErgoComfort 132911 (1001580) Фінляндія</t>
        </is>
      </c>
      <c r="E48" s="5" t="n">
        <v>1095</v>
      </c>
      <c r="F48" s="9" t="inlineStr">
        <is>
          <t>ні</t>
        </is>
      </c>
      <c r="G48" s="6" t="n">
        <v>1099</v>
      </c>
      <c r="H48" s="9" t="inlineStr">
        <is>
          <t>ні</t>
        </is>
      </c>
      <c r="I48" s="5" t="n"/>
      <c r="J48" s="4" t="inlineStr"/>
      <c r="K48" s="4" t="inlineStr">
        <is>
          <t>Водоспад</t>
        </is>
      </c>
      <c r="L48" s="5" t="n">
        <v>1099</v>
      </c>
      <c r="M48" s="5">
        <f>IF(L48="","",E48-L48)</f>
        <v/>
      </c>
      <c r="N48" s="7">
        <f>IF(OR(L48="",L48=0),"",M48/L48)</f>
        <v/>
      </c>
      <c r="O48" s="5" t="n"/>
      <c r="P48" s="4" t="n">
        <v>0</v>
      </c>
      <c r="Q48" s="4" t="n">
        <v>1</v>
      </c>
      <c r="R48" s="4" t="inlineStr">
        <is>
          <t>код</t>
        </is>
      </c>
      <c r="S48" s="8" t="inlineStr">
        <is>
          <t>відкрити</t>
        </is>
      </c>
    </row>
    <row r="49">
      <c r="A49" s="2" t="inlineStr">
        <is>
          <t>Потребує уваги</t>
        </is>
      </c>
      <c r="B49" s="3" t="inlineStr">
        <is>
          <t>Ваша ціна нижча на 10 грн (0.4%)</t>
        </is>
      </c>
      <c r="C49" s="4" t="inlineStr">
        <is>
          <t>202P-SP-OT-CH</t>
        </is>
      </c>
      <c r="D49" s="3" t="inlineStr">
        <is>
          <t>Щеплювальний ніж з відділювачем кори Due Buoi 202P-SP-OT-CH Італія</t>
        </is>
      </c>
      <c r="E49" s="5" t="n">
        <v>2240</v>
      </c>
      <c r="F49" s="4" t="inlineStr">
        <is>
          <t>так</t>
        </is>
      </c>
      <c r="G49" s="6" t="n">
        <v>2250</v>
      </c>
      <c r="H49" s="4" t="inlineStr">
        <is>
          <t>так</t>
        </is>
      </c>
      <c r="I49" s="5" t="n"/>
      <c r="J49" s="4" t="inlineStr"/>
      <c r="K49" s="4" t="inlineStr">
        <is>
          <t>Водоспад</t>
        </is>
      </c>
      <c r="L49" s="5" t="n">
        <v>2250</v>
      </c>
      <c r="M49" s="5">
        <f>IF(L49="","",E49-L49)</f>
        <v/>
      </c>
      <c r="N49" s="7">
        <f>IF(OR(L49="",L49=0),"",M49/L49)</f>
        <v/>
      </c>
      <c r="O49" s="5" t="n"/>
      <c r="P49" s="4" t="n">
        <v>0</v>
      </c>
      <c r="Q49" s="4" t="n">
        <v>1</v>
      </c>
      <c r="R49" s="4" t="inlineStr">
        <is>
          <t>код</t>
        </is>
      </c>
      <c r="S49" s="8" t="inlineStr">
        <is>
          <t>відкрити</t>
        </is>
      </c>
    </row>
    <row r="50">
      <c r="A50" s="2" t="inlineStr">
        <is>
          <t>Потребує уваги</t>
        </is>
      </c>
      <c r="B50" s="3" t="inlineStr">
        <is>
          <t>Ваша ціна нижча на 4 грн (0.3%)</t>
        </is>
      </c>
      <c r="C50" s="4" t="inlineStr">
        <is>
          <t>2720006N</t>
        </is>
      </c>
      <c r="D50" s="3" t="inlineStr">
        <is>
          <t>Паста Арборпласт / Arborplast 5 кг для гарячого щеплення AgriChem Італія</t>
        </is>
      </c>
      <c r="E50" s="5" t="n">
        <v>1295</v>
      </c>
      <c r="F50" s="9" t="inlineStr">
        <is>
          <t>ні</t>
        </is>
      </c>
      <c r="G50" s="6" t="n">
        <v>1299</v>
      </c>
      <c r="H50" s="9" t="inlineStr">
        <is>
          <t>ні</t>
        </is>
      </c>
      <c r="I50" s="5" t="n"/>
      <c r="J50" s="4" t="inlineStr"/>
      <c r="K50" s="4" t="inlineStr">
        <is>
          <t>Водоспад</t>
        </is>
      </c>
      <c r="L50" s="5" t="n">
        <v>1299</v>
      </c>
      <c r="M50" s="5">
        <f>IF(L50="","",E50-L50)</f>
        <v/>
      </c>
      <c r="N50" s="7">
        <f>IF(OR(L50="",L50=0),"",M50/L50)</f>
        <v/>
      </c>
      <c r="O50" s="5" t="n"/>
      <c r="P50" s="4" t="n">
        <v>0</v>
      </c>
      <c r="Q50" s="4" t="n">
        <v>1</v>
      </c>
      <c r="R50" s="4" t="inlineStr">
        <is>
          <t>код</t>
        </is>
      </c>
      <c r="S50" s="8" t="inlineStr">
        <is>
          <t>відкрити</t>
        </is>
      </c>
    </row>
    <row r="51">
      <c r="A51" s="2" t="inlineStr">
        <is>
          <t>Потребує уваги</t>
        </is>
      </c>
      <c r="B51" s="3" t="inlineStr">
        <is>
          <t>Ваша ціна нижча на 3 грн (0.3%)</t>
        </is>
      </c>
      <c r="C51" s="4" t="inlineStr">
        <is>
          <t>120EU</t>
        </is>
      </c>
      <c r="D51" s="3" t="inlineStr">
        <is>
          <t>Секатор АРС / ARS (120EU) садовий обвідний Японія</t>
        </is>
      </c>
      <c r="E51" s="5" t="n">
        <v>1176</v>
      </c>
      <c r="F51" s="9" t="inlineStr">
        <is>
          <t>ні</t>
        </is>
      </c>
      <c r="G51" s="5" t="n"/>
      <c r="H51" s="4" t="inlineStr"/>
      <c r="I51" s="6" t="n">
        <v>1179</v>
      </c>
      <c r="J51" s="9" t="inlineStr">
        <is>
          <t>ні</t>
        </is>
      </c>
      <c r="K51" s="4" t="inlineStr">
        <is>
          <t>Клуб Рослин</t>
        </is>
      </c>
      <c r="L51" s="5" t="n">
        <v>1179</v>
      </c>
      <c r="M51" s="5">
        <f>IF(L51="","",E51-L51)</f>
        <v/>
      </c>
      <c r="N51" s="7">
        <f>IF(OR(L51="",L51=0),"",M51/L51)</f>
        <v/>
      </c>
      <c r="O51" s="5" t="n"/>
      <c r="P51" s="4" t="n">
        <v>0</v>
      </c>
      <c r="Q51" s="4" t="n">
        <v>1</v>
      </c>
      <c r="R51" s="4" t="inlineStr">
        <is>
          <t>модель</t>
        </is>
      </c>
      <c r="S51" s="8" t="inlineStr">
        <is>
          <t>відкрити</t>
        </is>
      </c>
    </row>
    <row r="52">
      <c r="A52" s="2" t="inlineStr">
        <is>
          <t>Потребує уваги</t>
        </is>
      </c>
      <c r="B52" s="3" t="inlineStr">
        <is>
          <t>Ваша ціна нижча на 4 грн (0.2%)</t>
        </is>
      </c>
      <c r="C52" s="4" t="inlineStr">
        <is>
          <t>1001567</t>
        </is>
      </c>
      <c r="D52" s="3" t="inlineStr">
        <is>
          <t>Лопата штикова з телескопічною ручкою Fiskars Фіскарс SmartFit (1001567) Фінляндія</t>
        </is>
      </c>
      <c r="E52" s="5" t="n">
        <v>2195</v>
      </c>
      <c r="F52" s="9" t="inlineStr">
        <is>
          <t>ні</t>
        </is>
      </c>
      <c r="G52" s="6" t="n">
        <v>2199</v>
      </c>
      <c r="H52" s="9" t="inlineStr">
        <is>
          <t>ні</t>
        </is>
      </c>
      <c r="I52" s="5" t="n"/>
      <c r="J52" s="4" t="inlineStr"/>
      <c r="K52" s="4" t="inlineStr">
        <is>
          <t>Водоспад</t>
        </is>
      </c>
      <c r="L52" s="5" t="n">
        <v>2199</v>
      </c>
      <c r="M52" s="5">
        <f>IF(L52="","",E52-L52)</f>
        <v/>
      </c>
      <c r="N52" s="7">
        <f>IF(OR(L52="",L52=0),"",M52/L52)</f>
        <v/>
      </c>
      <c r="O52" s="5" t="n"/>
      <c r="P52" s="4" t="n">
        <v>0</v>
      </c>
      <c r="Q52" s="4" t="n">
        <v>1</v>
      </c>
      <c r="R52" s="4" t="inlineStr">
        <is>
          <t>код</t>
        </is>
      </c>
      <c r="S52" s="10" t="n"/>
    </row>
    <row r="53">
      <c r="A53" s="11" t="inlineStr">
        <is>
          <t>Ваша ціна вища</t>
        </is>
      </c>
      <c r="B53" s="12" t="inlineStr">
        <is>
          <t>Ваша ціна вища на 4967 грн (2790.4%)</t>
        </is>
      </c>
      <c r="C53" s="13" t="inlineStr">
        <is>
          <t>160ZF-3.0-5</t>
        </is>
      </c>
      <c r="D53" s="12" t="inlineStr">
        <is>
          <t>Секатор АРС / ARS (160ZF-3.0-5) телескопічний на штанзі 1.8–3 м Японія</t>
        </is>
      </c>
      <c r="E53" s="14" t="n">
        <v>5145</v>
      </c>
      <c r="F53" s="15" t="inlineStr">
        <is>
          <t>ні</t>
        </is>
      </c>
      <c r="G53" s="14" t="n">
        <v>5145</v>
      </c>
      <c r="H53" s="15" t="inlineStr">
        <is>
          <t>ні</t>
        </is>
      </c>
      <c r="I53" s="16" t="n">
        <v>178</v>
      </c>
      <c r="J53" s="13" t="inlineStr">
        <is>
          <t>так</t>
        </is>
      </c>
      <c r="K53" s="13" t="inlineStr">
        <is>
          <t>Клуб Рослин</t>
        </is>
      </c>
      <c r="L53" s="14" t="n">
        <v>178</v>
      </c>
      <c r="M53" s="14">
        <f>IF(L53="","",E53-L53)</f>
        <v/>
      </c>
      <c r="N53" s="17">
        <f>IF(OR(L53="",L53=0),"",M53/L53)</f>
        <v/>
      </c>
      <c r="O53" s="14" t="n"/>
      <c r="P53" s="13" t="n">
        <v>0</v>
      </c>
      <c r="Q53" s="13" t="n">
        <v>1</v>
      </c>
      <c r="R53" s="13" t="inlineStr">
        <is>
          <t>код</t>
        </is>
      </c>
      <c r="S53" s="18" t="inlineStr">
        <is>
          <t>відкрити</t>
        </is>
      </c>
    </row>
    <row r="54">
      <c r="A54" s="11" t="inlineStr">
        <is>
          <t>Ваша ціна вища</t>
        </is>
      </c>
      <c r="B54" s="12" t="inlineStr">
        <is>
          <t>Ваша ціна вища на 4692 грн (2636.0%)</t>
        </is>
      </c>
      <c r="C54" s="13" t="inlineStr">
        <is>
          <t>160ZF-2.0-3</t>
        </is>
      </c>
      <c r="D54" s="12" t="inlineStr">
        <is>
          <t>Секатор АРС / ARS (160ZF-2.0-3) телескопічний на штанзі 1.2–2 м Японія</t>
        </is>
      </c>
      <c r="E54" s="14" t="n">
        <v>4870</v>
      </c>
      <c r="F54" s="15" t="inlineStr">
        <is>
          <t>ні</t>
        </is>
      </c>
      <c r="G54" s="14" t="n">
        <v>4870</v>
      </c>
      <c r="H54" s="13" t="inlineStr">
        <is>
          <t>так</t>
        </is>
      </c>
      <c r="I54" s="16" t="n">
        <v>178</v>
      </c>
      <c r="J54" s="13" t="inlineStr">
        <is>
          <t>так</t>
        </is>
      </c>
      <c r="K54" s="13" t="inlineStr">
        <is>
          <t>Клуб Рослин</t>
        </is>
      </c>
      <c r="L54" s="14" t="n">
        <v>178</v>
      </c>
      <c r="M54" s="14">
        <f>IF(L54="","",E54-L54)</f>
        <v/>
      </c>
      <c r="N54" s="17">
        <f>IF(OR(L54="",L54=0),"",M54/L54)</f>
        <v/>
      </c>
      <c r="O54" s="14" t="n"/>
      <c r="P54" s="13" t="n">
        <v>0</v>
      </c>
      <c r="Q54" s="13" t="n">
        <v>1</v>
      </c>
      <c r="R54" s="13" t="inlineStr">
        <is>
          <t>код</t>
        </is>
      </c>
      <c r="S54" s="18" t="inlineStr">
        <is>
          <t>відкрити</t>
        </is>
      </c>
    </row>
    <row r="55">
      <c r="A55" s="11" t="inlineStr">
        <is>
          <t>Ваша ціна вища</t>
        </is>
      </c>
      <c r="B55" s="12" t="inlineStr">
        <is>
          <t>Ваша ціна вища на 4271.8 грн (587.4%)</t>
        </is>
      </c>
      <c r="C55" s="13" t="inlineStr">
        <is>
          <t>1003621</t>
        </is>
      </c>
      <c r="D55" s="12" t="inlineStr">
        <is>
          <t>Великий сікач для сучків Фіскарс / Fiskars WoodXpert XA3 126005 (1003621) Фінляндія</t>
        </is>
      </c>
      <c r="E55" s="14" t="n">
        <v>4999</v>
      </c>
      <c r="F55" s="15" t="inlineStr">
        <is>
          <t>ні</t>
        </is>
      </c>
      <c r="G55" s="14" t="n">
        <v>3099</v>
      </c>
      <c r="H55" s="15" t="inlineStr">
        <is>
          <t>ні</t>
        </is>
      </c>
      <c r="I55" s="16" t="n">
        <v>727.2</v>
      </c>
      <c r="J55" s="15" t="inlineStr">
        <is>
          <t>ні</t>
        </is>
      </c>
      <c r="K55" s="13" t="inlineStr">
        <is>
          <t>Клуб Рослин</t>
        </is>
      </c>
      <c r="L55" s="14" t="n">
        <v>727.2</v>
      </c>
      <c r="M55" s="14">
        <f>IF(L55="","",E55-L55)</f>
        <v/>
      </c>
      <c r="N55" s="17">
        <f>IF(OR(L55="",L55=0),"",M55/L55)</f>
        <v/>
      </c>
      <c r="O55" s="14" t="n"/>
      <c r="P55" s="13" t="n">
        <v>0</v>
      </c>
      <c r="Q55" s="13" t="n">
        <v>1</v>
      </c>
      <c r="R55" s="13" t="inlineStr">
        <is>
          <t>код</t>
        </is>
      </c>
      <c r="S55" s="18" t="inlineStr">
        <is>
          <t>відкрити</t>
        </is>
      </c>
    </row>
    <row r="56">
      <c r="A56" s="11" t="inlineStr">
        <is>
          <t>Ваша ціна вища</t>
        </is>
      </c>
      <c r="B56" s="12" t="inlineStr">
        <is>
          <t>Ваша ціна вища на 865 грн (259.0%); Немає в наявності в жодного постачальника</t>
        </is>
      </c>
      <c r="C56" s="13" t="inlineStr">
        <is>
          <t>1001622</t>
        </is>
      </c>
      <c r="D56" s="12" t="inlineStr">
        <is>
          <t>Ніж універсальний Фіскарс Fiskars з чохлом K40 125860 (1001622) Фінляндія</t>
        </is>
      </c>
      <c r="E56" s="14" t="n">
        <v>1199</v>
      </c>
      <c r="F56" s="13" t="inlineStr">
        <is>
          <t>так</t>
        </is>
      </c>
      <c r="G56" s="14" t="n">
        <v>699</v>
      </c>
      <c r="H56" s="15" t="inlineStr">
        <is>
          <t>ні</t>
        </is>
      </c>
      <c r="I56" s="16" t="n">
        <v>334</v>
      </c>
      <c r="J56" s="15" t="inlineStr">
        <is>
          <t>ні</t>
        </is>
      </c>
      <c r="K56" s="13" t="inlineStr">
        <is>
          <t>Клуб Рослин</t>
        </is>
      </c>
      <c r="L56" s="14" t="n">
        <v>334</v>
      </c>
      <c r="M56" s="14">
        <f>IF(L56="","",E56-L56)</f>
        <v/>
      </c>
      <c r="N56" s="17">
        <f>IF(OR(L56="",L56=0),"",M56/L56)</f>
        <v/>
      </c>
      <c r="O56" s="14" t="n"/>
      <c r="P56" s="13" t="n">
        <v>0</v>
      </c>
      <c r="Q56" s="13" t="n">
        <v>1</v>
      </c>
      <c r="R56" s="13" t="inlineStr">
        <is>
          <t>код</t>
        </is>
      </c>
      <c r="S56" s="18" t="inlineStr">
        <is>
          <t>відкрити</t>
        </is>
      </c>
    </row>
    <row r="57">
      <c r="A57" s="11" t="inlineStr">
        <is>
          <t>Ваша ціна вища</t>
        </is>
      </c>
      <c r="B57" s="12" t="inlineStr">
        <is>
          <t>Ваша ціна вища на 3565.1 грн (248.6%)</t>
        </is>
      </c>
      <c r="C57" s="13" t="inlineStr">
        <is>
          <t>1003623</t>
        </is>
      </c>
      <c r="D57" s="12" t="inlineStr">
        <is>
          <t>Багор великий Фіскарс Fiskars WoodXpert XA22 126007 (1003623) Фінляндія</t>
        </is>
      </c>
      <c r="E57" s="14" t="n">
        <v>4999</v>
      </c>
      <c r="F57" s="15" t="inlineStr">
        <is>
          <t>ні</t>
        </is>
      </c>
      <c r="G57" s="14" t="n">
        <v>3099</v>
      </c>
      <c r="H57" s="15" t="inlineStr">
        <is>
          <t>ні</t>
        </is>
      </c>
      <c r="I57" s="16" t="n">
        <v>1433.9</v>
      </c>
      <c r="J57" s="15" t="inlineStr">
        <is>
          <t>ні</t>
        </is>
      </c>
      <c r="K57" s="13" t="inlineStr">
        <is>
          <t>Клуб Рослин</t>
        </is>
      </c>
      <c r="L57" s="14" t="n">
        <v>1433.9</v>
      </c>
      <c r="M57" s="14">
        <f>IF(L57="","",E57-L57)</f>
        <v/>
      </c>
      <c r="N57" s="17">
        <f>IF(OR(L57="",L57=0),"",M57/L57)</f>
        <v/>
      </c>
      <c r="O57" s="14" t="n"/>
      <c r="P57" s="13" t="n">
        <v>0</v>
      </c>
      <c r="Q57" s="13" t="n">
        <v>1</v>
      </c>
      <c r="R57" s="13" t="inlineStr">
        <is>
          <t>код</t>
        </is>
      </c>
      <c r="S57" s="18" t="inlineStr">
        <is>
          <t>відкрити</t>
        </is>
      </c>
    </row>
    <row r="58">
      <c r="A58" s="11" t="inlineStr">
        <is>
          <t>Ваша ціна вища</t>
        </is>
      </c>
      <c r="B58" s="12" t="inlineStr">
        <is>
          <t>Ваша ціна вища на 2703.4 грн (180.8%); Немає в наявності в жодного постачальника</t>
        </is>
      </c>
      <c r="C58" s="13" t="inlineStr">
        <is>
          <t>1001620</t>
        </is>
      </c>
      <c r="D58" s="12" t="inlineStr">
        <is>
          <t>Пила ручна Фіскарс Fiskars SW84 123840 (1001620) Фінляндія</t>
        </is>
      </c>
      <c r="E58" s="14" t="n">
        <v>4199</v>
      </c>
      <c r="F58" s="13" t="inlineStr">
        <is>
          <t>так</t>
        </is>
      </c>
      <c r="G58" s="14" t="n">
        <v>2499</v>
      </c>
      <c r="H58" s="15" t="inlineStr">
        <is>
          <t>ні</t>
        </is>
      </c>
      <c r="I58" s="16" t="n">
        <v>1495.6</v>
      </c>
      <c r="J58" s="15" t="inlineStr">
        <is>
          <t>ні</t>
        </is>
      </c>
      <c r="K58" s="13" t="inlineStr">
        <is>
          <t>Клуб Рослин</t>
        </is>
      </c>
      <c r="L58" s="14" t="n">
        <v>1495.6</v>
      </c>
      <c r="M58" s="14">
        <f>IF(L58="","",E58-L58)</f>
        <v/>
      </c>
      <c r="N58" s="17">
        <f>IF(OR(L58="",L58=0),"",M58/L58)</f>
        <v/>
      </c>
      <c r="O58" s="14" t="n"/>
      <c r="P58" s="13" t="n">
        <v>0</v>
      </c>
      <c r="Q58" s="13" t="n">
        <v>1</v>
      </c>
      <c r="R58" s="13" t="inlineStr">
        <is>
          <t>код</t>
        </is>
      </c>
      <c r="S58" s="18" t="inlineStr">
        <is>
          <t>відкрити</t>
        </is>
      </c>
    </row>
    <row r="59">
      <c r="A59" s="11" t="inlineStr">
        <is>
          <t>Ваша ціна вища</t>
        </is>
      </c>
      <c r="B59" s="12" t="inlineStr">
        <is>
          <t>Ваша ціна вища на 1152.9 грн (178.4%); Немає в наявності в жодного постачальника</t>
        </is>
      </c>
      <c r="C59" s="13" t="inlineStr">
        <is>
          <t>1001534</t>
        </is>
      </c>
      <c r="D59" s="12" t="inlineStr">
        <is>
          <t>Секатор площинний Фіскарс Fiskars FingerLoop P44 111440 (1001534) Фінляндія</t>
        </is>
      </c>
      <c r="E59" s="14" t="n">
        <v>1799</v>
      </c>
      <c r="F59" s="13" t="inlineStr">
        <is>
          <t>так</t>
        </is>
      </c>
      <c r="G59" s="14" t="n">
        <v>999</v>
      </c>
      <c r="H59" s="15" t="inlineStr">
        <is>
          <t>ні</t>
        </is>
      </c>
      <c r="I59" s="16" t="n">
        <v>646.1</v>
      </c>
      <c r="J59" s="15" t="inlineStr">
        <is>
          <t>ні</t>
        </is>
      </c>
      <c r="K59" s="13" t="inlineStr">
        <is>
          <t>Клуб Рослин</t>
        </is>
      </c>
      <c r="L59" s="14" t="n">
        <v>646.1</v>
      </c>
      <c r="M59" s="14">
        <f>IF(L59="","",E59-L59)</f>
        <v/>
      </c>
      <c r="N59" s="17">
        <f>IF(OR(L59="",L59=0),"",M59/L59)</f>
        <v/>
      </c>
      <c r="O59" s="14" t="n"/>
      <c r="P59" s="13" t="n">
        <v>0</v>
      </c>
      <c r="Q59" s="13" t="n">
        <v>1</v>
      </c>
      <c r="R59" s="13" t="inlineStr">
        <is>
          <t>код</t>
        </is>
      </c>
      <c r="S59" s="18" t="inlineStr">
        <is>
          <t>відкрити</t>
        </is>
      </c>
    </row>
    <row r="60">
      <c r="A60" s="11" t="inlineStr">
        <is>
          <t>Ваша ціна вища</t>
        </is>
      </c>
      <c r="B60" s="12" t="inlineStr">
        <is>
          <t>Ваша ціна вища на 720.7 грн (168.3%)</t>
        </is>
      </c>
      <c r="C60" s="13" t="inlineStr">
        <is>
          <t>1001623</t>
        </is>
      </c>
      <c r="D60" s="12" t="inlineStr">
        <is>
          <t>Ніж зігнутий для щеплень Фіскарс Fiskars K62 125880 (1001623) Фінляндія</t>
        </is>
      </c>
      <c r="E60" s="14" t="n">
        <v>1149</v>
      </c>
      <c r="F60" s="15" t="inlineStr">
        <is>
          <t>ні</t>
        </is>
      </c>
      <c r="G60" s="14" t="n">
        <v>749</v>
      </c>
      <c r="H60" s="15" t="inlineStr">
        <is>
          <t>ні</t>
        </is>
      </c>
      <c r="I60" s="16" t="n">
        <v>428.3</v>
      </c>
      <c r="J60" s="15" t="inlineStr">
        <is>
          <t>ні</t>
        </is>
      </c>
      <c r="K60" s="13" t="inlineStr">
        <is>
          <t>Клуб Рослин</t>
        </is>
      </c>
      <c r="L60" s="14" t="n">
        <v>428.3</v>
      </c>
      <c r="M60" s="14">
        <f>IF(L60="","",E60-L60)</f>
        <v/>
      </c>
      <c r="N60" s="17">
        <f>IF(OR(L60="",L60=0),"",M60/L60)</f>
        <v/>
      </c>
      <c r="O60" s="14" t="n"/>
      <c r="P60" s="13" t="n">
        <v>0</v>
      </c>
      <c r="Q60" s="13" t="n">
        <v>1</v>
      </c>
      <c r="R60" s="13" t="inlineStr">
        <is>
          <t>код</t>
        </is>
      </c>
      <c r="S60" s="18" t="inlineStr">
        <is>
          <t>відкрити</t>
        </is>
      </c>
    </row>
    <row r="61">
      <c r="A61" s="11" t="inlineStr">
        <is>
          <t>Ваша ціна вища</t>
        </is>
      </c>
      <c r="B61" s="12" t="inlineStr">
        <is>
          <t>Ваша ціна вища на 853 грн (165.3%); Немає в наявності в жодного постачальника</t>
        </is>
      </c>
      <c r="C61" s="13" t="inlineStr">
        <is>
          <t>1001640</t>
        </is>
      </c>
      <c r="D61" s="12" t="inlineStr">
        <is>
          <t>Комплект по догляду за інвентарем Фіскарс Fiskars 110990 (1001640) Фінляндія</t>
        </is>
      </c>
      <c r="E61" s="14" t="n">
        <v>1369</v>
      </c>
      <c r="F61" s="13" t="inlineStr">
        <is>
          <t>так</t>
        </is>
      </c>
      <c r="G61" s="14" t="n">
        <v>899</v>
      </c>
      <c r="H61" s="15" t="inlineStr">
        <is>
          <t>ні</t>
        </is>
      </c>
      <c r="I61" s="16" t="n">
        <v>516</v>
      </c>
      <c r="J61" s="15" t="inlineStr">
        <is>
          <t>ні</t>
        </is>
      </c>
      <c r="K61" s="13" t="inlineStr">
        <is>
          <t>Клуб Рослин</t>
        </is>
      </c>
      <c r="L61" s="14" t="n">
        <v>516</v>
      </c>
      <c r="M61" s="14">
        <f>IF(L61="","",E61-L61)</f>
        <v/>
      </c>
      <c r="N61" s="17">
        <f>IF(OR(L61="",L61=0),"",M61/L61)</f>
        <v/>
      </c>
      <c r="O61" s="14" t="n"/>
      <c r="P61" s="13" t="n">
        <v>0</v>
      </c>
      <c r="Q61" s="13" t="n">
        <v>1</v>
      </c>
      <c r="R61" s="13" t="inlineStr">
        <is>
          <t>код</t>
        </is>
      </c>
      <c r="S61" s="18" t="inlineStr">
        <is>
          <t>відкрити</t>
        </is>
      </c>
    </row>
    <row r="62">
      <c r="A62" s="11" t="inlineStr">
        <is>
          <t>Ваша ціна вища</t>
        </is>
      </c>
      <c r="B62" s="12" t="inlineStr">
        <is>
          <t>Ваша ціна вища на 4199.9 грн (161.6%); Немає в наявності в жодного постачальника</t>
        </is>
      </c>
      <c r="C62" s="13" t="inlineStr">
        <is>
          <t>1001557</t>
        </is>
      </c>
      <c r="D62" s="12" t="inlineStr">
        <is>
          <t>Висоторіз площинний Fiskars UP84 115390 (1001557) Фінляндія</t>
        </is>
      </c>
      <c r="E62" s="14" t="n">
        <v>6799</v>
      </c>
      <c r="F62" s="13" t="inlineStr">
        <is>
          <t>так</t>
        </is>
      </c>
      <c r="G62" s="14" t="n">
        <v>4699</v>
      </c>
      <c r="H62" s="15" t="inlineStr">
        <is>
          <t>ні</t>
        </is>
      </c>
      <c r="I62" s="16" t="n">
        <v>2599.1</v>
      </c>
      <c r="J62" s="15" t="inlineStr">
        <is>
          <t>ні</t>
        </is>
      </c>
      <c r="K62" s="13" t="inlineStr">
        <is>
          <t>Клуб Рослин</t>
        </is>
      </c>
      <c r="L62" s="14" t="n">
        <v>2599.1</v>
      </c>
      <c r="M62" s="14">
        <f>IF(L62="","",E62-L62)</f>
        <v/>
      </c>
      <c r="N62" s="17">
        <f>IF(OR(L62="",L62=0),"",M62/L62)</f>
        <v/>
      </c>
      <c r="O62" s="14" t="n"/>
      <c r="P62" s="13" t="n">
        <v>0</v>
      </c>
      <c r="Q62" s="13" t="n">
        <v>1</v>
      </c>
      <c r="R62" s="13" t="inlineStr">
        <is>
          <t>код</t>
        </is>
      </c>
      <c r="S62" s="18" t="inlineStr">
        <is>
          <t>відкрити</t>
        </is>
      </c>
    </row>
    <row r="63">
      <c r="A63" s="11" t="inlineStr">
        <is>
          <t>Ваша ціна вища</t>
        </is>
      </c>
      <c r="B63" s="12" t="inlineStr">
        <is>
          <t>Ваша ціна вища на 1821 грн (161.4%)</t>
        </is>
      </c>
      <c r="C63" s="13" t="inlineStr">
        <is>
          <t>1001410</t>
        </is>
      </c>
      <c r="D63" s="12" t="inlineStr">
        <is>
          <t>Висоторіз Фіскарс Fiskars QuikFit 136525 (1001410) Фінляндія</t>
        </is>
      </c>
      <c r="E63" s="14" t="n">
        <v>2949</v>
      </c>
      <c r="F63" s="15" t="inlineStr">
        <is>
          <t>ні</t>
        </is>
      </c>
      <c r="G63" s="14" t="n">
        <v>1999</v>
      </c>
      <c r="H63" s="15" t="inlineStr">
        <is>
          <t>ні</t>
        </is>
      </c>
      <c r="I63" s="16" t="n">
        <v>1128</v>
      </c>
      <c r="J63" s="15" t="inlineStr">
        <is>
          <t>ні</t>
        </is>
      </c>
      <c r="K63" s="13" t="inlineStr">
        <is>
          <t>Клуб Рослин</t>
        </is>
      </c>
      <c r="L63" s="14" t="n">
        <v>1128</v>
      </c>
      <c r="M63" s="14">
        <f>IF(L63="","",E63-L63)</f>
        <v/>
      </c>
      <c r="N63" s="17">
        <f>IF(OR(L63="",L63=0),"",M63/L63)</f>
        <v/>
      </c>
      <c r="O63" s="14" t="n"/>
      <c r="P63" s="13" t="n">
        <v>0</v>
      </c>
      <c r="Q63" s="13" t="n">
        <v>1</v>
      </c>
      <c r="R63" s="13" t="inlineStr">
        <is>
          <t>код</t>
        </is>
      </c>
      <c r="S63" s="18" t="inlineStr">
        <is>
          <t>відкрити</t>
        </is>
      </c>
    </row>
    <row r="64">
      <c r="A64" s="11" t="inlineStr">
        <is>
          <t>Ваша ціна вища</t>
        </is>
      </c>
      <c r="B64" s="12" t="inlineStr">
        <is>
          <t>Ваша ціна вища на 715 грн (160.7%)</t>
        </is>
      </c>
      <c r="C64" s="13" t="inlineStr">
        <is>
          <t>R660V</t>
        </is>
      </c>
      <c r="D64" s="12" t="inlineStr">
        <is>
          <t>Запасні частини для сучкоріза (Болт і гайка для ручок) Bahco P160 ( R660V )</t>
        </is>
      </c>
      <c r="E64" s="14" t="n">
        <v>1160</v>
      </c>
      <c r="F64" s="13" t="inlineStr">
        <is>
          <t>так</t>
        </is>
      </c>
      <c r="G64" s="16" t="n">
        <v>445</v>
      </c>
      <c r="H64" s="13" t="inlineStr">
        <is>
          <t>так</t>
        </is>
      </c>
      <c r="I64" s="14" t="n"/>
      <c r="J64" s="13" t="inlineStr"/>
      <c r="K64" s="13" t="inlineStr">
        <is>
          <t>Водоспад</t>
        </is>
      </c>
      <c r="L64" s="14" t="n">
        <v>445</v>
      </c>
      <c r="M64" s="14">
        <f>IF(L64="","",E64-L64)</f>
        <v/>
      </c>
      <c r="N64" s="17">
        <f>IF(OR(L64="",L64=0),"",M64/L64)</f>
        <v/>
      </c>
      <c r="O64" s="14" t="n"/>
      <c r="P64" s="13" t="n">
        <v>0</v>
      </c>
      <c r="Q64" s="13" t="n">
        <v>1</v>
      </c>
      <c r="R64" s="13" t="inlineStr">
        <is>
          <t>код</t>
        </is>
      </c>
      <c r="S64" s="18" t="inlineStr">
        <is>
          <t>відкрити</t>
        </is>
      </c>
    </row>
    <row r="65">
      <c r="A65" s="11" t="inlineStr">
        <is>
          <t>Ваша ціна вища</t>
        </is>
      </c>
      <c r="B65" s="12" t="inlineStr">
        <is>
          <t>Ваша ціна вища на 1781 грн (159.3%); Немає в наявності в жодного постачальника</t>
        </is>
      </c>
      <c r="C65" s="13" t="inlineStr">
        <is>
          <t>1001430</t>
        </is>
      </c>
      <c r="D65" s="12" t="inlineStr">
        <is>
          <t>Гілкоріз великий Фіскарс Fiskars SingleStep (L) L39 112450 (1001430) Фінляндія</t>
        </is>
      </c>
      <c r="E65" s="14" t="n">
        <v>2899</v>
      </c>
      <c r="F65" s="13" t="inlineStr">
        <is>
          <t>так</t>
        </is>
      </c>
      <c r="G65" s="14" t="n">
        <v>1599</v>
      </c>
      <c r="H65" s="15" t="inlineStr">
        <is>
          <t>ні</t>
        </is>
      </c>
      <c r="I65" s="16" t="n">
        <v>1118</v>
      </c>
      <c r="J65" s="15" t="inlineStr">
        <is>
          <t>ні</t>
        </is>
      </c>
      <c r="K65" s="13" t="inlineStr">
        <is>
          <t>Клуб Рослин</t>
        </is>
      </c>
      <c r="L65" s="14" t="n">
        <v>1118</v>
      </c>
      <c r="M65" s="14">
        <f>IF(L65="","",E65-L65)</f>
        <v/>
      </c>
      <c r="N65" s="17">
        <f>IF(OR(L65="",L65=0),"",M65/L65)</f>
        <v/>
      </c>
      <c r="O65" s="14" t="n"/>
      <c r="P65" s="13" t="n">
        <v>0</v>
      </c>
      <c r="Q65" s="13" t="n">
        <v>1</v>
      </c>
      <c r="R65" s="13" t="inlineStr">
        <is>
          <t>код</t>
        </is>
      </c>
      <c r="S65" s="18" t="inlineStr">
        <is>
          <t>відкрити</t>
        </is>
      </c>
    </row>
    <row r="66">
      <c r="A66" s="11" t="inlineStr">
        <is>
          <t>Ваша ціна вища</t>
        </is>
      </c>
      <c r="B66" s="12" t="inlineStr">
        <is>
          <t>Ваша ціна вища на 1398.5 грн (159.2%); Немає в наявності в жодного постачальника</t>
        </is>
      </c>
      <c r="C66" s="13" t="inlineStr">
        <is>
          <t>1000612</t>
        </is>
      </c>
      <c r="D66" s="12" t="inlineStr">
        <is>
          <t>Пила висувна Фіскарс / Fiskars Xtract SW72 123860 (1000612) Фінляндія</t>
        </is>
      </c>
      <c r="E66" s="14" t="n">
        <v>2277</v>
      </c>
      <c r="F66" s="13" t="inlineStr">
        <is>
          <t>так</t>
        </is>
      </c>
      <c r="G66" s="14" t="n">
        <v>1399</v>
      </c>
      <c r="H66" s="15" t="inlineStr">
        <is>
          <t>ні</t>
        </is>
      </c>
      <c r="I66" s="16" t="n">
        <v>878.5</v>
      </c>
      <c r="J66" s="15" t="inlineStr">
        <is>
          <t>ні</t>
        </is>
      </c>
      <c r="K66" s="13" t="inlineStr">
        <is>
          <t>Клуб Рослин</t>
        </is>
      </c>
      <c r="L66" s="14" t="n">
        <v>878.5</v>
      </c>
      <c r="M66" s="14">
        <f>IF(L66="","",E66-L66)</f>
        <v/>
      </c>
      <c r="N66" s="17">
        <f>IF(OR(L66="",L66=0),"",M66/L66)</f>
        <v/>
      </c>
      <c r="O66" s="14" t="n"/>
      <c r="P66" s="13" t="n">
        <v>0</v>
      </c>
      <c r="Q66" s="13" t="n">
        <v>1</v>
      </c>
      <c r="R66" s="13" t="inlineStr">
        <is>
          <t>код</t>
        </is>
      </c>
      <c r="S66" s="18" t="inlineStr">
        <is>
          <t>відкрити</t>
        </is>
      </c>
    </row>
    <row r="67">
      <c r="A67" s="11" t="inlineStr">
        <is>
          <t>Ваша ціна вища</t>
        </is>
      </c>
      <c r="B67" s="12" t="inlineStr">
        <is>
          <t>Ваша ціна вища на 918.21 грн (158.1%)</t>
        </is>
      </c>
      <c r="C67" s="13" t="inlineStr">
        <is>
          <t>1016036</t>
        </is>
      </c>
      <c r="D67" s="12" t="inlineStr">
        <is>
          <t>Садові граблі Фіскарс Fiskars Solid 135715 (1016036) Фінляндія</t>
        </is>
      </c>
      <c r="E67" s="14" t="n">
        <v>1499</v>
      </c>
      <c r="F67" s="15" t="inlineStr">
        <is>
          <t>ні</t>
        </is>
      </c>
      <c r="G67" s="14" t="n">
        <v>899</v>
      </c>
      <c r="H67" s="15" t="inlineStr">
        <is>
          <t>ні</t>
        </is>
      </c>
      <c r="I67" s="16" t="n">
        <v>580.79</v>
      </c>
      <c r="J67" s="15" t="inlineStr">
        <is>
          <t>ні</t>
        </is>
      </c>
      <c r="K67" s="13" t="inlineStr">
        <is>
          <t>Клуб Рослин</t>
        </is>
      </c>
      <c r="L67" s="14" t="n">
        <v>580.79</v>
      </c>
      <c r="M67" s="14">
        <f>IF(L67="","",E67-L67)</f>
        <v/>
      </c>
      <c r="N67" s="17">
        <f>IF(OR(L67="",L67=0),"",M67/L67)</f>
        <v/>
      </c>
      <c r="O67" s="14" t="n"/>
      <c r="P67" s="13" t="n">
        <v>0</v>
      </c>
      <c r="Q67" s="13" t="n">
        <v>1</v>
      </c>
      <c r="R67" s="13" t="inlineStr">
        <is>
          <t>код</t>
        </is>
      </c>
      <c r="S67" s="18" t="inlineStr">
        <is>
          <t>відкрити</t>
        </is>
      </c>
    </row>
    <row r="68">
      <c r="A68" s="11" t="inlineStr">
        <is>
          <t>Ваша ціна вища</t>
        </is>
      </c>
      <c r="B68" s="12" t="inlineStr">
        <is>
          <t>Ваша ціна вища на 1830.1 грн (156.6%)</t>
        </is>
      </c>
      <c r="C68" s="13" t="inlineStr">
        <is>
          <t>1001555</t>
        </is>
      </c>
      <c r="D68" s="12" t="inlineStr">
        <is>
          <t>Гілкоріз малий площинний Фіскарс / Fiskars PowerGear (S) L72 112200 (1001555) Фінляндія</t>
        </is>
      </c>
      <c r="E68" s="14" t="n">
        <v>2999</v>
      </c>
      <c r="F68" s="15" t="inlineStr">
        <is>
          <t>ні</t>
        </is>
      </c>
      <c r="G68" s="14" t="n">
        <v>1799</v>
      </c>
      <c r="H68" s="15" t="inlineStr">
        <is>
          <t>ні</t>
        </is>
      </c>
      <c r="I68" s="16" t="n">
        <v>1168.9</v>
      </c>
      <c r="J68" s="15" t="inlineStr">
        <is>
          <t>ні</t>
        </is>
      </c>
      <c r="K68" s="13" t="inlineStr">
        <is>
          <t>Клуб Рослин</t>
        </is>
      </c>
      <c r="L68" s="14" t="n">
        <v>1168.9</v>
      </c>
      <c r="M68" s="14">
        <f>IF(L68="","",E68-L68)</f>
        <v/>
      </c>
      <c r="N68" s="17">
        <f>IF(OR(L68="",L68=0),"",M68/L68)</f>
        <v/>
      </c>
      <c r="O68" s="14" t="n"/>
      <c r="P68" s="13" t="n">
        <v>0</v>
      </c>
      <c r="Q68" s="13" t="n">
        <v>1</v>
      </c>
      <c r="R68" s="13" t="inlineStr">
        <is>
          <t>код</t>
        </is>
      </c>
      <c r="S68" s="18" t="inlineStr">
        <is>
          <t>відкрити</t>
        </is>
      </c>
    </row>
    <row r="69">
      <c r="A69" s="11" t="inlineStr">
        <is>
          <t>Ваша ціна вища</t>
        </is>
      </c>
      <c r="B69" s="12" t="inlineStr">
        <is>
          <t>Ваша ціна вища на 2374.4 грн (155.7%); Немає в наявності в жодного постачальника</t>
        </is>
      </c>
      <c r="C69" s="13" t="inlineStr">
        <is>
          <t>1001553</t>
        </is>
      </c>
      <c r="D69" s="12" t="inlineStr">
        <is>
          <t>Гілкоріз площинний Фіскарс Fiskars PowerGear (M) L76 112300 (1001553) Фінляндія</t>
        </is>
      </c>
      <c r="E69" s="14" t="n">
        <v>3899</v>
      </c>
      <c r="F69" s="13" t="inlineStr">
        <is>
          <t>так</t>
        </is>
      </c>
      <c r="G69" s="14" t="n">
        <v>2299</v>
      </c>
      <c r="H69" s="15" t="inlineStr">
        <is>
          <t>ні</t>
        </is>
      </c>
      <c r="I69" s="16" t="n">
        <v>1524.6</v>
      </c>
      <c r="J69" s="15" t="inlineStr">
        <is>
          <t>ні</t>
        </is>
      </c>
      <c r="K69" s="13" t="inlineStr">
        <is>
          <t>Клуб Рослин</t>
        </is>
      </c>
      <c r="L69" s="14" t="n">
        <v>1524.6</v>
      </c>
      <c r="M69" s="14">
        <f>IF(L69="","",E69-L69)</f>
        <v/>
      </c>
      <c r="N69" s="17">
        <f>IF(OR(L69="",L69=0),"",M69/L69)</f>
        <v/>
      </c>
      <c r="O69" s="14" t="n"/>
      <c r="P69" s="13" t="n">
        <v>0</v>
      </c>
      <c r="Q69" s="13" t="n">
        <v>1</v>
      </c>
      <c r="R69" s="13" t="inlineStr">
        <is>
          <t>код</t>
        </is>
      </c>
      <c r="S69" s="18" t="inlineStr">
        <is>
          <t>відкрити</t>
        </is>
      </c>
    </row>
    <row r="70">
      <c r="A70" s="11" t="inlineStr">
        <is>
          <t>Ваша ціна вища</t>
        </is>
      </c>
      <c r="B70" s="12" t="inlineStr">
        <is>
          <t>Ваша ціна вища на 2840.4 грн (152.8%); Немає в наявності в жодного постачальника</t>
        </is>
      </c>
      <c r="C70" s="13" t="inlineStr">
        <is>
          <t>1013564</t>
        </is>
      </c>
      <c r="D70" s="12" t="inlineStr">
        <is>
          <t>Гілкоріз контактний Фіскарс Fiskars PowerStep SmartFit L86 112500 (1013564) Фінляндія</t>
        </is>
      </c>
      <c r="E70" s="14" t="n">
        <v>4699</v>
      </c>
      <c r="F70" s="13" t="inlineStr">
        <is>
          <t>так</t>
        </is>
      </c>
      <c r="G70" s="14" t="n">
        <v>2899</v>
      </c>
      <c r="H70" s="15" t="inlineStr">
        <is>
          <t>ні</t>
        </is>
      </c>
      <c r="I70" s="16" t="n">
        <v>1858.6</v>
      </c>
      <c r="J70" s="15" t="inlineStr">
        <is>
          <t>ні</t>
        </is>
      </c>
      <c r="K70" s="13" t="inlineStr">
        <is>
          <t>Клуб Рослин</t>
        </is>
      </c>
      <c r="L70" s="14" t="n">
        <v>1858.6</v>
      </c>
      <c r="M70" s="14">
        <f>IF(L70="","",E70-L70)</f>
        <v/>
      </c>
      <c r="N70" s="17">
        <f>IF(OR(L70="",L70=0),"",M70/L70)</f>
        <v/>
      </c>
      <c r="O70" s="14" t="n"/>
      <c r="P70" s="13" t="n">
        <v>0</v>
      </c>
      <c r="Q70" s="13" t="n">
        <v>1</v>
      </c>
      <c r="R70" s="13" t="inlineStr">
        <is>
          <t>код</t>
        </is>
      </c>
      <c r="S70" s="18" t="inlineStr">
        <is>
          <t>відкрити</t>
        </is>
      </c>
    </row>
    <row r="71">
      <c r="A71" s="11" t="inlineStr">
        <is>
          <t>Ваша ціна вища</t>
        </is>
      </c>
      <c r="B71" s="12" t="inlineStr">
        <is>
          <t>Ваша ціна вища на 1440.7 грн (150.3%); Немає в наявності в жодного постачальника</t>
        </is>
      </c>
      <c r="C71" s="13" t="inlineStr">
        <is>
          <t>1001433</t>
        </is>
      </c>
      <c r="D71" s="12" t="inlineStr">
        <is>
          <t>Кущоріз Фіскарс Fiskars SingleStep HS22 114730 (1001433) Фінляндія</t>
        </is>
      </c>
      <c r="E71" s="14" t="n">
        <v>2399</v>
      </c>
      <c r="F71" s="13" t="inlineStr">
        <is>
          <t>так</t>
        </is>
      </c>
      <c r="G71" s="14" t="n">
        <v>1699</v>
      </c>
      <c r="H71" s="15" t="inlineStr">
        <is>
          <t>ні</t>
        </is>
      </c>
      <c r="I71" s="16" t="n">
        <v>958.3</v>
      </c>
      <c r="J71" s="15" t="inlineStr">
        <is>
          <t>ні</t>
        </is>
      </c>
      <c r="K71" s="13" t="inlineStr">
        <is>
          <t>Клуб Рослин</t>
        </is>
      </c>
      <c r="L71" s="14" t="n">
        <v>958.3</v>
      </c>
      <c r="M71" s="14">
        <f>IF(L71="","",E71-L71)</f>
        <v/>
      </c>
      <c r="N71" s="17">
        <f>IF(OR(L71="",L71=0),"",M71/L71)</f>
        <v/>
      </c>
      <c r="O71" s="14" t="n"/>
      <c r="P71" s="13" t="n">
        <v>0</v>
      </c>
      <c r="Q71" s="13" t="n">
        <v>1</v>
      </c>
      <c r="R71" s="13" t="inlineStr">
        <is>
          <t>код</t>
        </is>
      </c>
      <c r="S71" s="18" t="inlineStr">
        <is>
          <t>відкрити</t>
        </is>
      </c>
    </row>
    <row r="72">
      <c r="A72" s="11" t="inlineStr">
        <is>
          <t>Ваша ціна вища</t>
        </is>
      </c>
      <c r="B72" s="12" t="inlineStr">
        <is>
          <t>Ваша ціна вища на 2830 грн (149.3%)</t>
        </is>
      </c>
      <c r="C72" s="13" t="inlineStr">
        <is>
          <t>P173-SL-85</t>
        </is>
      </c>
      <c r="D72" s="12" t="inlineStr">
        <is>
          <t>Гілкоріз P173-SL-85 Bahco 850мм</t>
        </is>
      </c>
      <c r="E72" s="14" t="n">
        <v>4725</v>
      </c>
      <c r="F72" s="15" t="inlineStr">
        <is>
          <t>ні</t>
        </is>
      </c>
      <c r="G72" s="14" t="n"/>
      <c r="H72" s="13" t="inlineStr"/>
      <c r="I72" s="16" t="n">
        <v>1895</v>
      </c>
      <c r="J72" s="15" t="inlineStr">
        <is>
          <t>ні</t>
        </is>
      </c>
      <c r="K72" s="13" t="inlineStr">
        <is>
          <t>Клуб Рослин</t>
        </is>
      </c>
      <c r="L72" s="14" t="n">
        <v>1895</v>
      </c>
      <c r="M72" s="14">
        <f>IF(L72="","",E72-L72)</f>
        <v/>
      </c>
      <c r="N72" s="17">
        <f>IF(OR(L72="",L72=0),"",M72/L72)</f>
        <v/>
      </c>
      <c r="O72" s="14" t="n"/>
      <c r="P72" s="13" t="n">
        <v>0</v>
      </c>
      <c r="Q72" s="13" t="n">
        <v>1</v>
      </c>
      <c r="R72" s="13" t="inlineStr">
        <is>
          <t>код</t>
        </is>
      </c>
      <c r="S72" s="18" t="inlineStr">
        <is>
          <t>відкрити</t>
        </is>
      </c>
    </row>
    <row r="73">
      <c r="A73" s="11" t="inlineStr">
        <is>
          <t>Ваша ціна вища</t>
        </is>
      </c>
      <c r="B73" s="12" t="inlineStr">
        <is>
          <t>Ваша ціна вища на 417 грн (147.9%)</t>
        </is>
      </c>
      <c r="C73" s="13" t="inlineStr">
        <is>
          <t>1000726</t>
        </is>
      </c>
      <c r="D73" s="12" t="inlineStr">
        <is>
          <t>Садовий совок Фіскарс Fiskars Premium 137200 (1000726) Фінляндія</t>
        </is>
      </c>
      <c r="E73" s="14" t="n">
        <v>699</v>
      </c>
      <c r="F73" s="15" t="inlineStr">
        <is>
          <t>ні</t>
        </is>
      </c>
      <c r="G73" s="14" t="n">
        <v>549</v>
      </c>
      <c r="H73" s="15" t="inlineStr">
        <is>
          <t>ні</t>
        </is>
      </c>
      <c r="I73" s="16" t="n">
        <v>282</v>
      </c>
      <c r="J73" s="15" t="inlineStr">
        <is>
          <t>ні</t>
        </is>
      </c>
      <c r="K73" s="13" t="inlineStr">
        <is>
          <t>Клуб Рослин</t>
        </is>
      </c>
      <c r="L73" s="14" t="n">
        <v>282</v>
      </c>
      <c r="M73" s="14">
        <f>IF(L73="","",E73-L73)</f>
        <v/>
      </c>
      <c r="N73" s="17">
        <f>IF(OR(L73="",L73=0),"",M73/L73)</f>
        <v/>
      </c>
      <c r="O73" s="14" t="n"/>
      <c r="P73" s="13" t="n">
        <v>0</v>
      </c>
      <c r="Q73" s="13" t="n">
        <v>1</v>
      </c>
      <c r="R73" s="13" t="inlineStr">
        <is>
          <t>код</t>
        </is>
      </c>
      <c r="S73" s="18" t="inlineStr">
        <is>
          <t>відкрити</t>
        </is>
      </c>
    </row>
    <row r="74">
      <c r="A74" s="11" t="inlineStr">
        <is>
          <t>Ваша ціна вища</t>
        </is>
      </c>
      <c r="B74" s="12" t="inlineStr">
        <is>
          <t>Ваша ціна вища на 2977 грн (147.2%)</t>
        </is>
      </c>
      <c r="C74" s="13" t="inlineStr">
        <is>
          <t>1001565</t>
        </is>
      </c>
      <c r="D74" s="12" t="inlineStr">
        <is>
          <t>Ножиці для трави та живоплоту Фіскарс / Fiskars PowerLevel GS53 113710 (1001565) Фінляндія</t>
        </is>
      </c>
      <c r="E74" s="14" t="n">
        <v>4999</v>
      </c>
      <c r="F74" s="15" t="inlineStr">
        <is>
          <t>ні</t>
        </is>
      </c>
      <c r="G74" s="14" t="n">
        <v>3199</v>
      </c>
      <c r="H74" s="15" t="inlineStr">
        <is>
          <t>ні</t>
        </is>
      </c>
      <c r="I74" s="16" t="n">
        <v>2022</v>
      </c>
      <c r="J74" s="15" t="inlineStr">
        <is>
          <t>ні</t>
        </is>
      </c>
      <c r="K74" s="13" t="inlineStr">
        <is>
          <t>Клуб Рослин</t>
        </is>
      </c>
      <c r="L74" s="14" t="n">
        <v>2022</v>
      </c>
      <c r="M74" s="14">
        <f>IF(L74="","",E74-L74)</f>
        <v/>
      </c>
      <c r="N74" s="17">
        <f>IF(OR(L74="",L74=0),"",M74/L74)</f>
        <v/>
      </c>
      <c r="O74" s="14" t="n"/>
      <c r="P74" s="13" t="n">
        <v>0</v>
      </c>
      <c r="Q74" s="13" t="n">
        <v>1</v>
      </c>
      <c r="R74" s="13" t="inlineStr">
        <is>
          <t>код</t>
        </is>
      </c>
      <c r="S74" s="18" t="inlineStr">
        <is>
          <t>відкрити</t>
        </is>
      </c>
    </row>
    <row r="75">
      <c r="A75" s="11" t="inlineStr">
        <is>
          <t>Ваша ціна вища</t>
        </is>
      </c>
      <c r="B75" s="12" t="inlineStr">
        <is>
          <t>Ваша ціна вища на 945.6 грн (144.7%); Немає в наявності в жодного постачальника</t>
        </is>
      </c>
      <c r="C75" s="13" t="inlineStr">
        <is>
          <t>1001533</t>
        </is>
      </c>
      <c r="D75" s="12" t="inlineStr">
        <is>
          <t>Ножиці універсальні Фіскарс / Fiskars з петлею для пальців SP45 111450 (1001533) Фінляндія</t>
        </is>
      </c>
      <c r="E75" s="14" t="n">
        <v>1599</v>
      </c>
      <c r="F75" s="13" t="inlineStr">
        <is>
          <t>так</t>
        </is>
      </c>
      <c r="G75" s="14" t="n">
        <v>899</v>
      </c>
      <c r="H75" s="15" t="inlineStr">
        <is>
          <t>ні</t>
        </is>
      </c>
      <c r="I75" s="16" t="n">
        <v>653.4</v>
      </c>
      <c r="J75" s="15" t="inlineStr">
        <is>
          <t>ні</t>
        </is>
      </c>
      <c r="K75" s="13" t="inlineStr">
        <is>
          <t>Клуб Рослин</t>
        </is>
      </c>
      <c r="L75" s="14" t="n">
        <v>653.4</v>
      </c>
      <c r="M75" s="14">
        <f>IF(L75="","",E75-L75)</f>
        <v/>
      </c>
      <c r="N75" s="17">
        <f>IF(OR(L75="",L75=0),"",M75/L75)</f>
        <v/>
      </c>
      <c r="O75" s="14" t="n"/>
      <c r="P75" s="13" t="n">
        <v>0</v>
      </c>
      <c r="Q75" s="13" t="n">
        <v>1</v>
      </c>
      <c r="R75" s="13" t="inlineStr">
        <is>
          <t>код</t>
        </is>
      </c>
      <c r="S75" s="18" t="inlineStr">
        <is>
          <t>відкрити</t>
        </is>
      </c>
    </row>
    <row r="76">
      <c r="A76" s="11" t="inlineStr">
        <is>
          <t>Ваша ціна вища</t>
        </is>
      </c>
      <c r="B76" s="12" t="inlineStr">
        <is>
          <t>Ваша ціна вища на 2061.5 грн (143.4%); Немає в наявності в жодного постачальника</t>
        </is>
      </c>
      <c r="C76" s="13" t="inlineStr">
        <is>
          <t>1000596</t>
        </is>
      </c>
      <c r="D76" s="12" t="inlineStr">
        <is>
          <t>Ножиці для живоплоту з силовим приводом Фіскарс / Fiskars PowerGear HS72 114790 (1000596) Фінляндія</t>
        </is>
      </c>
      <c r="E76" s="14" t="n">
        <v>3499</v>
      </c>
      <c r="F76" s="13" t="inlineStr">
        <is>
          <t>так</t>
        </is>
      </c>
      <c r="G76" s="14" t="n"/>
      <c r="H76" s="13" t="inlineStr"/>
      <c r="I76" s="16" t="n">
        <v>1437.5</v>
      </c>
      <c r="J76" s="15" t="inlineStr">
        <is>
          <t>ні</t>
        </is>
      </c>
      <c r="K76" s="13" t="inlineStr">
        <is>
          <t>Клуб Рослин</t>
        </is>
      </c>
      <c r="L76" s="14" t="n">
        <v>1437.5</v>
      </c>
      <c r="M76" s="14">
        <f>IF(L76="","",E76-L76)</f>
        <v/>
      </c>
      <c r="N76" s="17">
        <f>IF(OR(L76="",L76=0),"",M76/L76)</f>
        <v/>
      </c>
      <c r="O76" s="14" t="n"/>
      <c r="P76" s="13" t="n">
        <v>0</v>
      </c>
      <c r="Q76" s="13" t="n">
        <v>1</v>
      </c>
      <c r="R76" s="13" t="inlineStr">
        <is>
          <t>код</t>
        </is>
      </c>
      <c r="S76" s="18" t="inlineStr">
        <is>
          <t>відкрити</t>
        </is>
      </c>
    </row>
    <row r="77">
      <c r="A77" s="11" t="inlineStr">
        <is>
          <t>Ваша ціна вища</t>
        </is>
      </c>
      <c r="B77" s="12" t="inlineStr">
        <is>
          <t>Ваша ціна вища на 679 грн (141.5%); Немає в наявності в жодного постачальника</t>
        </is>
      </c>
      <c r="C77" s="13" t="inlineStr">
        <is>
          <t>1000680</t>
        </is>
      </c>
      <c r="D77" s="12" t="inlineStr">
        <is>
          <t>Культиватор ручний 125 мм Fiskars QuikFit 136511 (1000680) Фінляндія</t>
        </is>
      </c>
      <c r="E77" s="14" t="n">
        <v>1159</v>
      </c>
      <c r="F77" s="13" t="inlineStr">
        <is>
          <t>так</t>
        </is>
      </c>
      <c r="G77" s="14" t="n">
        <v>799</v>
      </c>
      <c r="H77" s="15" t="inlineStr">
        <is>
          <t>ні</t>
        </is>
      </c>
      <c r="I77" s="16" t="n">
        <v>480</v>
      </c>
      <c r="J77" s="15" t="inlineStr">
        <is>
          <t>ні</t>
        </is>
      </c>
      <c r="K77" s="13" t="inlineStr">
        <is>
          <t>Клуб Рослин</t>
        </is>
      </c>
      <c r="L77" s="14" t="n">
        <v>480</v>
      </c>
      <c r="M77" s="14">
        <f>IF(L77="","",E77-L77)</f>
        <v/>
      </c>
      <c r="N77" s="17">
        <f>IF(OR(L77="",L77=0),"",M77/L77)</f>
        <v/>
      </c>
      <c r="O77" s="14" t="n"/>
      <c r="P77" s="13" t="n">
        <v>0</v>
      </c>
      <c r="Q77" s="13" t="n">
        <v>1</v>
      </c>
      <c r="R77" s="13" t="inlineStr">
        <is>
          <t>код</t>
        </is>
      </c>
      <c r="S77" s="18" t="inlineStr">
        <is>
          <t>відкрити</t>
        </is>
      </c>
    </row>
    <row r="78">
      <c r="A78" s="11" t="inlineStr">
        <is>
          <t>Ваша ціна вища</t>
        </is>
      </c>
      <c r="B78" s="12" t="inlineStr">
        <is>
          <t>Ваша ціна вища на 1397.1 грн (139.4%)</t>
        </is>
      </c>
      <c r="C78" s="13" t="inlineStr">
        <is>
          <t>1001432</t>
        </is>
      </c>
      <c r="D78" s="12" t="inlineStr">
        <is>
          <t>Гілкоріз площинний малий Фіскарс Fiskars із загнутими лезами SingleStep (S) L28 112160 (1001432) Фінляндія</t>
        </is>
      </c>
      <c r="E78" s="14" t="n">
        <v>2399</v>
      </c>
      <c r="F78" s="15" t="inlineStr">
        <is>
          <t>ні</t>
        </is>
      </c>
      <c r="G78" s="14" t="n">
        <v>1499</v>
      </c>
      <c r="H78" s="15" t="inlineStr">
        <is>
          <t>ні</t>
        </is>
      </c>
      <c r="I78" s="16" t="n">
        <v>1001.9</v>
      </c>
      <c r="J78" s="15" t="inlineStr">
        <is>
          <t>ні</t>
        </is>
      </c>
      <c r="K78" s="13" t="inlineStr">
        <is>
          <t>Клуб Рослин</t>
        </is>
      </c>
      <c r="L78" s="14" t="n">
        <v>1001.9</v>
      </c>
      <c r="M78" s="14">
        <f>IF(L78="","",E78-L78)</f>
        <v/>
      </c>
      <c r="N78" s="17">
        <f>IF(OR(L78="",L78=0),"",M78/L78)</f>
        <v/>
      </c>
      <c r="O78" s="14" t="n"/>
      <c r="P78" s="13" t="n">
        <v>0</v>
      </c>
      <c r="Q78" s="13" t="n">
        <v>1</v>
      </c>
      <c r="R78" s="13" t="inlineStr">
        <is>
          <t>код</t>
        </is>
      </c>
      <c r="S78" s="18" t="inlineStr">
        <is>
          <t>відкрити</t>
        </is>
      </c>
    </row>
    <row r="79">
      <c r="A79" s="11" t="inlineStr">
        <is>
          <t>Ваша ціна вища</t>
        </is>
      </c>
      <c r="B79" s="12" t="inlineStr">
        <is>
          <t>Ваша ціна вища на 2555 грн (138.6%)</t>
        </is>
      </c>
      <c r="C79" s="13" t="inlineStr">
        <is>
          <t>1001615</t>
        </is>
      </c>
      <c r="D79" s="12" t="inlineStr">
        <is>
          <t>Клин для розщеплення гвинтовий Фіскарс / Fiskars SAFE-T 120021 (1001615) Фінляндія</t>
        </is>
      </c>
      <c r="E79" s="14" t="n">
        <v>4399</v>
      </c>
      <c r="F79" s="15" t="inlineStr">
        <is>
          <t>ні</t>
        </is>
      </c>
      <c r="G79" s="14" t="n">
        <v>2799</v>
      </c>
      <c r="H79" s="15" t="inlineStr">
        <is>
          <t>ні</t>
        </is>
      </c>
      <c r="I79" s="16" t="n">
        <v>1844</v>
      </c>
      <c r="J79" s="15" t="inlineStr">
        <is>
          <t>ні</t>
        </is>
      </c>
      <c r="K79" s="13" t="inlineStr">
        <is>
          <t>Клуб Рослин</t>
        </is>
      </c>
      <c r="L79" s="14" t="n">
        <v>1844</v>
      </c>
      <c r="M79" s="14">
        <f>IF(L79="","",E79-L79)</f>
        <v/>
      </c>
      <c r="N79" s="17">
        <f>IF(OR(L79="",L79=0),"",M79/L79)</f>
        <v/>
      </c>
      <c r="O79" s="14" t="n"/>
      <c r="P79" s="13" t="n">
        <v>0</v>
      </c>
      <c r="Q79" s="13" t="n">
        <v>1</v>
      </c>
      <c r="R79" s="13" t="inlineStr">
        <is>
          <t>код</t>
        </is>
      </c>
      <c r="S79" s="18" t="inlineStr">
        <is>
          <t>відкрити</t>
        </is>
      </c>
    </row>
    <row r="80">
      <c r="A80" s="11" t="inlineStr">
        <is>
          <t>Ваша ціна вища</t>
        </is>
      </c>
      <c r="B80" s="12" t="inlineStr">
        <is>
          <t>Ваша ціна вища на 1848.6 грн (136.9%); Немає в наявності в жодного постачальника</t>
        </is>
      </c>
      <c r="C80" s="13" t="inlineStr">
        <is>
          <t>1003609</t>
        </is>
      </c>
      <c r="D80" s="12" t="inlineStr">
        <is>
          <t>Малий сікач для гілок Фіскарс Fiskars WoodXpert 126004 (1003609) Фінляндія</t>
        </is>
      </c>
      <c r="E80" s="14" t="n">
        <v>3199</v>
      </c>
      <c r="F80" s="13" t="inlineStr">
        <is>
          <t>так</t>
        </is>
      </c>
      <c r="G80" s="14" t="n">
        <v>2299</v>
      </c>
      <c r="H80" s="15" t="inlineStr">
        <is>
          <t>ні</t>
        </is>
      </c>
      <c r="I80" s="16" t="n">
        <v>1350.4</v>
      </c>
      <c r="J80" s="15" t="inlineStr">
        <is>
          <t>ні</t>
        </is>
      </c>
      <c r="K80" s="13" t="inlineStr">
        <is>
          <t>Клуб Рослин</t>
        </is>
      </c>
      <c r="L80" s="14" t="n">
        <v>1350.4</v>
      </c>
      <c r="M80" s="14">
        <f>IF(L80="","",E80-L80)</f>
        <v/>
      </c>
      <c r="N80" s="17">
        <f>IF(OR(L80="",L80=0),"",M80/L80)</f>
        <v/>
      </c>
      <c r="O80" s="14" t="n"/>
      <c r="P80" s="13" t="n">
        <v>0</v>
      </c>
      <c r="Q80" s="13" t="n">
        <v>1</v>
      </c>
      <c r="R80" s="13" t="inlineStr">
        <is>
          <t>код</t>
        </is>
      </c>
      <c r="S80" s="18" t="inlineStr">
        <is>
          <t>відкрити</t>
        </is>
      </c>
    </row>
    <row r="81">
      <c r="A81" s="11" t="inlineStr">
        <is>
          <t>Ваша ціна вища</t>
        </is>
      </c>
      <c r="B81" s="12" t="inlineStr">
        <is>
          <t>Ваша ціна вища на 1905.1 грн (136.7%)</t>
        </is>
      </c>
      <c r="C81" s="13" t="inlineStr">
        <is>
          <t>1000590</t>
        </is>
      </c>
      <c r="D81" s="12" t="inlineStr">
        <is>
          <t>Ножиці для трави подовжені з серво-системою Фіскарс / Fiskars GS46 113690 (1000590) Фінляндія</t>
        </is>
      </c>
      <c r="E81" s="14" t="n">
        <v>3299</v>
      </c>
      <c r="F81" s="15" t="inlineStr">
        <is>
          <t>ні</t>
        </is>
      </c>
      <c r="G81" s="14" t="n">
        <v>1999</v>
      </c>
      <c r="H81" s="15" t="inlineStr">
        <is>
          <t>ні</t>
        </is>
      </c>
      <c r="I81" s="16" t="n">
        <v>1393.9</v>
      </c>
      <c r="J81" s="15" t="inlineStr">
        <is>
          <t>ні</t>
        </is>
      </c>
      <c r="K81" s="13" t="inlineStr">
        <is>
          <t>Клуб Рослин</t>
        </is>
      </c>
      <c r="L81" s="14" t="n">
        <v>1393.9</v>
      </c>
      <c r="M81" s="14">
        <f>IF(L81="","",E81-L81)</f>
        <v/>
      </c>
      <c r="N81" s="17">
        <f>IF(OR(L81="",L81=0),"",M81/L81)</f>
        <v/>
      </c>
      <c r="O81" s="14" t="n"/>
      <c r="P81" s="13" t="n">
        <v>0</v>
      </c>
      <c r="Q81" s="13" t="n">
        <v>1</v>
      </c>
      <c r="R81" s="13" t="inlineStr">
        <is>
          <t>код</t>
        </is>
      </c>
      <c r="S81" s="18" t="inlineStr">
        <is>
          <t>відкрити</t>
        </is>
      </c>
    </row>
    <row r="82">
      <c r="A82" s="11" t="inlineStr">
        <is>
          <t>Ваша ціна вища</t>
        </is>
      </c>
      <c r="B82" s="12" t="inlineStr">
        <is>
          <t>Ваша ціна вища на 824.6 грн (132.1%)</t>
        </is>
      </c>
      <c r="C82" s="13" t="inlineStr">
        <is>
          <t>1001614</t>
        </is>
      </c>
      <c r="D82" s="12" t="inlineStr">
        <is>
          <t>Клин для розколу колод Фіскарс / Fiskars 120010 (1001614) Фінляндія</t>
        </is>
      </c>
      <c r="E82" s="14" t="n">
        <v>1449</v>
      </c>
      <c r="F82" s="15" t="inlineStr">
        <is>
          <t>ні</t>
        </is>
      </c>
      <c r="G82" s="14" t="n">
        <v>899</v>
      </c>
      <c r="H82" s="15" t="inlineStr">
        <is>
          <t>ні</t>
        </is>
      </c>
      <c r="I82" s="16" t="n">
        <v>624.4</v>
      </c>
      <c r="J82" s="15" t="inlineStr">
        <is>
          <t>ні</t>
        </is>
      </c>
      <c r="K82" s="13" t="inlineStr">
        <is>
          <t>Клуб Рослин</t>
        </is>
      </c>
      <c r="L82" s="14" t="n">
        <v>624.4</v>
      </c>
      <c r="M82" s="14">
        <f>IF(L82="","",E82-L82)</f>
        <v/>
      </c>
      <c r="N82" s="17">
        <f>IF(OR(L82="",L82=0),"",M82/L82)</f>
        <v/>
      </c>
      <c r="O82" s="14" t="n"/>
      <c r="P82" s="13" t="n">
        <v>0</v>
      </c>
      <c r="Q82" s="13" t="n">
        <v>1</v>
      </c>
      <c r="R82" s="13" t="inlineStr">
        <is>
          <t>код</t>
        </is>
      </c>
      <c r="S82" s="18" t="inlineStr">
        <is>
          <t>відкрити</t>
        </is>
      </c>
    </row>
    <row r="83">
      <c r="A83" s="11" t="inlineStr">
        <is>
          <t>Ваша ціна вища</t>
        </is>
      </c>
      <c r="B83" s="12" t="inlineStr">
        <is>
          <t>Ваша ціна вища на 142 грн (131.5%); Немає в наявності в жодного постачальника</t>
        </is>
      </c>
      <c r="C83" s="13" t="inlineStr">
        <is>
          <t>1000696</t>
        </is>
      </c>
      <c r="D83" s="12" t="inlineStr">
        <is>
          <t>Посадкова вилка Fiskars Solid 137030 (1000696) Фінляндія</t>
        </is>
      </c>
      <c r="E83" s="14" t="n">
        <v>250</v>
      </c>
      <c r="F83" s="13" t="inlineStr">
        <is>
          <t>так</t>
        </is>
      </c>
      <c r="G83" s="14" t="n">
        <v>249</v>
      </c>
      <c r="H83" s="15" t="inlineStr">
        <is>
          <t>ні</t>
        </is>
      </c>
      <c r="I83" s="16" t="n">
        <v>108</v>
      </c>
      <c r="J83" s="15" t="inlineStr">
        <is>
          <t>ні</t>
        </is>
      </c>
      <c r="K83" s="13" t="inlineStr">
        <is>
          <t>Клуб Рослин</t>
        </is>
      </c>
      <c r="L83" s="14" t="n">
        <v>108</v>
      </c>
      <c r="M83" s="14">
        <f>IF(L83="","",E83-L83)</f>
        <v/>
      </c>
      <c r="N83" s="17">
        <f>IF(OR(L83="",L83=0),"",M83/L83)</f>
        <v/>
      </c>
      <c r="O83" s="14" t="n"/>
      <c r="P83" s="13" t="n">
        <v>0</v>
      </c>
      <c r="Q83" s="13" t="n">
        <v>1</v>
      </c>
      <c r="R83" s="13" t="inlineStr">
        <is>
          <t>код</t>
        </is>
      </c>
      <c r="S83" s="18" t="inlineStr">
        <is>
          <t>відкрити</t>
        </is>
      </c>
    </row>
    <row r="84">
      <c r="A84" s="11" t="inlineStr">
        <is>
          <t>Ваша ціна вища</t>
        </is>
      </c>
      <c r="B84" s="12" t="inlineStr">
        <is>
          <t>Ваша ціна вища на 671 грн (127.1%); Немає в наявності в жодного постачальника</t>
        </is>
      </c>
      <c r="C84" s="13" t="inlineStr">
        <is>
          <t>1000661</t>
        </is>
      </c>
      <c r="D84" s="12" t="inlineStr">
        <is>
          <t>Штанга Фіскарс Fiskars QuikFit (L) 1560 мм 136001 (1000661) Фінляндія</t>
        </is>
      </c>
      <c r="E84" s="14" t="n">
        <v>1199</v>
      </c>
      <c r="F84" s="13" t="inlineStr">
        <is>
          <t>так</t>
        </is>
      </c>
      <c r="G84" s="14" t="n">
        <v>1049</v>
      </c>
      <c r="H84" s="15" t="inlineStr">
        <is>
          <t>ні</t>
        </is>
      </c>
      <c r="I84" s="16" t="n">
        <v>528</v>
      </c>
      <c r="J84" s="15" t="inlineStr">
        <is>
          <t>ні</t>
        </is>
      </c>
      <c r="K84" s="13" t="inlineStr">
        <is>
          <t>Клуб Рослин</t>
        </is>
      </c>
      <c r="L84" s="14" t="n">
        <v>528</v>
      </c>
      <c r="M84" s="14">
        <f>IF(L84="","",E84-L84)</f>
        <v/>
      </c>
      <c r="N84" s="17">
        <f>IF(OR(L84="",L84=0),"",M84/L84)</f>
        <v/>
      </c>
      <c r="O84" s="14" t="n"/>
      <c r="P84" s="13" t="n">
        <v>0</v>
      </c>
      <c r="Q84" s="13" t="n">
        <v>1</v>
      </c>
      <c r="R84" s="13" t="inlineStr">
        <is>
          <t>код</t>
        </is>
      </c>
      <c r="S84" s="18" t="inlineStr">
        <is>
          <t>відкрити</t>
        </is>
      </c>
    </row>
    <row r="85">
      <c r="A85" s="11" t="inlineStr">
        <is>
          <t>Ваша ціна вища</t>
        </is>
      </c>
      <c r="B85" s="12" t="inlineStr">
        <is>
          <t>Ваша ціна вища на 816.3 грн (123.6%); Немає в наявності в жодного постачальника</t>
        </is>
      </c>
      <c r="C85" s="13" t="inlineStr">
        <is>
          <t>1000557</t>
        </is>
      </c>
      <c r="D85" s="12" t="inlineStr">
        <is>
          <t>Ножиці для трави Фіскарс / Fiskars S50 111090 (1000557) Фінляндія</t>
        </is>
      </c>
      <c r="E85" s="14" t="n">
        <v>1477</v>
      </c>
      <c r="F85" s="13" t="inlineStr">
        <is>
          <t>так</t>
        </is>
      </c>
      <c r="G85" s="14" t="n"/>
      <c r="H85" s="13" t="inlineStr"/>
      <c r="I85" s="16" t="n">
        <v>660.7</v>
      </c>
      <c r="J85" s="15" t="inlineStr">
        <is>
          <t>ні</t>
        </is>
      </c>
      <c r="K85" s="13" t="inlineStr">
        <is>
          <t>Клуб Рослин</t>
        </is>
      </c>
      <c r="L85" s="14" t="n">
        <v>660.7</v>
      </c>
      <c r="M85" s="14">
        <f>IF(L85="","",E85-L85)</f>
        <v/>
      </c>
      <c r="N85" s="17">
        <f>IF(OR(L85="",L85=0),"",M85/L85)</f>
        <v/>
      </c>
      <c r="O85" s="14" t="n"/>
      <c r="P85" s="13" t="n">
        <v>0</v>
      </c>
      <c r="Q85" s="13" t="n">
        <v>1</v>
      </c>
      <c r="R85" s="13" t="inlineStr">
        <is>
          <t>код</t>
        </is>
      </c>
      <c r="S85" s="18" t="inlineStr">
        <is>
          <t>відкрити</t>
        </is>
      </c>
    </row>
    <row r="86">
      <c r="A86" s="11" t="inlineStr">
        <is>
          <t>Ваша ціна вища</t>
        </is>
      </c>
      <c r="B86" s="12" t="inlineStr">
        <is>
          <t>Ваша ціна вища на 1324.5 грн (123.3%)</t>
        </is>
      </c>
      <c r="C86" s="13" t="inlineStr">
        <is>
          <t>1000600</t>
        </is>
      </c>
      <c r="D86" s="12" t="inlineStr">
        <is>
          <t>Клин для розщеплення Фіскарс Fiskars 120020 (1000600) Фінляндія</t>
        </is>
      </c>
      <c r="E86" s="14" t="n">
        <v>2399</v>
      </c>
      <c r="F86" s="15" t="inlineStr">
        <is>
          <t>ні</t>
        </is>
      </c>
      <c r="G86" s="14" t="n">
        <v>1499</v>
      </c>
      <c r="H86" s="15" t="inlineStr">
        <is>
          <t>ні</t>
        </is>
      </c>
      <c r="I86" s="16" t="n">
        <v>1074.5</v>
      </c>
      <c r="J86" s="15" t="inlineStr">
        <is>
          <t>ні</t>
        </is>
      </c>
      <c r="K86" s="13" t="inlineStr">
        <is>
          <t>Клуб Рослин</t>
        </is>
      </c>
      <c r="L86" s="14" t="n">
        <v>1074.5</v>
      </c>
      <c r="M86" s="14">
        <f>IF(L86="","",E86-L86)</f>
        <v/>
      </c>
      <c r="N86" s="17">
        <f>IF(OR(L86="",L86=0),"",M86/L86)</f>
        <v/>
      </c>
      <c r="O86" s="14" t="n"/>
      <c r="P86" s="13" t="n">
        <v>0</v>
      </c>
      <c r="Q86" s="13" t="n">
        <v>1</v>
      </c>
      <c r="R86" s="13" t="inlineStr">
        <is>
          <t>код</t>
        </is>
      </c>
      <c r="S86" s="18" t="inlineStr">
        <is>
          <t>відкрити</t>
        </is>
      </c>
    </row>
    <row r="87">
      <c r="A87" s="11" t="inlineStr">
        <is>
          <t>Ваша ціна вища</t>
        </is>
      </c>
      <c r="B87" s="12" t="inlineStr">
        <is>
          <t>Ваша ціна вища на 1100 грн (122.4%)</t>
        </is>
      </c>
      <c r="C87" s="13" t="inlineStr">
        <is>
          <t>1001562</t>
        </is>
      </c>
      <c r="D87" s="12" t="inlineStr">
        <is>
          <t>Плодознімач-насадка Фіскарс / Fiskars (1001562) Фінляндія</t>
        </is>
      </c>
      <c r="E87" s="14" t="n">
        <v>1999</v>
      </c>
      <c r="F87" s="15" t="inlineStr">
        <is>
          <t>ні</t>
        </is>
      </c>
      <c r="G87" s="16" t="n">
        <v>899</v>
      </c>
      <c r="H87" s="15" t="inlineStr">
        <is>
          <t>ні</t>
        </is>
      </c>
      <c r="I87" s="14" t="n"/>
      <c r="J87" s="13" t="inlineStr"/>
      <c r="K87" s="13" t="inlineStr">
        <is>
          <t>Водоспад</t>
        </is>
      </c>
      <c r="L87" s="14" t="n">
        <v>899</v>
      </c>
      <c r="M87" s="14">
        <f>IF(L87="","",E87-L87)</f>
        <v/>
      </c>
      <c r="N87" s="17">
        <f>IF(OR(L87="",L87=0),"",M87/L87)</f>
        <v/>
      </c>
      <c r="O87" s="14" t="n"/>
      <c r="P87" s="13" t="n">
        <v>0</v>
      </c>
      <c r="Q87" s="13" t="n">
        <v>1</v>
      </c>
      <c r="R87" s="13" t="inlineStr">
        <is>
          <t>код</t>
        </is>
      </c>
      <c r="S87" s="18" t="inlineStr">
        <is>
          <t>відкрити</t>
        </is>
      </c>
    </row>
    <row r="88">
      <c r="A88" s="11" t="inlineStr">
        <is>
          <t>Ваша ціна вища</t>
        </is>
      </c>
      <c r="B88" s="12" t="inlineStr">
        <is>
          <t>Ваша ціна вища на 481 грн (121.5%); Немає в наявності в жодного постачальника</t>
        </is>
      </c>
      <c r="C88" s="13" t="inlineStr">
        <is>
          <t>1000601</t>
        </is>
      </c>
      <c r="D88" s="12" t="inlineStr">
        <is>
          <t>Точилка для сокир і ножів Фіскарс Fiskars Xsharp 120740 (1000601) Фінляндія</t>
        </is>
      </c>
      <c r="E88" s="14" t="n">
        <v>877</v>
      </c>
      <c r="F88" s="13" t="inlineStr">
        <is>
          <t>так</t>
        </is>
      </c>
      <c r="G88" s="14" t="n">
        <v>599</v>
      </c>
      <c r="H88" s="15" t="inlineStr">
        <is>
          <t>ні</t>
        </is>
      </c>
      <c r="I88" s="16" t="n">
        <v>396</v>
      </c>
      <c r="J88" s="15" t="inlineStr">
        <is>
          <t>ні</t>
        </is>
      </c>
      <c r="K88" s="13" t="inlineStr">
        <is>
          <t>Клуб Рослин</t>
        </is>
      </c>
      <c r="L88" s="14" t="n">
        <v>396</v>
      </c>
      <c r="M88" s="14">
        <f>IF(L88="","",E88-L88)</f>
        <v/>
      </c>
      <c r="N88" s="17">
        <f>IF(OR(L88="",L88=0),"",M88/L88)</f>
        <v/>
      </c>
      <c r="O88" s="14" t="n"/>
      <c r="P88" s="13" t="n">
        <v>0</v>
      </c>
      <c r="Q88" s="13" t="n">
        <v>1</v>
      </c>
      <c r="R88" s="13" t="inlineStr">
        <is>
          <t>код</t>
        </is>
      </c>
      <c r="S88" s="18" t="inlineStr">
        <is>
          <t>відкрити</t>
        </is>
      </c>
    </row>
    <row r="89">
      <c r="A89" s="11" t="inlineStr">
        <is>
          <t>Ваша ціна вища</t>
        </is>
      </c>
      <c r="B89" s="12" t="inlineStr">
        <is>
          <t>Ваша ціна вища на 1078.8 грн (119.8%); Немає в наявності в жодного постачальника</t>
        </is>
      </c>
      <c r="C89" s="13" t="inlineStr">
        <is>
          <t>1000656</t>
        </is>
      </c>
      <c r="D89" s="12" t="inlineStr">
        <is>
          <t>Граблі Фіскарс Fiskars QuikFit 135514 (1000656) Фінляндія</t>
        </is>
      </c>
      <c r="E89" s="14" t="n">
        <v>1979</v>
      </c>
      <c r="F89" s="13" t="inlineStr">
        <is>
          <t>так</t>
        </is>
      </c>
      <c r="G89" s="14" t="n">
        <v>1599</v>
      </c>
      <c r="H89" s="15" t="inlineStr">
        <is>
          <t>ні</t>
        </is>
      </c>
      <c r="I89" s="16" t="n">
        <v>900.2</v>
      </c>
      <c r="J89" s="15" t="inlineStr">
        <is>
          <t>ні</t>
        </is>
      </c>
      <c r="K89" s="13" t="inlineStr">
        <is>
          <t>Клуб Рослин</t>
        </is>
      </c>
      <c r="L89" s="14" t="n">
        <v>900.2</v>
      </c>
      <c r="M89" s="14">
        <f>IF(L89="","",E89-L89)</f>
        <v/>
      </c>
      <c r="N89" s="17">
        <f>IF(OR(L89="",L89=0),"",M89/L89)</f>
        <v/>
      </c>
      <c r="O89" s="14" t="n"/>
      <c r="P89" s="13" t="n">
        <v>0</v>
      </c>
      <c r="Q89" s="13" t="n">
        <v>1</v>
      </c>
      <c r="R89" s="13" t="inlineStr">
        <is>
          <t>код</t>
        </is>
      </c>
      <c r="S89" s="18" t="inlineStr">
        <is>
          <t>відкрити</t>
        </is>
      </c>
    </row>
    <row r="90">
      <c r="A90" s="11" t="inlineStr">
        <is>
          <t>Ваша ціна вища</t>
        </is>
      </c>
      <c r="B90" s="12" t="inlineStr">
        <is>
          <t>Ваша ціна вища на 2395.2 грн (119.5%)</t>
        </is>
      </c>
      <c r="C90" s="13" t="inlineStr">
        <is>
          <t>1000583</t>
        </is>
      </c>
      <c r="D90" s="12" t="inlineStr">
        <is>
          <t>Гілкоріз великий контактний Фіскарс / Fiskars PowerGear (L) L77 112580 (1000583) Фінляндія</t>
        </is>
      </c>
      <c r="E90" s="14" t="n">
        <v>4399</v>
      </c>
      <c r="F90" s="15" t="inlineStr">
        <is>
          <t>ні</t>
        </is>
      </c>
      <c r="G90" s="14" t="n">
        <v>2699</v>
      </c>
      <c r="H90" s="15" t="inlineStr">
        <is>
          <t>ні</t>
        </is>
      </c>
      <c r="I90" s="16" t="n">
        <v>2003.8</v>
      </c>
      <c r="J90" s="15" t="inlineStr">
        <is>
          <t>ні</t>
        </is>
      </c>
      <c r="K90" s="13" t="inlineStr">
        <is>
          <t>Клуб Рослин</t>
        </is>
      </c>
      <c r="L90" s="14" t="n">
        <v>2003.8</v>
      </c>
      <c r="M90" s="14">
        <f>IF(L90="","",E90-L90)</f>
        <v/>
      </c>
      <c r="N90" s="17">
        <f>IF(OR(L90="",L90=0),"",M90/L90)</f>
        <v/>
      </c>
      <c r="O90" s="14" t="n"/>
      <c r="P90" s="13" t="n">
        <v>0</v>
      </c>
      <c r="Q90" s="13" t="n">
        <v>1</v>
      </c>
      <c r="R90" s="13" t="inlineStr">
        <is>
          <t>код</t>
        </is>
      </c>
      <c r="S90" s="18" t="inlineStr">
        <is>
          <t>відкрити</t>
        </is>
      </c>
    </row>
    <row r="91">
      <c r="A91" s="11" t="inlineStr">
        <is>
          <t>Ваша ціна вища</t>
        </is>
      </c>
      <c r="B91" s="12" t="inlineStr">
        <is>
          <t>Ваша ціна вища на 1197.1 грн (119.5%)</t>
        </is>
      </c>
      <c r="C91" s="13" t="inlineStr">
        <is>
          <t>1000581</t>
        </is>
      </c>
      <c r="D91" s="12" t="inlineStr">
        <is>
          <t>Гілкоріз малий контактний Фіскарс Fiskars PowerGear (S) L31 112170 (1000581) Фінляндія</t>
        </is>
      </c>
      <c r="E91" s="14" t="n">
        <v>2199</v>
      </c>
      <c r="F91" s="15" t="inlineStr">
        <is>
          <t>ні</t>
        </is>
      </c>
      <c r="G91" s="14" t="n">
        <v>1299</v>
      </c>
      <c r="H91" s="15" t="inlineStr">
        <is>
          <t>ні</t>
        </is>
      </c>
      <c r="I91" s="16" t="n">
        <v>1001.9</v>
      </c>
      <c r="J91" s="15" t="inlineStr">
        <is>
          <t>ні</t>
        </is>
      </c>
      <c r="K91" s="13" t="inlineStr">
        <is>
          <t>Клуб Рослин</t>
        </is>
      </c>
      <c r="L91" s="14" t="n">
        <v>1001.9</v>
      </c>
      <c r="M91" s="14">
        <f>IF(L91="","",E91-L91)</f>
        <v/>
      </c>
      <c r="N91" s="17">
        <f>IF(OR(L91="",L91=0),"",M91/L91)</f>
        <v/>
      </c>
      <c r="O91" s="14" t="n"/>
      <c r="P91" s="13" t="n">
        <v>0</v>
      </c>
      <c r="Q91" s="13" t="n">
        <v>1</v>
      </c>
      <c r="R91" s="13" t="inlineStr">
        <is>
          <t>код</t>
        </is>
      </c>
      <c r="S91" s="18" t="inlineStr">
        <is>
          <t>відкрити</t>
        </is>
      </c>
    </row>
    <row r="92">
      <c r="A92" s="11" t="inlineStr">
        <is>
          <t>Ваша ціна вища</t>
        </is>
      </c>
      <c r="B92" s="12" t="inlineStr">
        <is>
          <t>Ваша ціна вища на 1126.2 грн (115.8%)</t>
        </is>
      </c>
      <c r="C92" s="13" t="inlineStr">
        <is>
          <t>1000589</t>
        </is>
      </c>
      <c r="D92" s="12" t="inlineStr">
        <is>
          <t>Ножиці для трави з Серво-системою Фіскарс Fiskars GS42 113680 (1000589) Фінляндія</t>
        </is>
      </c>
      <c r="E92" s="14" t="n">
        <v>2099</v>
      </c>
      <c r="F92" s="15" t="inlineStr">
        <is>
          <t>ні</t>
        </is>
      </c>
      <c r="G92" s="14" t="n">
        <v>1399</v>
      </c>
      <c r="H92" s="15" t="inlineStr">
        <is>
          <t>ні</t>
        </is>
      </c>
      <c r="I92" s="16" t="n">
        <v>972.8</v>
      </c>
      <c r="J92" s="15" t="inlineStr">
        <is>
          <t>ні</t>
        </is>
      </c>
      <c r="K92" s="13" t="inlineStr">
        <is>
          <t>Клуб Рослин</t>
        </is>
      </c>
      <c r="L92" s="14" t="n">
        <v>972.8</v>
      </c>
      <c r="M92" s="14">
        <f>IF(L92="","",E92-L92)</f>
        <v/>
      </c>
      <c r="N92" s="17">
        <f>IF(OR(L92="",L92=0),"",M92/L92)</f>
        <v/>
      </c>
      <c r="O92" s="14" t="n"/>
      <c r="P92" s="13" t="n">
        <v>0</v>
      </c>
      <c r="Q92" s="13" t="n">
        <v>1</v>
      </c>
      <c r="R92" s="13" t="inlineStr">
        <is>
          <t>код</t>
        </is>
      </c>
      <c r="S92" s="18" t="inlineStr">
        <is>
          <t>відкрити</t>
        </is>
      </c>
    </row>
    <row r="93">
      <c r="A93" s="11" t="inlineStr">
        <is>
          <t>Ваша ціна вища</t>
        </is>
      </c>
      <c r="B93" s="12" t="inlineStr">
        <is>
          <t>Ваша ціна вища на 1548.6 грн (114.7%)</t>
        </is>
      </c>
      <c r="C93" s="13" t="inlineStr">
        <is>
          <t>1001564</t>
        </is>
      </c>
      <c r="D93" s="12" t="inlineStr">
        <is>
          <t>Ножиці для живоплоту Фіскарс / Fiskars PowerLever HS52 114750 (1001564) Фінляндія</t>
        </is>
      </c>
      <c r="E93" s="14" t="n">
        <v>2899</v>
      </c>
      <c r="F93" s="15" t="inlineStr">
        <is>
          <t>ні</t>
        </is>
      </c>
      <c r="G93" s="14" t="n">
        <v>1799</v>
      </c>
      <c r="H93" s="15" t="inlineStr">
        <is>
          <t>ні</t>
        </is>
      </c>
      <c r="I93" s="16" t="n">
        <v>1350.4</v>
      </c>
      <c r="J93" s="15" t="inlineStr">
        <is>
          <t>ні</t>
        </is>
      </c>
      <c r="K93" s="13" t="inlineStr">
        <is>
          <t>Клуб Рослин</t>
        </is>
      </c>
      <c r="L93" s="14" t="n">
        <v>1350.4</v>
      </c>
      <c r="M93" s="14">
        <f>IF(L93="","",E93-L93)</f>
        <v/>
      </c>
      <c r="N93" s="17">
        <f>IF(OR(L93="",L93=0),"",M93/L93)</f>
        <v/>
      </c>
      <c r="O93" s="14" t="n"/>
      <c r="P93" s="13" t="n">
        <v>0</v>
      </c>
      <c r="Q93" s="13" t="n">
        <v>1</v>
      </c>
      <c r="R93" s="13" t="inlineStr">
        <is>
          <t>код</t>
        </is>
      </c>
      <c r="S93" s="18" t="inlineStr">
        <is>
          <t>відкрити</t>
        </is>
      </c>
    </row>
    <row r="94">
      <c r="A94" s="11" t="inlineStr">
        <is>
          <t>Ваша ціна вища</t>
        </is>
      </c>
      <c r="B94" s="12" t="inlineStr">
        <is>
          <t>Ваша ціна вища на 2295.2 грн (114.5%)</t>
        </is>
      </c>
      <c r="C94" s="13" t="inlineStr">
        <is>
          <t>1013565</t>
        </is>
      </c>
      <c r="D94" s="12" t="inlineStr">
        <is>
          <t>Ножиці для живоплоту телескопічні Фіскарс / Fiskars SmartFit HS86 114800 (1013565) Фінляндія</t>
        </is>
      </c>
      <c r="E94" s="14" t="n">
        <v>4299</v>
      </c>
      <c r="F94" s="15" t="inlineStr">
        <is>
          <t>ні</t>
        </is>
      </c>
      <c r="G94" s="14" t="n">
        <v>2799</v>
      </c>
      <c r="H94" s="15" t="inlineStr">
        <is>
          <t>ні</t>
        </is>
      </c>
      <c r="I94" s="16" t="n">
        <v>2003.8</v>
      </c>
      <c r="J94" s="15" t="inlineStr">
        <is>
          <t>ні</t>
        </is>
      </c>
      <c r="K94" s="13" t="inlineStr">
        <is>
          <t>Клуб Рослин</t>
        </is>
      </c>
      <c r="L94" s="14" t="n">
        <v>2003.8</v>
      </c>
      <c r="M94" s="14">
        <f>IF(L94="","",E94-L94)</f>
        <v/>
      </c>
      <c r="N94" s="17">
        <f>IF(OR(L94="",L94=0),"",M94/L94)</f>
        <v/>
      </c>
      <c r="O94" s="14" t="n"/>
      <c r="P94" s="13" t="n">
        <v>0</v>
      </c>
      <c r="Q94" s="13" t="n">
        <v>1</v>
      </c>
      <c r="R94" s="13" t="inlineStr">
        <is>
          <t>код</t>
        </is>
      </c>
      <c r="S94" s="18" t="inlineStr">
        <is>
          <t>відкрити</t>
        </is>
      </c>
    </row>
    <row r="95">
      <c r="A95" s="11" t="inlineStr">
        <is>
          <t>Ваша ціна вища</t>
        </is>
      </c>
      <c r="B95" s="12" t="inlineStr">
        <is>
          <t>Ваша ціна вища на 2229.8 грн (113.8%); Немає в наявності в жодного постачальника</t>
        </is>
      </c>
      <c r="C95" s="13" t="inlineStr">
        <is>
          <t>1000640</t>
        </is>
      </c>
      <c r="D95" s="12" t="inlineStr">
        <is>
          <t>Бур садовий Фіскарс Fiskars QuikDrill L великий 134730 (1000640) Фінляндія</t>
        </is>
      </c>
      <c r="E95" s="14" t="n">
        <v>4190</v>
      </c>
      <c r="F95" s="13" t="inlineStr">
        <is>
          <t>так</t>
        </is>
      </c>
      <c r="G95" s="14" t="n">
        <v>2699</v>
      </c>
      <c r="H95" s="15" t="inlineStr">
        <is>
          <t>ні</t>
        </is>
      </c>
      <c r="I95" s="16" t="n">
        <v>1960.2</v>
      </c>
      <c r="J95" s="15" t="inlineStr">
        <is>
          <t>ні</t>
        </is>
      </c>
      <c r="K95" s="13" t="inlineStr">
        <is>
          <t>Клуб Рослин</t>
        </is>
      </c>
      <c r="L95" s="14" t="n">
        <v>1960.2</v>
      </c>
      <c r="M95" s="14">
        <f>IF(L95="","",E95-L95)</f>
        <v/>
      </c>
      <c r="N95" s="17">
        <f>IF(OR(L95="",L95=0),"",M95/L95)</f>
        <v/>
      </c>
      <c r="O95" s="14" t="n"/>
      <c r="P95" s="13" t="n">
        <v>0</v>
      </c>
      <c r="Q95" s="13" t="n">
        <v>1</v>
      </c>
      <c r="R95" s="13" t="inlineStr">
        <is>
          <t>код</t>
        </is>
      </c>
      <c r="S95" s="18" t="inlineStr">
        <is>
          <t>відкрити</t>
        </is>
      </c>
    </row>
    <row r="96">
      <c r="A96" s="11" t="inlineStr">
        <is>
          <t>Ваша ціна вища</t>
        </is>
      </c>
      <c r="B96" s="12" t="inlineStr">
        <is>
          <t>Ваша ціна вища на 659.21 грн (108.1%); Немає в наявності в жодного постачальника</t>
        </is>
      </c>
      <c r="C96" s="13" t="inlineStr">
        <is>
          <t>1000654</t>
        </is>
      </c>
      <c r="D96" s="12" t="inlineStr">
        <is>
          <t>Граблі для грунту 16 зубів Fiskars QuikFit 135512 (1000654) Фінляндія</t>
        </is>
      </c>
      <c r="E96" s="14" t="n">
        <v>1269</v>
      </c>
      <c r="F96" s="13" t="inlineStr">
        <is>
          <t>так</t>
        </is>
      </c>
      <c r="G96" s="14" t="n">
        <v>899</v>
      </c>
      <c r="H96" s="15" t="inlineStr">
        <is>
          <t>ні</t>
        </is>
      </c>
      <c r="I96" s="16" t="n">
        <v>609.79</v>
      </c>
      <c r="J96" s="15" t="inlineStr">
        <is>
          <t>ні</t>
        </is>
      </c>
      <c r="K96" s="13" t="inlineStr">
        <is>
          <t>Клуб Рослин</t>
        </is>
      </c>
      <c r="L96" s="14" t="n">
        <v>609.79</v>
      </c>
      <c r="M96" s="14">
        <f>IF(L96="","",E96-L96)</f>
        <v/>
      </c>
      <c r="N96" s="17">
        <f>IF(OR(L96="",L96=0),"",M96/L96)</f>
        <v/>
      </c>
      <c r="O96" s="14" t="n"/>
      <c r="P96" s="13" t="n">
        <v>0</v>
      </c>
      <c r="Q96" s="13" t="n">
        <v>1</v>
      </c>
      <c r="R96" s="13" t="inlineStr">
        <is>
          <t>код</t>
        </is>
      </c>
      <c r="S96" s="18" t="inlineStr">
        <is>
          <t>відкрити</t>
        </is>
      </c>
    </row>
    <row r="97">
      <c r="A97" s="11" t="inlineStr">
        <is>
          <t>Ваша ціна вища</t>
        </is>
      </c>
      <c r="B97" s="12" t="inlineStr">
        <is>
          <t>Ваша ціна вища на 1181 грн (105.6%); Немає в наявності в жодного постачальника</t>
        </is>
      </c>
      <c r="C97" s="13" t="inlineStr">
        <is>
          <t>1001426</t>
        </is>
      </c>
      <c r="D97" s="12" t="inlineStr">
        <is>
          <t>Гілкоріз площинний великий Фіскарс Fiskars SingleStep L38 112460 (1001426) Фінляндія</t>
        </is>
      </c>
      <c r="E97" s="14" t="n">
        <v>2299</v>
      </c>
      <c r="F97" s="13" t="inlineStr">
        <is>
          <t>так</t>
        </is>
      </c>
      <c r="G97" s="14" t="n">
        <v>1449</v>
      </c>
      <c r="H97" s="15" t="inlineStr">
        <is>
          <t>ні</t>
        </is>
      </c>
      <c r="I97" s="16" t="n">
        <v>1118</v>
      </c>
      <c r="J97" s="15" t="inlineStr">
        <is>
          <t>ні</t>
        </is>
      </c>
      <c r="K97" s="13" t="inlineStr">
        <is>
          <t>Клуб Рослин</t>
        </is>
      </c>
      <c r="L97" s="14" t="n">
        <v>1118</v>
      </c>
      <c r="M97" s="14">
        <f>IF(L97="","",E97-L97)</f>
        <v/>
      </c>
      <c r="N97" s="17">
        <f>IF(OR(L97="",L97=0),"",M97/L97)</f>
        <v/>
      </c>
      <c r="O97" s="14" t="n"/>
      <c r="P97" s="13" t="n">
        <v>0</v>
      </c>
      <c r="Q97" s="13" t="n">
        <v>1</v>
      </c>
      <c r="R97" s="13" t="inlineStr">
        <is>
          <t>код</t>
        </is>
      </c>
      <c r="S97" s="18" t="inlineStr">
        <is>
          <t>відкрити</t>
        </is>
      </c>
    </row>
    <row r="98">
      <c r="A98" s="11" t="inlineStr">
        <is>
          <t>Ваша ціна вища</t>
        </is>
      </c>
      <c r="B98" s="12" t="inlineStr">
        <is>
          <t>Ваша ціна вища на 1940.4 грн (104.4%)</t>
        </is>
      </c>
      <c r="C98" s="13" t="inlineStr">
        <is>
          <t>1000638</t>
        </is>
      </c>
      <c r="D98" s="12" t="inlineStr">
        <is>
          <t>Бур садовий Фіскарс Fiskars QuikDrill M середній 134720 (1000638) Фінляндія</t>
        </is>
      </c>
      <c r="E98" s="14" t="n">
        <v>3799</v>
      </c>
      <c r="F98" s="15" t="inlineStr">
        <is>
          <t>ні</t>
        </is>
      </c>
      <c r="G98" s="14" t="n">
        <v>2499</v>
      </c>
      <c r="H98" s="15" t="inlineStr">
        <is>
          <t>ні</t>
        </is>
      </c>
      <c r="I98" s="16" t="n">
        <v>1858.6</v>
      </c>
      <c r="J98" s="15" t="inlineStr">
        <is>
          <t>ні</t>
        </is>
      </c>
      <c r="K98" s="13" t="inlineStr">
        <is>
          <t>Клуб Рослин</t>
        </is>
      </c>
      <c r="L98" s="14" t="n">
        <v>1858.6</v>
      </c>
      <c r="M98" s="14">
        <f>IF(L98="","",E98-L98)</f>
        <v/>
      </c>
      <c r="N98" s="17">
        <f>IF(OR(L98="",L98=0),"",M98/L98)</f>
        <v/>
      </c>
      <c r="O98" s="14" t="n"/>
      <c r="P98" s="13" t="n">
        <v>0</v>
      </c>
      <c r="Q98" s="13" t="n">
        <v>1</v>
      </c>
      <c r="R98" s="13" t="inlineStr">
        <is>
          <t>код</t>
        </is>
      </c>
      <c r="S98" s="18" t="inlineStr">
        <is>
          <t>відкрити</t>
        </is>
      </c>
    </row>
    <row r="99">
      <c r="A99" s="11" t="inlineStr">
        <is>
          <t>Ваша ціна вища</t>
        </is>
      </c>
      <c r="B99" s="12" t="inlineStr">
        <is>
          <t>Ваша ціна вища на 357 грн (104.4%)</t>
        </is>
      </c>
      <c r="C99" s="13" t="inlineStr">
        <is>
          <t>1000727</t>
        </is>
      </c>
      <c r="D99" s="12" t="inlineStr">
        <is>
          <t>Совок для розсади Фіскарс / Fiskars Premium 137210 (1000727) Фінляндія</t>
        </is>
      </c>
      <c r="E99" s="14" t="n">
        <v>699</v>
      </c>
      <c r="F99" s="15" t="inlineStr">
        <is>
          <t>ні</t>
        </is>
      </c>
      <c r="G99" s="14" t="n">
        <v>549</v>
      </c>
      <c r="H99" s="15" t="inlineStr">
        <is>
          <t>ні</t>
        </is>
      </c>
      <c r="I99" s="16" t="n">
        <v>342</v>
      </c>
      <c r="J99" s="15" t="inlineStr">
        <is>
          <t>ні</t>
        </is>
      </c>
      <c r="K99" s="13" t="inlineStr">
        <is>
          <t>Клуб Рослин</t>
        </is>
      </c>
      <c r="L99" s="14" t="n">
        <v>342</v>
      </c>
      <c r="M99" s="14">
        <f>IF(L99="","",E99-L99)</f>
        <v/>
      </c>
      <c r="N99" s="17">
        <f>IF(OR(L99="",L99=0),"",M99/L99)</f>
        <v/>
      </c>
      <c r="O99" s="14" t="n"/>
      <c r="P99" s="13" t="n">
        <v>0</v>
      </c>
      <c r="Q99" s="13" t="n">
        <v>1</v>
      </c>
      <c r="R99" s="13" t="inlineStr">
        <is>
          <t>код</t>
        </is>
      </c>
      <c r="S99" s="18" t="inlineStr">
        <is>
          <t>відкрити</t>
        </is>
      </c>
    </row>
    <row r="100">
      <c r="A100" s="11" t="inlineStr">
        <is>
          <t>Ваша ціна вища</t>
        </is>
      </c>
      <c r="B100" s="12" t="inlineStr">
        <is>
          <t>Ваша ціна вища на 1131 грн (101.2%)</t>
        </is>
      </c>
      <c r="C100" s="13" t="inlineStr">
        <is>
          <t>1001556</t>
        </is>
      </c>
      <c r="D100" s="12" t="inlineStr">
        <is>
          <t>Гілкоріз малий контактний Фіскарс Fiskars PowerGear (S) L71 112180 (1001556) Фінляндія</t>
        </is>
      </c>
      <c r="E100" s="14" t="n">
        <v>2249</v>
      </c>
      <c r="F100" s="15" t="inlineStr">
        <is>
          <t>ні</t>
        </is>
      </c>
      <c r="G100" s="14" t="n"/>
      <c r="H100" s="13" t="inlineStr"/>
      <c r="I100" s="16" t="n">
        <v>1118</v>
      </c>
      <c r="J100" s="15" t="inlineStr">
        <is>
          <t>ні</t>
        </is>
      </c>
      <c r="K100" s="13" t="inlineStr">
        <is>
          <t>Клуб Рослин</t>
        </is>
      </c>
      <c r="L100" s="14" t="n">
        <v>1118</v>
      </c>
      <c r="M100" s="14">
        <f>IF(L100="","",E100-L100)</f>
        <v/>
      </c>
      <c r="N100" s="17">
        <f>IF(OR(L100="",L100=0),"",M100/L100)</f>
        <v/>
      </c>
      <c r="O100" s="14" t="n"/>
      <c r="P100" s="13" t="n">
        <v>0</v>
      </c>
      <c r="Q100" s="13" t="n">
        <v>1</v>
      </c>
      <c r="R100" s="13" t="inlineStr">
        <is>
          <t>код</t>
        </is>
      </c>
      <c r="S100" s="18" t="inlineStr">
        <is>
          <t>відкрити</t>
        </is>
      </c>
    </row>
    <row r="101">
      <c r="A101" s="11" t="inlineStr">
        <is>
          <t>Ваша ціна вища</t>
        </is>
      </c>
      <c r="B101" s="12" t="inlineStr">
        <is>
          <t>Ваша ціна вища на 1018.1 грн (98.8%)</t>
        </is>
      </c>
      <c r="C101" s="13" t="inlineStr">
        <is>
          <t>111670</t>
        </is>
      </c>
      <c r="D101" s="12" t="inlineStr">
        <is>
          <t>Секатор із храповим механізмом Фіскарс / Fiskars PowerStep P83 (111670) Фінляндія</t>
        </is>
      </c>
      <c r="E101" s="14" t="n">
        <v>2049</v>
      </c>
      <c r="F101" s="15" t="inlineStr">
        <is>
          <t>ні</t>
        </is>
      </c>
      <c r="G101" s="14" t="n"/>
      <c r="H101" s="13" t="inlineStr"/>
      <c r="I101" s="16" t="n">
        <v>1030.9</v>
      </c>
      <c r="J101" s="15" t="inlineStr">
        <is>
          <t>ні</t>
        </is>
      </c>
      <c r="K101" s="13" t="inlineStr">
        <is>
          <t>Клуб Рослин</t>
        </is>
      </c>
      <c r="L101" s="14" t="n">
        <v>1030.9</v>
      </c>
      <c r="M101" s="14">
        <f>IF(L101="","",E101-L101)</f>
        <v/>
      </c>
      <c r="N101" s="17">
        <f>IF(OR(L101="",L101=0),"",M101/L101)</f>
        <v/>
      </c>
      <c r="O101" s="14" t="n"/>
      <c r="P101" s="13" t="n">
        <v>0</v>
      </c>
      <c r="Q101" s="13" t="n">
        <v>1</v>
      </c>
      <c r="R101" s="13" t="inlineStr">
        <is>
          <t>код</t>
        </is>
      </c>
      <c r="S101" s="18" t="inlineStr">
        <is>
          <t>відкрити</t>
        </is>
      </c>
    </row>
    <row r="102">
      <c r="A102" s="11" t="inlineStr">
        <is>
          <t>Ваша ціна вища</t>
        </is>
      </c>
      <c r="B102" s="12" t="inlineStr">
        <is>
          <t>Ваша ціна вища на 521 грн (98.7%)</t>
        </is>
      </c>
      <c r="C102" s="13" t="inlineStr">
        <is>
          <t>136001</t>
        </is>
      </c>
      <c r="D102" s="12" t="inlineStr">
        <is>
          <t>Штанга Фіскарс Fiskars QuikFit (L) 1560 мм 1000661 (136001) Фінляндія</t>
        </is>
      </c>
      <c r="E102" s="14" t="n">
        <v>1049</v>
      </c>
      <c r="F102" s="15" t="inlineStr">
        <is>
          <t>ні</t>
        </is>
      </c>
      <c r="G102" s="14" t="n">
        <v>1049</v>
      </c>
      <c r="H102" s="15" t="inlineStr">
        <is>
          <t>ні</t>
        </is>
      </c>
      <c r="I102" s="16" t="n">
        <v>528</v>
      </c>
      <c r="J102" s="15" t="inlineStr">
        <is>
          <t>ні</t>
        </is>
      </c>
      <c r="K102" s="13" t="inlineStr">
        <is>
          <t>Клуб Рослин</t>
        </is>
      </c>
      <c r="L102" s="14" t="n">
        <v>528</v>
      </c>
      <c r="M102" s="14">
        <f>IF(L102="","",E102-L102)</f>
        <v/>
      </c>
      <c r="N102" s="17">
        <f>IF(OR(L102="",L102=0),"",M102/L102)</f>
        <v/>
      </c>
      <c r="O102" s="14" t="n"/>
      <c r="P102" s="13" t="n">
        <v>0</v>
      </c>
      <c r="Q102" s="13" t="n">
        <v>1</v>
      </c>
      <c r="R102" s="13" t="inlineStr">
        <is>
          <t>код</t>
        </is>
      </c>
      <c r="S102" s="18" t="inlineStr">
        <is>
          <t>відкрити</t>
        </is>
      </c>
    </row>
    <row r="103">
      <c r="A103" s="11" t="inlineStr">
        <is>
          <t>Ваша ціна вища</t>
        </is>
      </c>
      <c r="B103" s="12" t="inlineStr">
        <is>
          <t>Ваша ціна вища на 878 грн (97.7%); Немає в наявності в жодного постачальника</t>
        </is>
      </c>
      <c r="C103" s="13" t="inlineStr">
        <is>
          <t>1026293</t>
        </is>
      </c>
      <c r="D103" s="12" t="inlineStr">
        <is>
          <t>Лезо та роз'єм ланки ланцюга універсальні для висоторізів Fiskars (1026293) Фінляндія</t>
        </is>
      </c>
      <c r="E103" s="14" t="n">
        <v>1777</v>
      </c>
      <c r="F103" s="13" t="inlineStr">
        <is>
          <t>так</t>
        </is>
      </c>
      <c r="G103" s="16" t="n">
        <v>899</v>
      </c>
      <c r="H103" s="15" t="inlineStr">
        <is>
          <t>ні</t>
        </is>
      </c>
      <c r="I103" s="14" t="n"/>
      <c r="J103" s="13" t="inlineStr"/>
      <c r="K103" s="13" t="inlineStr">
        <is>
          <t>Водоспад</t>
        </is>
      </c>
      <c r="L103" s="14" t="n">
        <v>899</v>
      </c>
      <c r="M103" s="14">
        <f>IF(L103="","",E103-L103)</f>
        <v/>
      </c>
      <c r="N103" s="17">
        <f>IF(OR(L103="",L103=0),"",M103/L103)</f>
        <v/>
      </c>
      <c r="O103" s="14" t="n"/>
      <c r="P103" s="13" t="n">
        <v>0</v>
      </c>
      <c r="Q103" s="13" t="n">
        <v>1</v>
      </c>
      <c r="R103" s="13" t="inlineStr">
        <is>
          <t>код</t>
        </is>
      </c>
      <c r="S103" s="18" t="inlineStr">
        <is>
          <t>відкрити</t>
        </is>
      </c>
    </row>
    <row r="104">
      <c r="A104" s="11" t="inlineStr">
        <is>
          <t>Ваша ціна вища</t>
        </is>
      </c>
      <c r="B104" s="12" t="inlineStr">
        <is>
          <t>Ваша ціна вища на 878 грн (97.7%); Немає в наявності в жодного постачальника</t>
        </is>
      </c>
      <c r="C104" s="13" t="inlineStr">
        <is>
          <t>1027525</t>
        </is>
      </c>
      <c r="D104" s="12" t="inlineStr">
        <is>
          <t>Ремкомплект мотузок для висоторізів Fiskars UP82 UPX82 (115360) 1027525</t>
        </is>
      </c>
      <c r="E104" s="14" t="n">
        <v>1777</v>
      </c>
      <c r="F104" s="13" t="inlineStr">
        <is>
          <t>так</t>
        </is>
      </c>
      <c r="G104" s="16" t="n">
        <v>899</v>
      </c>
      <c r="H104" s="15" t="inlineStr">
        <is>
          <t>ні</t>
        </is>
      </c>
      <c r="I104" s="14" t="n">
        <v>2221.6</v>
      </c>
      <c r="J104" s="15" t="inlineStr">
        <is>
          <t>ні</t>
        </is>
      </c>
      <c r="K104" s="13" t="inlineStr">
        <is>
          <t>Водоспад</t>
        </is>
      </c>
      <c r="L104" s="14" t="n">
        <v>899</v>
      </c>
      <c r="M104" s="14">
        <f>IF(L104="","",E104-L104)</f>
        <v/>
      </c>
      <c r="N104" s="17">
        <f>IF(OR(L104="",L104=0),"",M104/L104)</f>
        <v/>
      </c>
      <c r="O104" s="14" t="n"/>
      <c r="P104" s="13" t="n">
        <v>0</v>
      </c>
      <c r="Q104" s="13" t="n">
        <v>1</v>
      </c>
      <c r="R104" s="13" t="inlineStr">
        <is>
          <t>код</t>
        </is>
      </c>
      <c r="S104" s="18" t="inlineStr">
        <is>
          <t>відкрити</t>
        </is>
      </c>
    </row>
    <row r="105">
      <c r="A105" s="11" t="inlineStr">
        <is>
          <t>Ваша ціна вища</t>
        </is>
      </c>
      <c r="B105" s="12" t="inlineStr">
        <is>
          <t>Ваша ціна вища на 878 грн (97.7%)</t>
        </is>
      </c>
      <c r="C105" s="13" t="inlineStr">
        <is>
          <t>1027526</t>
        </is>
      </c>
      <c r="D105" s="12" t="inlineStr">
        <is>
          <t>Ремкомплект мотузок для висоторізів Fiskars UPX82 UP84 UPX86 (115560) 1027526</t>
        </is>
      </c>
      <c r="E105" s="14" t="n">
        <v>1777</v>
      </c>
      <c r="F105" s="15" t="inlineStr">
        <is>
          <t>ні</t>
        </is>
      </c>
      <c r="G105" s="16" t="n">
        <v>899</v>
      </c>
      <c r="H105" s="15" t="inlineStr">
        <is>
          <t>ні</t>
        </is>
      </c>
      <c r="I105" s="14" t="n">
        <v>2736</v>
      </c>
      <c r="J105" s="15" t="inlineStr">
        <is>
          <t>ні</t>
        </is>
      </c>
      <c r="K105" s="13" t="inlineStr">
        <is>
          <t>Водоспад</t>
        </is>
      </c>
      <c r="L105" s="14" t="n">
        <v>899</v>
      </c>
      <c r="M105" s="14">
        <f>IF(L105="","",E105-L105)</f>
        <v/>
      </c>
      <c r="N105" s="17">
        <f>IF(OR(L105="",L105=0),"",M105/L105)</f>
        <v/>
      </c>
      <c r="O105" s="14" t="n"/>
      <c r="P105" s="13" t="n">
        <v>0</v>
      </c>
      <c r="Q105" s="13" t="n">
        <v>1</v>
      </c>
      <c r="R105" s="13" t="inlineStr">
        <is>
          <t>код</t>
        </is>
      </c>
      <c r="S105" s="18" t="inlineStr">
        <is>
          <t>відкрити</t>
        </is>
      </c>
    </row>
    <row r="106">
      <c r="A106" s="11" t="inlineStr">
        <is>
          <t>Ваша ціна вища</t>
        </is>
      </c>
      <c r="B106" s="12" t="inlineStr">
        <is>
          <t>Ваша ціна вища на 878 грн (97.7%); Немає в наявності в жодного постачальника</t>
        </is>
      </c>
      <c r="C106" s="13" t="inlineStr">
        <is>
          <t>1026297</t>
        </is>
      </c>
      <c r="D106" s="12" t="inlineStr">
        <is>
          <t>Ремкомплект ручок та мотузок для універсального сучкоріза Фіскарс Fiskars UPX82 (1026297)</t>
        </is>
      </c>
      <c r="E106" s="14" t="n">
        <v>1777</v>
      </c>
      <c r="F106" s="13" t="inlineStr">
        <is>
          <t>так</t>
        </is>
      </c>
      <c r="G106" s="16" t="n">
        <v>899</v>
      </c>
      <c r="H106" s="15" t="inlineStr">
        <is>
          <t>ні</t>
        </is>
      </c>
      <c r="I106" s="14" t="n"/>
      <c r="J106" s="13" t="inlineStr"/>
      <c r="K106" s="13" t="inlineStr">
        <is>
          <t>Водоспад</t>
        </is>
      </c>
      <c r="L106" s="14" t="n">
        <v>899</v>
      </c>
      <c r="M106" s="14">
        <f>IF(L106="","",E106-L106)</f>
        <v/>
      </c>
      <c r="N106" s="17">
        <f>IF(OR(L106="",L106=0),"",M106/L106)</f>
        <v/>
      </c>
      <c r="O106" s="14" t="n"/>
      <c r="P106" s="13" t="n">
        <v>0</v>
      </c>
      <c r="Q106" s="13" t="n">
        <v>1</v>
      </c>
      <c r="R106" s="13" t="inlineStr">
        <is>
          <t>код</t>
        </is>
      </c>
      <c r="S106" s="18" t="inlineStr">
        <is>
          <t>відкрити</t>
        </is>
      </c>
    </row>
    <row r="107">
      <c r="A107" s="11" t="inlineStr">
        <is>
          <t>Ваша ціна вища</t>
        </is>
      </c>
      <c r="B107" s="12" t="inlineStr">
        <is>
          <t>Ваша ціна вища на 1015 грн (96.2%)</t>
        </is>
      </c>
      <c r="C107" s="13" t="inlineStr">
        <is>
          <t>CUC-0.8-600</t>
        </is>
      </c>
      <c r="D107" s="12" t="inlineStr">
        <is>
          <t>Колун Bahco CUC-0.8-600 Бахо</t>
        </is>
      </c>
      <c r="E107" s="14" t="n">
        <v>2070</v>
      </c>
      <c r="F107" s="15" t="inlineStr">
        <is>
          <t>ні</t>
        </is>
      </c>
      <c r="G107" s="16" t="n">
        <v>1055</v>
      </c>
      <c r="H107" s="15" t="inlineStr">
        <is>
          <t>ні</t>
        </is>
      </c>
      <c r="I107" s="14" t="n">
        <v>1520</v>
      </c>
      <c r="J107" s="15" t="inlineStr">
        <is>
          <t>ні</t>
        </is>
      </c>
      <c r="K107" s="13" t="inlineStr">
        <is>
          <t>Водоспад</t>
        </is>
      </c>
      <c r="L107" s="14" t="n">
        <v>1055</v>
      </c>
      <c r="M107" s="14">
        <f>IF(L107="","",E107-L107)</f>
        <v/>
      </c>
      <c r="N107" s="17">
        <f>IF(OR(L107="",L107=0),"",M107/L107)</f>
        <v/>
      </c>
      <c r="O107" s="14" t="n"/>
      <c r="P107" s="13" t="n">
        <v>0</v>
      </c>
      <c r="Q107" s="13" t="n">
        <v>1</v>
      </c>
      <c r="R107" s="13" t="inlineStr">
        <is>
          <t>код</t>
        </is>
      </c>
      <c r="S107" s="18" t="inlineStr">
        <is>
          <t>відкрити</t>
        </is>
      </c>
    </row>
    <row r="108">
      <c r="A108" s="11" t="inlineStr">
        <is>
          <t>Ваша ціна вища</t>
        </is>
      </c>
      <c r="B108" s="12" t="inlineStr">
        <is>
          <t>Ваша ціна вища на 1300 грн (92.9%)</t>
        </is>
      </c>
      <c r="C108" s="13" t="inlineStr">
        <is>
          <t>1026930</t>
        </is>
      </c>
      <c r="D108" s="12" t="inlineStr">
        <is>
          <t>Гілкоріз малий контактний Фіскарс Fiskars PowerGear (S) L32 (1026930) Фінляндія</t>
        </is>
      </c>
      <c r="E108" s="14" t="n">
        <v>2699</v>
      </c>
      <c r="F108" s="15" t="inlineStr">
        <is>
          <t>ні</t>
        </is>
      </c>
      <c r="G108" s="16" t="n">
        <v>1399</v>
      </c>
      <c r="H108" s="15" t="inlineStr">
        <is>
          <t>ні</t>
        </is>
      </c>
      <c r="I108" s="14" t="n"/>
      <c r="J108" s="13" t="inlineStr"/>
      <c r="K108" s="13" t="inlineStr">
        <is>
          <t>Водоспад</t>
        </is>
      </c>
      <c r="L108" s="14" t="n">
        <v>1399</v>
      </c>
      <c r="M108" s="14">
        <f>IF(L108="","",E108-L108)</f>
        <v/>
      </c>
      <c r="N108" s="17">
        <f>IF(OR(L108="",L108=0),"",M108/L108)</f>
        <v/>
      </c>
      <c r="O108" s="14" t="n"/>
      <c r="P108" s="13" t="n">
        <v>0</v>
      </c>
      <c r="Q108" s="13" t="n">
        <v>1</v>
      </c>
      <c r="R108" s="13" t="inlineStr">
        <is>
          <t>код</t>
        </is>
      </c>
      <c r="S108" s="18" t="inlineStr">
        <is>
          <t>відкрити</t>
        </is>
      </c>
    </row>
    <row r="109">
      <c r="A109" s="11" t="inlineStr">
        <is>
          <t>Ваша ціна вища</t>
        </is>
      </c>
      <c r="B109" s="12" t="inlineStr">
        <is>
          <t>Ваша ціна вища на 673 грн (92.7%)</t>
        </is>
      </c>
      <c r="C109" s="13" t="inlineStr">
        <is>
          <t>1000675</t>
        </is>
      </c>
      <c r="D109" s="12" t="inlineStr">
        <is>
          <t>Сапка для прополки Фискарс Fiskars Ergonomic полегшена 136500 (1000675) Фінляндія</t>
        </is>
      </c>
      <c r="E109" s="14" t="n">
        <v>1399</v>
      </c>
      <c r="F109" s="15" t="inlineStr">
        <is>
          <t>ні</t>
        </is>
      </c>
      <c r="G109" s="14" t="n">
        <v>1199</v>
      </c>
      <c r="H109" s="15" t="inlineStr">
        <is>
          <t>ні</t>
        </is>
      </c>
      <c r="I109" s="16" t="n">
        <v>726</v>
      </c>
      <c r="J109" s="15" t="inlineStr">
        <is>
          <t>ні</t>
        </is>
      </c>
      <c r="K109" s="13" t="inlineStr">
        <is>
          <t>Клуб Рослин</t>
        </is>
      </c>
      <c r="L109" s="14" t="n">
        <v>726</v>
      </c>
      <c r="M109" s="14">
        <f>IF(L109="","",E109-L109)</f>
        <v/>
      </c>
      <c r="N109" s="17">
        <f>IF(OR(L109="",L109=0),"",M109/L109)</f>
        <v/>
      </c>
      <c r="O109" s="14" t="n"/>
      <c r="P109" s="13" t="n">
        <v>0</v>
      </c>
      <c r="Q109" s="13" t="n">
        <v>1</v>
      </c>
      <c r="R109" s="13" t="inlineStr">
        <is>
          <t>код</t>
        </is>
      </c>
      <c r="S109" s="18" t="inlineStr">
        <is>
          <t>відкрити</t>
        </is>
      </c>
    </row>
    <row r="110">
      <c r="A110" s="11" t="inlineStr">
        <is>
          <t>Ваша ціна вища</t>
        </is>
      </c>
      <c r="B110" s="12" t="inlineStr">
        <is>
          <t>Ваша ціна вища на 1613 грн (90.3%)</t>
        </is>
      </c>
      <c r="C110" s="13" t="inlineStr">
        <is>
          <t>1000636</t>
        </is>
      </c>
      <c r="D110" s="12" t="inlineStr">
        <is>
          <t>Бур садовий Фіскарс Fiskars QuikDrill S малий 134710 (1000636) Фінляндія</t>
        </is>
      </c>
      <c r="E110" s="14" t="n">
        <v>3399</v>
      </c>
      <c r="F110" s="15" t="inlineStr">
        <is>
          <t>ні</t>
        </is>
      </c>
      <c r="G110" s="14" t="n">
        <v>2299</v>
      </c>
      <c r="H110" s="15" t="inlineStr">
        <is>
          <t>ні</t>
        </is>
      </c>
      <c r="I110" s="16" t="n">
        <v>1786</v>
      </c>
      <c r="J110" s="15" t="inlineStr">
        <is>
          <t>ні</t>
        </is>
      </c>
      <c r="K110" s="13" t="inlineStr">
        <is>
          <t>Клуб Рослин</t>
        </is>
      </c>
      <c r="L110" s="14" t="n">
        <v>1786</v>
      </c>
      <c r="M110" s="14">
        <f>IF(L110="","",E110-L110)</f>
        <v/>
      </c>
      <c r="N110" s="17">
        <f>IF(OR(L110="",L110=0),"",M110/L110)</f>
        <v/>
      </c>
      <c r="O110" s="14" t="n"/>
      <c r="P110" s="13" t="n">
        <v>0</v>
      </c>
      <c r="Q110" s="13" t="n">
        <v>1</v>
      </c>
      <c r="R110" s="13" t="inlineStr">
        <is>
          <t>код</t>
        </is>
      </c>
      <c r="S110" s="18" t="inlineStr">
        <is>
          <t>відкрити</t>
        </is>
      </c>
    </row>
    <row r="111">
      <c r="A111" s="11" t="inlineStr">
        <is>
          <t>Ваша ціна вища</t>
        </is>
      </c>
      <c r="B111" s="12" t="inlineStr">
        <is>
          <t>Ваша ціна вища на 734 грн (89.0%); Немає в наявності в жодного постачальника</t>
        </is>
      </c>
      <c r="C111" s="13" t="inlineStr">
        <is>
          <t>P11</t>
        </is>
      </c>
      <c r="D111" s="12" t="inlineStr">
        <is>
          <t>Ніж для щеплення P11 Bahco</t>
        </is>
      </c>
      <c r="E111" s="14" t="n">
        <v>1559</v>
      </c>
      <c r="F111" s="13" t="inlineStr">
        <is>
          <t>так</t>
        </is>
      </c>
      <c r="G111" s="14" t="n"/>
      <c r="H111" s="13" t="inlineStr"/>
      <c r="I111" s="16" t="n">
        <v>825</v>
      </c>
      <c r="J111" s="15" t="inlineStr">
        <is>
          <t>ні</t>
        </is>
      </c>
      <c r="K111" s="13" t="inlineStr">
        <is>
          <t>Клуб Рослин</t>
        </is>
      </c>
      <c r="L111" s="14" t="n">
        <v>825</v>
      </c>
      <c r="M111" s="14">
        <f>IF(L111="","",E111-L111)</f>
        <v/>
      </c>
      <c r="N111" s="17">
        <f>IF(OR(L111="",L111=0),"",M111/L111)</f>
        <v/>
      </c>
      <c r="O111" s="14" t="n"/>
      <c r="P111" s="13" t="n">
        <v>0</v>
      </c>
      <c r="Q111" s="13" t="n">
        <v>1</v>
      </c>
      <c r="R111" s="13" t="inlineStr">
        <is>
          <t>схожа назва</t>
        </is>
      </c>
      <c r="S111" s="18" t="inlineStr">
        <is>
          <t>відкрити</t>
        </is>
      </c>
    </row>
    <row r="112">
      <c r="A112" s="11" t="inlineStr">
        <is>
          <t>Ваша ціна вища</t>
        </is>
      </c>
      <c r="B112" s="12" t="inlineStr">
        <is>
          <t>Ваша ціна вища на 828 грн (87.2%); Немає в наявності в жодного постачальника</t>
        </is>
      </c>
      <c r="C112" s="13" t="inlineStr">
        <is>
          <t>1026296</t>
        </is>
      </c>
      <c r="D112" s="12" t="inlineStr">
        <is>
          <t>Ремкомплект ручок та мотузок для універсального сучкоріза Фіскарс Fiskars UPX86 (1026296)</t>
        </is>
      </c>
      <c r="E112" s="14" t="n">
        <v>1777</v>
      </c>
      <c r="F112" s="13" t="inlineStr">
        <is>
          <t>так</t>
        </is>
      </c>
      <c r="G112" s="16" t="n">
        <v>949</v>
      </c>
      <c r="H112" s="15" t="inlineStr">
        <is>
          <t>ні</t>
        </is>
      </c>
      <c r="I112" s="14" t="n"/>
      <c r="J112" s="13" t="inlineStr"/>
      <c r="K112" s="13" t="inlineStr">
        <is>
          <t>Водоспад</t>
        </is>
      </c>
      <c r="L112" s="14" t="n">
        <v>949</v>
      </c>
      <c r="M112" s="14">
        <f>IF(L112="","",E112-L112)</f>
        <v/>
      </c>
      <c r="N112" s="17">
        <f>IF(OR(L112="",L112=0),"",M112/L112)</f>
        <v/>
      </c>
      <c r="O112" s="14" t="n"/>
      <c r="P112" s="13" t="n">
        <v>0</v>
      </c>
      <c r="Q112" s="13" t="n">
        <v>1</v>
      </c>
      <c r="R112" s="13" t="inlineStr">
        <is>
          <t>код</t>
        </is>
      </c>
      <c r="S112" s="18" t="inlineStr">
        <is>
          <t>відкрити</t>
        </is>
      </c>
    </row>
    <row r="113">
      <c r="A113" s="11" t="inlineStr">
        <is>
          <t>Ваша ціна вища</t>
        </is>
      </c>
      <c r="B113" s="12" t="inlineStr">
        <is>
          <t>Ваша ціна вища на 322 грн (85.4%)</t>
        </is>
      </c>
      <c r="C113" s="13" t="inlineStr">
        <is>
          <t>1027017</t>
        </is>
      </c>
      <c r="D113" s="12" t="inlineStr">
        <is>
          <t>Садовий совок Фіскарс / Fiskars Ergo (1027017) Фінляндія</t>
        </is>
      </c>
      <c r="E113" s="14" t="n">
        <v>699</v>
      </c>
      <c r="F113" s="15" t="inlineStr">
        <is>
          <t>ні</t>
        </is>
      </c>
      <c r="G113" s="16" t="n">
        <v>377</v>
      </c>
      <c r="H113" s="15" t="inlineStr">
        <is>
          <t>ні</t>
        </is>
      </c>
      <c r="I113" s="14" t="n"/>
      <c r="J113" s="13" t="inlineStr"/>
      <c r="K113" s="13" t="inlineStr">
        <is>
          <t>Водоспад</t>
        </is>
      </c>
      <c r="L113" s="14" t="n">
        <v>377</v>
      </c>
      <c r="M113" s="14">
        <f>IF(L113="","",E113-L113)</f>
        <v/>
      </c>
      <c r="N113" s="17">
        <f>IF(OR(L113="",L113=0),"",M113/L113)</f>
        <v/>
      </c>
      <c r="O113" s="14" t="n"/>
      <c r="P113" s="13" t="n">
        <v>0</v>
      </c>
      <c r="Q113" s="13" t="n">
        <v>1</v>
      </c>
      <c r="R113" s="13" t="inlineStr">
        <is>
          <t>код</t>
        </is>
      </c>
      <c r="S113" s="18" t="inlineStr">
        <is>
          <t>відкрити</t>
        </is>
      </c>
    </row>
    <row r="114">
      <c r="A114" s="11" t="inlineStr">
        <is>
          <t>Ваша ціна вища</t>
        </is>
      </c>
      <c r="B114" s="12" t="inlineStr">
        <is>
          <t>Ваша ціна вища на 322 грн (85.4%)</t>
        </is>
      </c>
      <c r="C114" s="13" t="inlineStr">
        <is>
          <t>1027018</t>
        </is>
      </c>
      <c r="D114" s="12" t="inlineStr">
        <is>
          <t>Садовий совок Фіскарс / Fiskars Ergo (1027018) Фінляндія</t>
        </is>
      </c>
      <c r="E114" s="14" t="n">
        <v>699</v>
      </c>
      <c r="F114" s="15" t="inlineStr">
        <is>
          <t>ні</t>
        </is>
      </c>
      <c r="G114" s="16" t="n">
        <v>377</v>
      </c>
      <c r="H114" s="15" t="inlineStr">
        <is>
          <t>ні</t>
        </is>
      </c>
      <c r="I114" s="14" t="n"/>
      <c r="J114" s="13" t="inlineStr"/>
      <c r="K114" s="13" t="inlineStr">
        <is>
          <t>Водоспад</t>
        </is>
      </c>
      <c r="L114" s="14" t="n">
        <v>377</v>
      </c>
      <c r="M114" s="14">
        <f>IF(L114="","",E114-L114)</f>
        <v/>
      </c>
      <c r="N114" s="17">
        <f>IF(OR(L114="",L114=0),"",M114/L114)</f>
        <v/>
      </c>
      <c r="O114" s="14" t="n"/>
      <c r="P114" s="13" t="n">
        <v>0</v>
      </c>
      <c r="Q114" s="13" t="n">
        <v>1</v>
      </c>
      <c r="R114" s="13" t="inlineStr">
        <is>
          <t>код</t>
        </is>
      </c>
      <c r="S114" s="18" t="inlineStr">
        <is>
          <t>відкрити</t>
        </is>
      </c>
    </row>
    <row r="115">
      <c r="A115" s="11" t="inlineStr">
        <is>
          <t>Ваша ціна вища</t>
        </is>
      </c>
      <c r="B115" s="12" t="inlineStr">
        <is>
          <t>Ваша ціна вища на 587.5 грн (82.6%); Немає в наявності в жодного постачальника</t>
        </is>
      </c>
      <c r="C115" s="13" t="inlineStr">
        <is>
          <t>1000641</t>
        </is>
      </c>
      <c r="D115" s="12" t="inlineStr">
        <is>
          <t>Леза для бура Fiskars QuikDrill PlusPart Part L великі 200 мм 134737 (1000641) Фінляндія</t>
        </is>
      </c>
      <c r="E115" s="14" t="n">
        <v>1299</v>
      </c>
      <c r="F115" s="13" t="inlineStr">
        <is>
          <t>так</t>
        </is>
      </c>
      <c r="G115" s="14" t="n">
        <v>799</v>
      </c>
      <c r="H115" s="15" t="inlineStr">
        <is>
          <t>ні</t>
        </is>
      </c>
      <c r="I115" s="16" t="n">
        <v>711.5</v>
      </c>
      <c r="J115" s="15" t="inlineStr">
        <is>
          <t>ні</t>
        </is>
      </c>
      <c r="K115" s="13" t="inlineStr">
        <is>
          <t>Клуб Рослин</t>
        </is>
      </c>
      <c r="L115" s="14" t="n">
        <v>711.5</v>
      </c>
      <c r="M115" s="14">
        <f>IF(L115="","",E115-L115)</f>
        <v/>
      </c>
      <c r="N115" s="17">
        <f>IF(OR(L115="",L115=0),"",M115/L115)</f>
        <v/>
      </c>
      <c r="O115" s="14" t="n"/>
      <c r="P115" s="13" t="n">
        <v>0</v>
      </c>
      <c r="Q115" s="13" t="n">
        <v>1</v>
      </c>
      <c r="R115" s="13" t="inlineStr">
        <is>
          <t>код</t>
        </is>
      </c>
      <c r="S115" s="18" t="inlineStr">
        <is>
          <t>відкрити</t>
        </is>
      </c>
    </row>
    <row r="116">
      <c r="A116" s="11" t="inlineStr">
        <is>
          <t>Ваша ціна вища</t>
        </is>
      </c>
      <c r="B116" s="12" t="inlineStr">
        <is>
          <t>Ваша ціна вища на 1300 грн (81.3%); Немає в наявності в жодного постачальника</t>
        </is>
      </c>
      <c r="C116" s="13" t="inlineStr">
        <is>
          <t>1026295</t>
        </is>
      </c>
      <c r="D116" s="12" t="inlineStr">
        <is>
          <t>Ріжуча головка для висоторізів Fiskars UPX82 / UPX86 (1026295) Фінляндія</t>
        </is>
      </c>
      <c r="E116" s="14" t="n">
        <v>2899</v>
      </c>
      <c r="F116" s="13" t="inlineStr">
        <is>
          <t>так</t>
        </is>
      </c>
      <c r="G116" s="16" t="n">
        <v>1599</v>
      </c>
      <c r="H116" s="15" t="inlineStr">
        <is>
          <t>ні</t>
        </is>
      </c>
      <c r="I116" s="14" t="n"/>
      <c r="J116" s="13" t="inlineStr"/>
      <c r="K116" s="13" t="inlineStr">
        <is>
          <t>Водоспад</t>
        </is>
      </c>
      <c r="L116" s="14" t="n">
        <v>1599</v>
      </c>
      <c r="M116" s="14">
        <f>IF(L116="","",E116-L116)</f>
        <v/>
      </c>
      <c r="N116" s="17">
        <f>IF(OR(L116="",L116=0),"",M116/L116)</f>
        <v/>
      </c>
      <c r="O116" s="14" t="n"/>
      <c r="P116" s="13" t="n">
        <v>0</v>
      </c>
      <c r="Q116" s="13" t="n">
        <v>1</v>
      </c>
      <c r="R116" s="13" t="inlineStr">
        <is>
          <t>код</t>
        </is>
      </c>
      <c r="S116" s="18" t="inlineStr">
        <is>
          <t>відкрити</t>
        </is>
      </c>
    </row>
    <row r="117">
      <c r="A117" s="11" t="inlineStr">
        <is>
          <t>Ваша ціна вища</t>
        </is>
      </c>
      <c r="B117" s="12" t="inlineStr">
        <is>
          <t>Ваша ціна вища на 840 грн (81.2%)</t>
        </is>
      </c>
      <c r="C117" s="13" t="inlineStr">
        <is>
          <t>PG-M2-F</t>
        </is>
      </c>
      <c r="D117" s="12" t="inlineStr">
        <is>
          <t>Секатор Bahco (M) PG-M2-F для обрізки саду, винограду, троянд</t>
        </is>
      </c>
      <c r="E117" s="14" t="n">
        <v>1875</v>
      </c>
      <c r="F117" s="15" t="inlineStr">
        <is>
          <t>ні</t>
        </is>
      </c>
      <c r="G117" s="16" t="n">
        <v>1035</v>
      </c>
      <c r="H117" s="15" t="inlineStr">
        <is>
          <t>ні</t>
        </is>
      </c>
      <c r="I117" s="14" t="n"/>
      <c r="J117" s="13" t="inlineStr"/>
      <c r="K117" s="13" t="inlineStr">
        <is>
          <t>Водоспад</t>
        </is>
      </c>
      <c r="L117" s="14" t="n">
        <v>1035</v>
      </c>
      <c r="M117" s="14">
        <f>IF(L117="","",E117-L117)</f>
        <v/>
      </c>
      <c r="N117" s="17">
        <f>IF(OR(L117="",L117=0),"",M117/L117)</f>
        <v/>
      </c>
      <c r="O117" s="14" t="n"/>
      <c r="P117" s="13" t="n">
        <v>0</v>
      </c>
      <c r="Q117" s="13" t="n">
        <v>1</v>
      </c>
      <c r="R117" s="13" t="inlineStr">
        <is>
          <t>код</t>
        </is>
      </c>
      <c r="S117" s="18" t="inlineStr">
        <is>
          <t>відкрити</t>
        </is>
      </c>
    </row>
    <row r="118">
      <c r="A118" s="11" t="inlineStr">
        <is>
          <t>Ваша ціна вища</t>
        </is>
      </c>
      <c r="B118" s="12" t="inlineStr">
        <is>
          <t>Ваша ціна вища на 1343 грн (81.1%); Немає в наявності в жодного постачальника</t>
        </is>
      </c>
      <c r="C118" s="13" t="inlineStr">
        <is>
          <t>1000584</t>
        </is>
      </c>
      <c r="D118" s="12" t="inlineStr">
        <is>
          <t>Гілкоріз великий площинний Фіскарс / Fiskars PowerGear (L) L78 112590 (1000584) Фінляндія</t>
        </is>
      </c>
      <c r="E118" s="14" t="n">
        <v>2999</v>
      </c>
      <c r="F118" s="13" t="inlineStr">
        <is>
          <t>так</t>
        </is>
      </c>
      <c r="G118" s="14" t="n">
        <v>2799</v>
      </c>
      <c r="H118" s="15" t="inlineStr">
        <is>
          <t>ні</t>
        </is>
      </c>
      <c r="I118" s="16" t="n">
        <v>1656</v>
      </c>
      <c r="J118" s="15" t="inlineStr">
        <is>
          <t>ні</t>
        </is>
      </c>
      <c r="K118" s="13" t="inlineStr">
        <is>
          <t>Клуб Рослин</t>
        </is>
      </c>
      <c r="L118" s="14" t="n">
        <v>1656</v>
      </c>
      <c r="M118" s="14">
        <f>IF(L118="","",E118-L118)</f>
        <v/>
      </c>
      <c r="N118" s="17">
        <f>IF(OR(L118="",L118=0),"",M118/L118)</f>
        <v/>
      </c>
      <c r="O118" s="14" t="n"/>
      <c r="P118" s="13" t="n">
        <v>0</v>
      </c>
      <c r="Q118" s="13" t="n">
        <v>1</v>
      </c>
      <c r="R118" s="13" t="inlineStr">
        <is>
          <t>код</t>
        </is>
      </c>
      <c r="S118" s="18" t="inlineStr">
        <is>
          <t>відкрити</t>
        </is>
      </c>
    </row>
    <row r="119">
      <c r="A119" s="11" t="inlineStr">
        <is>
          <t>Ваша ціна вища</t>
        </is>
      </c>
      <c r="B119" s="12" t="inlineStr">
        <is>
          <t>Ваша ціна вища на 447.21 грн (81.0%)</t>
        </is>
      </c>
      <c r="C119" s="13" t="inlineStr">
        <is>
          <t>1000637</t>
        </is>
      </c>
      <c r="D119" s="12" t="inlineStr">
        <is>
          <t>Леза для бура Fiskars QuikDrill PlusPart S малі 100 мм 134717 (1000637) Фінляндія</t>
        </is>
      </c>
      <c r="E119" s="14" t="n">
        <v>999</v>
      </c>
      <c r="F119" s="15" t="inlineStr">
        <is>
          <t>ні</t>
        </is>
      </c>
      <c r="G119" s="14" t="n">
        <v>599</v>
      </c>
      <c r="H119" s="15" t="inlineStr">
        <is>
          <t>ні</t>
        </is>
      </c>
      <c r="I119" s="16" t="n">
        <v>551.79</v>
      </c>
      <c r="J119" s="15" t="inlineStr">
        <is>
          <t>ні</t>
        </is>
      </c>
      <c r="K119" s="13" t="inlineStr">
        <is>
          <t>Клуб Рослин</t>
        </is>
      </c>
      <c r="L119" s="14" t="n">
        <v>551.79</v>
      </c>
      <c r="M119" s="14">
        <f>IF(L119="","",E119-L119)</f>
        <v/>
      </c>
      <c r="N119" s="17">
        <f>IF(OR(L119="",L119=0),"",M119/L119)</f>
        <v/>
      </c>
      <c r="O119" s="14" t="n"/>
      <c r="P119" s="13" t="n">
        <v>0</v>
      </c>
      <c r="Q119" s="13" t="n">
        <v>1</v>
      </c>
      <c r="R119" s="13" t="inlineStr">
        <is>
          <t>код</t>
        </is>
      </c>
      <c r="S119" s="18" t="inlineStr">
        <is>
          <t>відкрити</t>
        </is>
      </c>
    </row>
    <row r="120">
      <c r="A120" s="11" t="inlineStr">
        <is>
          <t>Ваша ціна вища</t>
        </is>
      </c>
      <c r="B120" s="12" t="inlineStr">
        <is>
          <t>Ваша ціна вища на 1203.4 грн (80.5%); Немає в наявності в жодного постачальника</t>
        </is>
      </c>
      <c r="C120" s="13" t="inlineStr">
        <is>
          <t>1000582</t>
        </is>
      </c>
      <c r="D120" s="12" t="inlineStr">
        <is>
          <t>Гілкоріз площинний Фіскарс Fiskars PowerGear (M) L74 112290 (1000582) Фінляндія</t>
        </is>
      </c>
      <c r="E120" s="14" t="n">
        <v>2699</v>
      </c>
      <c r="F120" s="13" t="inlineStr">
        <is>
          <t>так</t>
        </is>
      </c>
      <c r="G120" s="14" t="n">
        <v>2399</v>
      </c>
      <c r="H120" s="15" t="inlineStr">
        <is>
          <t>ні</t>
        </is>
      </c>
      <c r="I120" s="16" t="n">
        <v>1495.6</v>
      </c>
      <c r="J120" s="15" t="inlineStr">
        <is>
          <t>ні</t>
        </is>
      </c>
      <c r="K120" s="13" t="inlineStr">
        <is>
          <t>Клуб Рослин</t>
        </is>
      </c>
      <c r="L120" s="14" t="n">
        <v>1495.6</v>
      </c>
      <c r="M120" s="14">
        <f>IF(L120="","",E120-L120)</f>
        <v/>
      </c>
      <c r="N120" s="17">
        <f>IF(OR(L120="",L120=0),"",M120/L120)</f>
        <v/>
      </c>
      <c r="O120" s="14" t="n"/>
      <c r="P120" s="13" t="n">
        <v>0</v>
      </c>
      <c r="Q120" s="13" t="n">
        <v>1</v>
      </c>
      <c r="R120" s="13" t="inlineStr">
        <is>
          <t>код</t>
        </is>
      </c>
      <c r="S120" s="18" t="inlineStr">
        <is>
          <t>відкрити</t>
        </is>
      </c>
    </row>
    <row r="121">
      <c r="A121" s="11" t="inlineStr">
        <is>
          <t>Ваша ціна вища</t>
        </is>
      </c>
      <c r="B121" s="12" t="inlineStr">
        <is>
          <t>Ваша ціна вища на 1298 грн (78.7%)</t>
        </is>
      </c>
      <c r="C121" s="13" t="inlineStr">
        <is>
          <t>SUC-1.7-800</t>
        </is>
      </c>
      <c r="D121" s="12" t="inlineStr">
        <is>
          <t>Колун Bahco SUC-1.7-800 Бахо</t>
        </is>
      </c>
      <c r="E121" s="14" t="n">
        <v>2948</v>
      </c>
      <c r="F121" s="15" t="inlineStr">
        <is>
          <t>ні</t>
        </is>
      </c>
      <c r="G121" s="16" t="n">
        <v>1650</v>
      </c>
      <c r="H121" s="15" t="inlineStr">
        <is>
          <t>ні</t>
        </is>
      </c>
      <c r="I121" s="14" t="n">
        <v>2620</v>
      </c>
      <c r="J121" s="15" t="inlineStr">
        <is>
          <t>ні</t>
        </is>
      </c>
      <c r="K121" s="13" t="inlineStr">
        <is>
          <t>Водоспад</t>
        </is>
      </c>
      <c r="L121" s="14" t="n">
        <v>1650</v>
      </c>
      <c r="M121" s="14">
        <f>IF(L121="","",E121-L121)</f>
        <v/>
      </c>
      <c r="N121" s="17">
        <f>IF(OR(L121="",L121=0),"",M121/L121)</f>
        <v/>
      </c>
      <c r="O121" s="14" t="n"/>
      <c r="P121" s="13" t="n">
        <v>0</v>
      </c>
      <c r="Q121" s="13" t="n">
        <v>1</v>
      </c>
      <c r="R121" s="13" t="inlineStr">
        <is>
          <t>код</t>
        </is>
      </c>
      <c r="S121" s="18" t="inlineStr">
        <is>
          <t>відкрити</t>
        </is>
      </c>
    </row>
    <row r="122">
      <c r="A122" s="11" t="inlineStr">
        <is>
          <t>Ваша ціна вища</t>
        </is>
      </c>
      <c r="B122" s="12" t="inlineStr">
        <is>
          <t>Ваша ціна вища на 575 грн (74.2%)</t>
        </is>
      </c>
      <c r="C122" s="13" t="inlineStr">
        <is>
          <t>396-LAP</t>
        </is>
      </c>
      <c r="D122" s="12" t="inlineStr">
        <is>
          <t>Ножівка складна Bahco 396-LAP</t>
        </is>
      </c>
      <c r="E122" s="14" t="n">
        <v>1350</v>
      </c>
      <c r="F122" s="15" t="inlineStr">
        <is>
          <t>ні</t>
        </is>
      </c>
      <c r="G122" s="14" t="n">
        <v>925</v>
      </c>
      <c r="H122" s="15" t="inlineStr">
        <is>
          <t>ні</t>
        </is>
      </c>
      <c r="I122" s="16" t="n">
        <v>775</v>
      </c>
      <c r="J122" s="15" t="inlineStr">
        <is>
          <t>ні</t>
        </is>
      </c>
      <c r="K122" s="13" t="inlineStr">
        <is>
          <t>Клуб Рослин</t>
        </is>
      </c>
      <c r="L122" s="14" t="n">
        <v>775</v>
      </c>
      <c r="M122" s="14">
        <f>IF(L122="","",E122-L122)</f>
        <v/>
      </c>
      <c r="N122" s="17">
        <f>IF(OR(L122="",L122=0),"",M122/L122)</f>
        <v/>
      </c>
      <c r="O122" s="14" t="n"/>
      <c r="P122" s="13" t="n">
        <v>0</v>
      </c>
      <c r="Q122" s="13" t="n">
        <v>1</v>
      </c>
      <c r="R122" s="13" t="inlineStr">
        <is>
          <t>код</t>
        </is>
      </c>
      <c r="S122" s="18" t="inlineStr">
        <is>
          <t>відкрити</t>
        </is>
      </c>
    </row>
    <row r="123">
      <c r="A123" s="11" t="inlineStr">
        <is>
          <t>Ваша ціна вища</t>
        </is>
      </c>
      <c r="B123" s="12" t="inlineStr">
        <is>
          <t>Ваша ціна вища на 3300 грн (73.3%)</t>
        </is>
      </c>
      <c r="C123" s="13" t="inlineStr">
        <is>
          <t>1020166</t>
        </is>
      </c>
      <c r="D123" s="12" t="inlineStr">
        <is>
          <t>Кирка Фіскарс / Fiskars Isocore L (1020166) Фінляндія</t>
        </is>
      </c>
      <c r="E123" s="14" t="n">
        <v>7799</v>
      </c>
      <c r="F123" s="15" t="inlineStr">
        <is>
          <t>ні</t>
        </is>
      </c>
      <c r="G123" s="16" t="n">
        <v>4499</v>
      </c>
      <c r="H123" s="15" t="inlineStr">
        <is>
          <t>ні</t>
        </is>
      </c>
      <c r="I123" s="14" t="n"/>
      <c r="J123" s="13" t="inlineStr"/>
      <c r="K123" s="13" t="inlineStr">
        <is>
          <t>Водоспад</t>
        </is>
      </c>
      <c r="L123" s="14" t="n">
        <v>4499</v>
      </c>
      <c r="M123" s="14">
        <f>IF(L123="","",E123-L123)</f>
        <v/>
      </c>
      <c r="N123" s="17">
        <f>IF(OR(L123="",L123=0),"",M123/L123)</f>
        <v/>
      </c>
      <c r="O123" s="14" t="n"/>
      <c r="P123" s="13" t="n">
        <v>0</v>
      </c>
      <c r="Q123" s="13" t="n">
        <v>1</v>
      </c>
      <c r="R123" s="13" t="inlineStr">
        <is>
          <t>код</t>
        </is>
      </c>
      <c r="S123" s="18" t="inlineStr">
        <is>
          <t>відкрити</t>
        </is>
      </c>
    </row>
    <row r="124">
      <c r="A124" s="11" t="inlineStr">
        <is>
          <t>Ваша ціна вища</t>
        </is>
      </c>
      <c r="B124" s="12" t="inlineStr">
        <is>
          <t>Ваша ціна вища на 800 грн (72.8%)</t>
        </is>
      </c>
      <c r="C124" s="13" t="inlineStr">
        <is>
          <t>1023632</t>
        </is>
      </c>
      <c r="D124" s="12" t="inlineStr">
        <is>
          <t>Ножиці для трави Фіскарс / Fiskars SmartFit GS40 (1023632) Фінляндія</t>
        </is>
      </c>
      <c r="E124" s="14" t="n">
        <v>1899</v>
      </c>
      <c r="F124" s="15" t="inlineStr">
        <is>
          <t>ні</t>
        </is>
      </c>
      <c r="G124" s="16" t="n">
        <v>1099</v>
      </c>
      <c r="H124" s="15" t="inlineStr">
        <is>
          <t>ні</t>
        </is>
      </c>
      <c r="I124" s="14" t="n"/>
      <c r="J124" s="13" t="inlineStr"/>
      <c r="K124" s="13" t="inlineStr">
        <is>
          <t>Водоспад</t>
        </is>
      </c>
      <c r="L124" s="14" t="n">
        <v>1099</v>
      </c>
      <c r="M124" s="14">
        <f>IF(L124="","",E124-L124)</f>
        <v/>
      </c>
      <c r="N124" s="17">
        <f>IF(OR(L124="",L124=0),"",M124/L124)</f>
        <v/>
      </c>
      <c r="O124" s="14" t="n"/>
      <c r="P124" s="13" t="n">
        <v>0</v>
      </c>
      <c r="Q124" s="13" t="n">
        <v>1</v>
      </c>
      <c r="R124" s="13" t="inlineStr">
        <is>
          <t>код</t>
        </is>
      </c>
      <c r="S124" s="18" t="inlineStr">
        <is>
          <t>відкрити</t>
        </is>
      </c>
    </row>
    <row r="125">
      <c r="A125" s="11" t="inlineStr">
        <is>
          <t>Ваша ціна вища</t>
        </is>
      </c>
      <c r="B125" s="12" t="inlineStr">
        <is>
          <t>Ваша ціна вища на 578 грн (72.3%); Немає в наявності в жодного постачальника</t>
        </is>
      </c>
      <c r="C125" s="13" t="inlineStr">
        <is>
          <t>1003477</t>
        </is>
      </c>
      <c r="D125" s="12" t="inlineStr">
        <is>
          <t>Рукавички робочі садові (10/XL) Фіскарс / Fiskars 160004 (1003477) Фінляндія</t>
        </is>
      </c>
      <c r="E125" s="14" t="n">
        <v>1377</v>
      </c>
      <c r="F125" s="13" t="inlineStr">
        <is>
          <t>так</t>
        </is>
      </c>
      <c r="G125" s="16" t="n">
        <v>799</v>
      </c>
      <c r="H125" s="15" t="inlineStr">
        <is>
          <t>ні</t>
        </is>
      </c>
      <c r="I125" s="14" t="n"/>
      <c r="J125" s="13" t="inlineStr"/>
      <c r="K125" s="13" t="inlineStr">
        <is>
          <t>Водоспад</t>
        </is>
      </c>
      <c r="L125" s="14" t="n">
        <v>799</v>
      </c>
      <c r="M125" s="14">
        <f>IF(L125="","",E125-L125)</f>
        <v/>
      </c>
      <c r="N125" s="17">
        <f>IF(OR(L125="",L125=0),"",M125/L125)</f>
        <v/>
      </c>
      <c r="O125" s="14" t="n"/>
      <c r="P125" s="13" t="n">
        <v>0</v>
      </c>
      <c r="Q125" s="13" t="n">
        <v>1</v>
      </c>
      <c r="R125" s="13" t="inlineStr">
        <is>
          <t>код</t>
        </is>
      </c>
      <c r="S125" s="18" t="inlineStr">
        <is>
          <t>відкрити</t>
        </is>
      </c>
    </row>
    <row r="126">
      <c r="A126" s="11" t="inlineStr">
        <is>
          <t>Ваша ціна вища</t>
        </is>
      </c>
      <c r="B126" s="12" t="inlineStr">
        <is>
          <t>Ваша ціна вища на 578 грн (72.3%); Немає в наявності в жодного постачальника</t>
        </is>
      </c>
      <c r="C126" s="13" t="inlineStr">
        <is>
          <t>1003478</t>
        </is>
      </c>
      <c r="D126" s="12" t="inlineStr">
        <is>
          <t>Рукавички робочі садові (8/М) Фіскарс / Fiskars 160005 (1003478) Фінляндія</t>
        </is>
      </c>
      <c r="E126" s="14" t="n">
        <v>1377</v>
      </c>
      <c r="F126" s="13" t="inlineStr">
        <is>
          <t>так</t>
        </is>
      </c>
      <c r="G126" s="16" t="n">
        <v>799</v>
      </c>
      <c r="H126" s="15" t="inlineStr">
        <is>
          <t>ні</t>
        </is>
      </c>
      <c r="I126" s="14" t="n"/>
      <c r="J126" s="13" t="inlineStr"/>
      <c r="K126" s="13" t="inlineStr">
        <is>
          <t>Водоспад</t>
        </is>
      </c>
      <c r="L126" s="14" t="n">
        <v>799</v>
      </c>
      <c r="M126" s="14">
        <f>IF(L126="","",E126-L126)</f>
        <v/>
      </c>
      <c r="N126" s="17">
        <f>IF(OR(L126="",L126=0),"",M126/L126)</f>
        <v/>
      </c>
      <c r="O126" s="14" t="n"/>
      <c r="P126" s="13" t="n">
        <v>0</v>
      </c>
      <c r="Q126" s="13" t="n">
        <v>1</v>
      </c>
      <c r="R126" s="13" t="inlineStr">
        <is>
          <t>код</t>
        </is>
      </c>
      <c r="S126" s="18" t="inlineStr">
        <is>
          <t>відкрити</t>
        </is>
      </c>
    </row>
    <row r="127">
      <c r="A127" s="11" t="inlineStr">
        <is>
          <t>Ваша ціна вища</t>
        </is>
      </c>
      <c r="B127" s="12" t="inlineStr">
        <is>
          <t>Ваша ціна вища на 1025 грн (70.7%)</t>
        </is>
      </c>
      <c r="C127" s="13" t="inlineStr">
        <is>
          <t>SUC-1.0-710</t>
        </is>
      </c>
      <c r="D127" s="12" t="inlineStr">
        <is>
          <t>Колун Bahco SUC-1.0-710 Бахо</t>
        </is>
      </c>
      <c r="E127" s="14" t="n">
        <v>2475</v>
      </c>
      <c r="F127" s="15" t="inlineStr">
        <is>
          <t>ні</t>
        </is>
      </c>
      <c r="G127" s="16" t="n">
        <v>1450</v>
      </c>
      <c r="H127" s="15" t="inlineStr">
        <is>
          <t>ні</t>
        </is>
      </c>
      <c r="I127" s="14" t="n">
        <v>2200</v>
      </c>
      <c r="J127" s="15" t="inlineStr">
        <is>
          <t>ні</t>
        </is>
      </c>
      <c r="K127" s="13" t="inlineStr">
        <is>
          <t>Водоспад</t>
        </is>
      </c>
      <c r="L127" s="14" t="n">
        <v>1450</v>
      </c>
      <c r="M127" s="14">
        <f>IF(L127="","",E127-L127)</f>
        <v/>
      </c>
      <c r="N127" s="17">
        <f>IF(OR(L127="",L127=0),"",M127/L127)</f>
        <v/>
      </c>
      <c r="O127" s="14" t="n"/>
      <c r="P127" s="13" t="n">
        <v>0</v>
      </c>
      <c r="Q127" s="13" t="n">
        <v>1</v>
      </c>
      <c r="R127" s="13" t="inlineStr">
        <is>
          <t>код</t>
        </is>
      </c>
      <c r="S127" s="18" t="inlineStr">
        <is>
          <t>відкрити</t>
        </is>
      </c>
    </row>
    <row r="128">
      <c r="A128" s="11" t="inlineStr">
        <is>
          <t>Ваша ціна вища</t>
        </is>
      </c>
      <c r="B128" s="12" t="inlineStr">
        <is>
          <t>Ваша ціна вища на 350 грн (70.1%)</t>
        </is>
      </c>
      <c r="C128" s="13" t="inlineStr">
        <is>
          <t>1051602</t>
        </is>
      </c>
      <c r="D128" s="12" t="inlineStr">
        <is>
          <t>Ножиці для квітів Фіскарс / Fiskars Solid Pruning shears SP15 (1051602) Фінляндія</t>
        </is>
      </c>
      <c r="E128" s="14" t="n">
        <v>849</v>
      </c>
      <c r="F128" s="15" t="inlineStr">
        <is>
          <t>ні</t>
        </is>
      </c>
      <c r="G128" s="16" t="n">
        <v>499</v>
      </c>
      <c r="H128" s="15" t="inlineStr">
        <is>
          <t>ні</t>
        </is>
      </c>
      <c r="I128" s="14" t="n"/>
      <c r="J128" s="13" t="inlineStr"/>
      <c r="K128" s="13" t="inlineStr">
        <is>
          <t>Водоспад</t>
        </is>
      </c>
      <c r="L128" s="14" t="n">
        <v>499</v>
      </c>
      <c r="M128" s="14">
        <f>IF(L128="","",E128-L128)</f>
        <v/>
      </c>
      <c r="N128" s="17">
        <f>IF(OR(L128="",L128=0),"",M128/L128)</f>
        <v/>
      </c>
      <c r="O128" s="14" t="n"/>
      <c r="P128" s="13" t="n">
        <v>0</v>
      </c>
      <c r="Q128" s="13" t="n">
        <v>1</v>
      </c>
      <c r="R128" s="13" t="inlineStr">
        <is>
          <t>код</t>
        </is>
      </c>
      <c r="S128" s="18" t="inlineStr">
        <is>
          <t>відкрити</t>
        </is>
      </c>
    </row>
    <row r="129">
      <c r="A129" s="11" t="inlineStr">
        <is>
          <t>Ваша ціна вища</t>
        </is>
      </c>
      <c r="B129" s="12" t="inlineStr">
        <is>
          <t>Ваша ціна вища на 864.8 грн (70.1%)</t>
        </is>
      </c>
      <c r="C129" s="13" t="inlineStr">
        <is>
          <t>1000614</t>
        </is>
      </c>
      <c r="D129" s="12" t="inlineStr">
        <is>
          <t>Пила садова Фіскарс Fiskars Xtract (L) SW75 123880 (1000614) Фінляндія</t>
        </is>
      </c>
      <c r="E129" s="14" t="n">
        <v>2099</v>
      </c>
      <c r="F129" s="15" t="inlineStr">
        <is>
          <t>ні</t>
        </is>
      </c>
      <c r="G129" s="14" t="n">
        <v>1999</v>
      </c>
      <c r="H129" s="15" t="inlineStr">
        <is>
          <t>ні</t>
        </is>
      </c>
      <c r="I129" s="16" t="n">
        <v>1234.2</v>
      </c>
      <c r="J129" s="15" t="inlineStr">
        <is>
          <t>ні</t>
        </is>
      </c>
      <c r="K129" s="13" t="inlineStr">
        <is>
          <t>Клуб Рослин</t>
        </is>
      </c>
      <c r="L129" s="14" t="n">
        <v>1234.2</v>
      </c>
      <c r="M129" s="14">
        <f>IF(L129="","",E129-L129)</f>
        <v/>
      </c>
      <c r="N129" s="17">
        <f>IF(OR(L129="",L129=0),"",M129/L129)</f>
        <v/>
      </c>
      <c r="O129" s="14" t="n"/>
      <c r="P129" s="13" t="n">
        <v>0</v>
      </c>
      <c r="Q129" s="13" t="n">
        <v>1</v>
      </c>
      <c r="R129" s="13" t="inlineStr">
        <is>
          <t>код</t>
        </is>
      </c>
      <c r="S129" s="18" t="inlineStr">
        <is>
          <t>відкрити</t>
        </is>
      </c>
    </row>
    <row r="130">
      <c r="A130" s="11" t="inlineStr">
        <is>
          <t>Ваша ціна вища</t>
        </is>
      </c>
      <c r="B130" s="12" t="inlineStr">
        <is>
          <t>Ваша ціна вища на 664 грн (69.9%)</t>
        </is>
      </c>
      <c r="C130" s="13" t="inlineStr">
        <is>
          <t>HFGPS-0.7-400FG</t>
        </is>
      </c>
      <c r="D130" s="12" t="inlineStr">
        <is>
          <t>Туристична сокира Bahco HFGPS-0.7-400FG Бахо</t>
        </is>
      </c>
      <c r="E130" s="14" t="n">
        <v>1614</v>
      </c>
      <c r="F130" s="15" t="inlineStr">
        <is>
          <t>ні</t>
        </is>
      </c>
      <c r="G130" s="16" t="n">
        <v>950</v>
      </c>
      <c r="H130" s="15" t="inlineStr">
        <is>
          <t>ні</t>
        </is>
      </c>
      <c r="I130" s="14" t="n">
        <v>1506</v>
      </c>
      <c r="J130" s="15" t="inlineStr">
        <is>
          <t>ні</t>
        </is>
      </c>
      <c r="K130" s="13" t="inlineStr">
        <is>
          <t>Водоспад</t>
        </is>
      </c>
      <c r="L130" s="14" t="n">
        <v>950</v>
      </c>
      <c r="M130" s="14">
        <f>IF(L130="","",E130-L130)</f>
        <v/>
      </c>
      <c r="N130" s="17">
        <f>IF(OR(L130="",L130=0),"",M130/L130)</f>
        <v/>
      </c>
      <c r="O130" s="14" t="n"/>
      <c r="P130" s="13" t="n">
        <v>0</v>
      </c>
      <c r="Q130" s="13" t="n">
        <v>1</v>
      </c>
      <c r="R130" s="13" t="inlineStr">
        <is>
          <t>код</t>
        </is>
      </c>
      <c r="S130" s="18" t="inlineStr">
        <is>
          <t>відкрити</t>
        </is>
      </c>
    </row>
    <row r="131">
      <c r="A131" s="11" t="inlineStr">
        <is>
          <t>Ваша ціна вища</t>
        </is>
      </c>
      <c r="B131" s="12" t="inlineStr">
        <is>
          <t>Ваша ціна вища на 349 грн (69.0%); Немає в наявності в жодного постачальника</t>
        </is>
      </c>
      <c r="C131" s="13" t="inlineStr">
        <is>
          <t>NP-12-COM</t>
        </is>
      </c>
      <c r="D131" s="12" t="inlineStr">
        <is>
          <t>Ножівка викружна ​​​​​​​300 мм NP-12-COM Bahco</t>
        </is>
      </c>
      <c r="E131" s="14" t="n">
        <v>855</v>
      </c>
      <c r="F131" s="13" t="inlineStr">
        <is>
          <t>так</t>
        </is>
      </c>
      <c r="G131" s="16" t="n">
        <v>506</v>
      </c>
      <c r="H131" s="15" t="inlineStr">
        <is>
          <t>ні</t>
        </is>
      </c>
      <c r="I131" s="14" t="n"/>
      <c r="J131" s="13" t="inlineStr"/>
      <c r="K131" s="13" t="inlineStr">
        <is>
          <t>Водоспад</t>
        </is>
      </c>
      <c r="L131" s="14" t="n">
        <v>506</v>
      </c>
      <c r="M131" s="14">
        <f>IF(L131="","",E131-L131)</f>
        <v/>
      </c>
      <c r="N131" s="17">
        <f>IF(OR(L131="",L131=0),"",M131/L131)</f>
        <v/>
      </c>
      <c r="O131" s="14" t="n"/>
      <c r="P131" s="13" t="n">
        <v>0</v>
      </c>
      <c r="Q131" s="13" t="n">
        <v>1</v>
      </c>
      <c r="R131" s="13" t="inlineStr">
        <is>
          <t>код</t>
        </is>
      </c>
      <c r="S131" s="18" t="inlineStr">
        <is>
          <t>відкрити</t>
        </is>
      </c>
    </row>
    <row r="132">
      <c r="A132" s="11" t="inlineStr">
        <is>
          <t>Ваша ціна вища</t>
        </is>
      </c>
      <c r="B132" s="12" t="inlineStr">
        <is>
          <t>Ваша ціна вища на 515 грн (68.7%); Немає в наявності в жодного постачальника</t>
        </is>
      </c>
      <c r="C132" s="13" t="inlineStr">
        <is>
          <t>GS180F</t>
        </is>
      </c>
      <c r="D132" s="12" t="inlineStr">
        <is>
          <t>Ножиці для стрижки трави Bahco GS180F Бахо</t>
        </is>
      </c>
      <c r="E132" s="14" t="n">
        <v>1265</v>
      </c>
      <c r="F132" s="13" t="inlineStr">
        <is>
          <t>так</t>
        </is>
      </c>
      <c r="G132" s="16" t="n">
        <v>750</v>
      </c>
      <c r="H132" s="15" t="inlineStr">
        <is>
          <t>ні</t>
        </is>
      </c>
      <c r="I132" s="14" t="n">
        <v>750</v>
      </c>
      <c r="J132" s="15" t="inlineStr">
        <is>
          <t>ні</t>
        </is>
      </c>
      <c r="K132" s="13" t="inlineStr">
        <is>
          <t>Водоспад</t>
        </is>
      </c>
      <c r="L132" s="14" t="n">
        <v>750</v>
      </c>
      <c r="M132" s="14">
        <f>IF(L132="","",E132-L132)</f>
        <v/>
      </c>
      <c r="N132" s="17">
        <f>IF(OR(L132="",L132=0),"",M132/L132)</f>
        <v/>
      </c>
      <c r="O132" s="14" t="n"/>
      <c r="P132" s="13" t="n">
        <v>0</v>
      </c>
      <c r="Q132" s="13" t="n">
        <v>1</v>
      </c>
      <c r="R132" s="13" t="inlineStr">
        <is>
          <t>код</t>
        </is>
      </c>
      <c r="S132" s="18" t="inlineStr">
        <is>
          <t>відкрити</t>
        </is>
      </c>
    </row>
    <row r="133">
      <c r="A133" s="11" t="inlineStr">
        <is>
          <t>Ваша ціна вища</t>
        </is>
      </c>
      <c r="B133" s="12" t="inlineStr">
        <is>
          <t>Ваша ціна вища на 2717 грн (68.3%); Немає в наявності в жодного постачальника</t>
        </is>
      </c>
      <c r="C133" s="13" t="inlineStr">
        <is>
          <t>P19-80-F</t>
        </is>
      </c>
      <c r="D133" s="12" t="inlineStr">
        <is>
          <t>Гілкоріз підвищеної потужності Bahco P19-80-F</t>
        </is>
      </c>
      <c r="E133" s="14" t="n">
        <v>6697</v>
      </c>
      <c r="F133" s="13" t="inlineStr">
        <is>
          <t>так</t>
        </is>
      </c>
      <c r="G133" s="16" t="n">
        <v>3980</v>
      </c>
      <c r="H133" s="15" t="inlineStr">
        <is>
          <t>ні</t>
        </is>
      </c>
      <c r="I133" s="14" t="n"/>
      <c r="J133" s="13" t="inlineStr"/>
      <c r="K133" s="13" t="inlineStr">
        <is>
          <t>Водоспад</t>
        </is>
      </c>
      <c r="L133" s="14" t="n">
        <v>3980</v>
      </c>
      <c r="M133" s="14">
        <f>IF(L133="","",E133-L133)</f>
        <v/>
      </c>
      <c r="N133" s="17">
        <f>IF(OR(L133="",L133=0),"",M133/L133)</f>
        <v/>
      </c>
      <c r="O133" s="14" t="n"/>
      <c r="P133" s="13" t="n">
        <v>0</v>
      </c>
      <c r="Q133" s="13" t="n">
        <v>1</v>
      </c>
      <c r="R133" s="13" t="inlineStr">
        <is>
          <t>код</t>
        </is>
      </c>
      <c r="S133" s="18" t="inlineStr">
        <is>
          <t>відкрити</t>
        </is>
      </c>
    </row>
    <row r="134">
      <c r="A134" s="11" t="inlineStr">
        <is>
          <t>Ваша ціна вища</t>
        </is>
      </c>
      <c r="B134" s="12" t="inlineStr">
        <is>
          <t>Ваша ціна вища на 678 грн (67.9%)</t>
        </is>
      </c>
      <c r="C134" s="13" t="inlineStr">
        <is>
          <t>1026827</t>
        </is>
      </c>
      <c r="D134" s="12" t="inlineStr">
        <is>
          <t>Кущоріз Фіскарс Fiskars Solid HS21 (1026827) Фінляндія</t>
        </is>
      </c>
      <c r="E134" s="14" t="n">
        <v>1677</v>
      </c>
      <c r="F134" s="15" t="inlineStr">
        <is>
          <t>ні</t>
        </is>
      </c>
      <c r="G134" s="16" t="n">
        <v>999</v>
      </c>
      <c r="H134" s="15" t="inlineStr">
        <is>
          <t>ні</t>
        </is>
      </c>
      <c r="I134" s="14" t="n"/>
      <c r="J134" s="13" t="inlineStr"/>
      <c r="K134" s="13" t="inlineStr">
        <is>
          <t>Водоспад</t>
        </is>
      </c>
      <c r="L134" s="14" t="n">
        <v>999</v>
      </c>
      <c r="M134" s="14">
        <f>IF(L134="","",E134-L134)</f>
        <v/>
      </c>
      <c r="N134" s="17">
        <f>IF(OR(L134="",L134=0),"",M134/L134)</f>
        <v/>
      </c>
      <c r="O134" s="14" t="n"/>
      <c r="P134" s="13" t="n">
        <v>0</v>
      </c>
      <c r="Q134" s="13" t="n">
        <v>1</v>
      </c>
      <c r="R134" s="13" t="inlineStr">
        <is>
          <t>код</t>
        </is>
      </c>
      <c r="S134" s="18" t="inlineStr">
        <is>
          <t>відкрити</t>
        </is>
      </c>
    </row>
    <row r="135">
      <c r="A135" s="11" t="inlineStr">
        <is>
          <t>Ваша ціна вища</t>
        </is>
      </c>
      <c r="B135" s="12" t="inlineStr">
        <is>
          <t>Ваша ціна вища на 2400 грн (66.7%)</t>
        </is>
      </c>
      <c r="C135" s="13" t="inlineStr">
        <is>
          <t>1020189</t>
        </is>
      </c>
      <c r="D135" s="12" t="inlineStr">
        <is>
          <t>Гілкоріз контактний Фіскарс / Fiskars PowerGearX (L) LX99 112440 (1020189) Фінляндія</t>
        </is>
      </c>
      <c r="E135" s="14" t="n">
        <v>5999</v>
      </c>
      <c r="F135" s="15" t="inlineStr">
        <is>
          <t>ні</t>
        </is>
      </c>
      <c r="G135" s="16" t="n">
        <v>3599</v>
      </c>
      <c r="H135" s="15" t="inlineStr">
        <is>
          <t>ні</t>
        </is>
      </c>
      <c r="I135" s="14" t="n"/>
      <c r="J135" s="13" t="inlineStr"/>
      <c r="K135" s="13" t="inlineStr">
        <is>
          <t>Водоспад</t>
        </is>
      </c>
      <c r="L135" s="14" t="n">
        <v>3599</v>
      </c>
      <c r="M135" s="14">
        <f>IF(L135="","",E135-L135)</f>
        <v/>
      </c>
      <c r="N135" s="17">
        <f>IF(OR(L135="",L135=0),"",M135/L135)</f>
        <v/>
      </c>
      <c r="O135" s="14" t="n"/>
      <c r="P135" s="13" t="n">
        <v>0</v>
      </c>
      <c r="Q135" s="13" t="n">
        <v>1</v>
      </c>
      <c r="R135" s="13" t="inlineStr">
        <is>
          <t>код</t>
        </is>
      </c>
      <c r="S135" s="18" t="inlineStr">
        <is>
          <t>відкрити</t>
        </is>
      </c>
    </row>
    <row r="136">
      <c r="A136" s="11" t="inlineStr">
        <is>
          <t>Ваша ціна вища</t>
        </is>
      </c>
      <c r="B136" s="12" t="inlineStr">
        <is>
          <t>Ваша ціна вища на 2400 грн (66.7%); Немає в наявності в жодного постачальника</t>
        </is>
      </c>
      <c r="C136" s="13" t="inlineStr">
        <is>
          <t>1020188</t>
        </is>
      </c>
      <c r="D136" s="12" t="inlineStr">
        <is>
          <t>Гілкоріз площинний Фіскарс / Fiskars PowerGearX (L) LX98 112490 (1020188) Фінляндія</t>
        </is>
      </c>
      <c r="E136" s="14" t="n">
        <v>5999</v>
      </c>
      <c r="F136" s="13" t="inlineStr">
        <is>
          <t>так</t>
        </is>
      </c>
      <c r="G136" s="16" t="n">
        <v>3599</v>
      </c>
      <c r="H136" s="15" t="inlineStr">
        <is>
          <t>ні</t>
        </is>
      </c>
      <c r="I136" s="14" t="n"/>
      <c r="J136" s="13" t="inlineStr"/>
      <c r="K136" s="13" t="inlineStr">
        <is>
          <t>Водоспад</t>
        </is>
      </c>
      <c r="L136" s="14" t="n">
        <v>3599</v>
      </c>
      <c r="M136" s="14">
        <f>IF(L136="","",E136-L136)</f>
        <v/>
      </c>
      <c r="N136" s="17">
        <f>IF(OR(L136="",L136=0),"",M136/L136)</f>
        <v/>
      </c>
      <c r="O136" s="14" t="n"/>
      <c r="P136" s="13" t="n">
        <v>0</v>
      </c>
      <c r="Q136" s="13" t="n">
        <v>1</v>
      </c>
      <c r="R136" s="13" t="inlineStr">
        <is>
          <t>код</t>
        </is>
      </c>
      <c r="S136" s="18" t="inlineStr">
        <is>
          <t>відкрити</t>
        </is>
      </c>
    </row>
    <row r="137">
      <c r="A137" s="11" t="inlineStr">
        <is>
          <t>Ваша ціна вища</t>
        </is>
      </c>
      <c r="B137" s="12" t="inlineStr">
        <is>
          <t>Ваша ціна вища на 2000 грн (66.7%)</t>
        </is>
      </c>
      <c r="C137" s="13" t="inlineStr">
        <is>
          <t>1020187</t>
        </is>
      </c>
      <c r="D137" s="12" t="inlineStr">
        <is>
          <t>Гілкоріз площинний Фіскарс / Fiskars PowerGearX M LX94 112390 (1020187) Фінляндія</t>
        </is>
      </c>
      <c r="E137" s="14" t="n">
        <v>4999</v>
      </c>
      <c r="F137" s="15" t="inlineStr">
        <is>
          <t>ні</t>
        </is>
      </c>
      <c r="G137" s="16" t="n">
        <v>2999</v>
      </c>
      <c r="H137" s="15" t="inlineStr">
        <is>
          <t>ні</t>
        </is>
      </c>
      <c r="I137" s="14" t="n"/>
      <c r="J137" s="13" t="inlineStr"/>
      <c r="K137" s="13" t="inlineStr">
        <is>
          <t>Водоспад</t>
        </is>
      </c>
      <c r="L137" s="14" t="n">
        <v>2999</v>
      </c>
      <c r="M137" s="14">
        <f>IF(L137="","",E137-L137)</f>
        <v/>
      </c>
      <c r="N137" s="17">
        <f>IF(OR(L137="",L137=0),"",M137/L137)</f>
        <v/>
      </c>
      <c r="O137" s="14" t="n"/>
      <c r="P137" s="13" t="n">
        <v>0</v>
      </c>
      <c r="Q137" s="13" t="n">
        <v>1</v>
      </c>
      <c r="R137" s="13" t="inlineStr">
        <is>
          <t>код</t>
        </is>
      </c>
      <c r="S137" s="18" t="inlineStr">
        <is>
          <t>відкрити</t>
        </is>
      </c>
    </row>
    <row r="138">
      <c r="A138" s="11" t="inlineStr">
        <is>
          <t>Ваша ціна вища</t>
        </is>
      </c>
      <c r="B138" s="12" t="inlineStr">
        <is>
          <t>Ваша ціна вища на 1200 грн (66.7%)</t>
        </is>
      </c>
      <c r="C138" s="13" t="inlineStr">
        <is>
          <t>1002104</t>
        </is>
      </c>
      <c r="D138" s="12" t="inlineStr">
        <is>
          <t>Гілкоріз площинний посилений з гаком Фіскарс Fiskars PowerGear S L70 (1002104)</t>
        </is>
      </c>
      <c r="E138" s="14" t="n">
        <v>2999</v>
      </c>
      <c r="F138" s="15" t="inlineStr">
        <is>
          <t>ні</t>
        </is>
      </c>
      <c r="G138" s="16" t="n">
        <v>1799</v>
      </c>
      <c r="H138" s="15" t="inlineStr">
        <is>
          <t>ні</t>
        </is>
      </c>
      <c r="I138" s="14" t="n"/>
      <c r="J138" s="13" t="inlineStr"/>
      <c r="K138" s="13" t="inlineStr">
        <is>
          <t>Водоспад</t>
        </is>
      </c>
      <c r="L138" s="14" t="n">
        <v>1799</v>
      </c>
      <c r="M138" s="14">
        <f>IF(L138="","",E138-L138)</f>
        <v/>
      </c>
      <c r="N138" s="17">
        <f>IF(OR(L138="",L138=0),"",M138/L138)</f>
        <v/>
      </c>
      <c r="O138" s="14" t="n"/>
      <c r="P138" s="13" t="n">
        <v>0</v>
      </c>
      <c r="Q138" s="13" t="n">
        <v>1</v>
      </c>
      <c r="R138" s="13" t="inlineStr">
        <is>
          <t>код</t>
        </is>
      </c>
      <c r="S138" s="18" t="inlineStr">
        <is>
          <t>відкрити</t>
        </is>
      </c>
    </row>
    <row r="139">
      <c r="A139" s="11" t="inlineStr">
        <is>
          <t>Ваша ціна вища</t>
        </is>
      </c>
      <c r="B139" s="12" t="inlineStr">
        <is>
          <t>Ваша ціна вища на 1396 грн (66.4%)</t>
        </is>
      </c>
      <c r="C139" s="13" t="inlineStr">
        <is>
          <t>1000621</t>
        </is>
      </c>
      <c r="D139" s="12" t="inlineStr">
        <is>
          <t>Лопата універсальна складна Фіскарс Fiskars 131320 (1000621) Фінляндія</t>
        </is>
      </c>
      <c r="E139" s="14" t="n">
        <v>3499</v>
      </c>
      <c r="F139" s="15" t="inlineStr">
        <is>
          <t>ні</t>
        </is>
      </c>
      <c r="G139" s="14" t="n">
        <v>2799</v>
      </c>
      <c r="H139" s="15" t="inlineStr">
        <is>
          <t>ні</t>
        </is>
      </c>
      <c r="I139" s="16" t="n">
        <v>2103</v>
      </c>
      <c r="J139" s="15" t="inlineStr">
        <is>
          <t>ні</t>
        </is>
      </c>
      <c r="K139" s="13" t="inlineStr">
        <is>
          <t>Клуб Рослин</t>
        </is>
      </c>
      <c r="L139" s="14" t="n">
        <v>2103</v>
      </c>
      <c r="M139" s="14">
        <f>IF(L139="","",E139-L139)</f>
        <v/>
      </c>
      <c r="N139" s="17">
        <f>IF(OR(L139="",L139=0),"",M139/L139)</f>
        <v/>
      </c>
      <c r="O139" s="14" t="n"/>
      <c r="P139" s="13" t="n">
        <v>0</v>
      </c>
      <c r="Q139" s="13" t="n">
        <v>1</v>
      </c>
      <c r="R139" s="13" t="inlineStr">
        <is>
          <t>код</t>
        </is>
      </c>
      <c r="S139" s="18" t="inlineStr">
        <is>
          <t>відкрити</t>
        </is>
      </c>
    </row>
    <row r="140">
      <c r="A140" s="11" t="inlineStr">
        <is>
          <t>Ваша ціна вища</t>
        </is>
      </c>
      <c r="B140" s="12" t="inlineStr">
        <is>
          <t>Ваша ціна вища на 450 грн (64.4%); Немає в наявності в жодного постачальника</t>
        </is>
      </c>
      <c r="C140" s="13" t="inlineStr">
        <is>
          <t>1001625</t>
        </is>
      </c>
      <c r="D140" s="12" t="inlineStr">
        <is>
          <t>Ніж для щеплення рослин Фіскарс Fiskars K60 125900 (1001625) Фінляндія</t>
        </is>
      </c>
      <c r="E140" s="14" t="n">
        <v>1149</v>
      </c>
      <c r="F140" s="13" t="inlineStr">
        <is>
          <t>так</t>
        </is>
      </c>
      <c r="G140" s="16" t="n">
        <v>699</v>
      </c>
      <c r="H140" s="15" t="inlineStr">
        <is>
          <t>ні</t>
        </is>
      </c>
      <c r="I140" s="14" t="n"/>
      <c r="J140" s="13" t="inlineStr"/>
      <c r="K140" s="13" t="inlineStr">
        <is>
          <t>Водоспад</t>
        </is>
      </c>
      <c r="L140" s="14" t="n">
        <v>699</v>
      </c>
      <c r="M140" s="14">
        <f>IF(L140="","",E140-L140)</f>
        <v/>
      </c>
      <c r="N140" s="17">
        <f>IF(OR(L140="",L140=0),"",M140/L140)</f>
        <v/>
      </c>
      <c r="O140" s="14" t="n"/>
      <c r="P140" s="13" t="n">
        <v>0</v>
      </c>
      <c r="Q140" s="13" t="n">
        <v>1</v>
      </c>
      <c r="R140" s="13" t="inlineStr">
        <is>
          <t>код</t>
        </is>
      </c>
      <c r="S140" s="18" t="inlineStr">
        <is>
          <t>відкрити</t>
        </is>
      </c>
    </row>
    <row r="141">
      <c r="A141" s="11" t="inlineStr">
        <is>
          <t>Ваша ціна вища</t>
        </is>
      </c>
      <c r="B141" s="12" t="inlineStr">
        <is>
          <t>Ваша ціна вища на 350 грн (63.8%); Немає в наявності в жодного постачальника</t>
        </is>
      </c>
      <c r="C141" s="13" t="inlineStr">
        <is>
          <t>1026797</t>
        </is>
      </c>
      <c r="D141" s="12" t="inlineStr">
        <is>
          <t>Точилка для сокир та ножів Фіскарс Fiskars Solid (1026797) Фінляндія</t>
        </is>
      </c>
      <c r="E141" s="14" t="n">
        <v>899</v>
      </c>
      <c r="F141" s="13" t="inlineStr">
        <is>
          <t>так</t>
        </is>
      </c>
      <c r="G141" s="16" t="n">
        <v>549</v>
      </c>
      <c r="H141" s="15" t="inlineStr">
        <is>
          <t>ні</t>
        </is>
      </c>
      <c r="I141" s="14" t="n"/>
      <c r="J141" s="13" t="inlineStr"/>
      <c r="K141" s="13" t="inlineStr">
        <is>
          <t>Водоспад</t>
        </is>
      </c>
      <c r="L141" s="14" t="n">
        <v>549</v>
      </c>
      <c r="M141" s="14">
        <f>IF(L141="","",E141-L141)</f>
        <v/>
      </c>
      <c r="N141" s="17">
        <f>IF(OR(L141="",L141=0),"",M141/L141)</f>
        <v/>
      </c>
      <c r="O141" s="14" t="n"/>
      <c r="P141" s="13" t="n">
        <v>0</v>
      </c>
      <c r="Q141" s="13" t="n">
        <v>1</v>
      </c>
      <c r="R141" s="13" t="inlineStr">
        <is>
          <t>код</t>
        </is>
      </c>
      <c r="S141" s="18" t="inlineStr">
        <is>
          <t>відкрити</t>
        </is>
      </c>
    </row>
    <row r="142">
      <c r="A142" s="11" t="inlineStr">
        <is>
          <t>Ваша ціна вища</t>
        </is>
      </c>
      <c r="B142" s="12" t="inlineStr">
        <is>
          <t>Ваша ціна вища на 270.7 грн (63.2%); Немає в наявності в жодного постачальника</t>
        </is>
      </c>
      <c r="C142" s="13" t="inlineStr">
        <is>
          <t>1000567</t>
        </is>
      </c>
      <c r="D142" s="12" t="inlineStr">
        <is>
          <t>Секатор площинний Фіскарс Fiskars Single Step P26 111260 (1000567) Фінляндія</t>
        </is>
      </c>
      <c r="E142" s="14" t="n">
        <v>699</v>
      </c>
      <c r="F142" s="13" t="inlineStr">
        <is>
          <t>так</t>
        </is>
      </c>
      <c r="G142" s="14" t="n">
        <v>549</v>
      </c>
      <c r="H142" s="15" t="inlineStr">
        <is>
          <t>ні</t>
        </is>
      </c>
      <c r="I142" s="16" t="n">
        <v>428.3</v>
      </c>
      <c r="J142" s="15" t="inlineStr">
        <is>
          <t>ні</t>
        </is>
      </c>
      <c r="K142" s="13" t="inlineStr">
        <is>
          <t>Клуб Рослин</t>
        </is>
      </c>
      <c r="L142" s="14" t="n">
        <v>428.3</v>
      </c>
      <c r="M142" s="14">
        <f>IF(L142="","",E142-L142)</f>
        <v/>
      </c>
      <c r="N142" s="17">
        <f>IF(OR(L142="",L142=0),"",M142/L142)</f>
        <v/>
      </c>
      <c r="O142" s="14" t="n"/>
      <c r="P142" s="13" t="n">
        <v>0</v>
      </c>
      <c r="Q142" s="13" t="n">
        <v>1</v>
      </c>
      <c r="R142" s="13" t="inlineStr">
        <is>
          <t>код</t>
        </is>
      </c>
      <c r="S142" s="18" t="inlineStr">
        <is>
          <t>відкрити</t>
        </is>
      </c>
    </row>
    <row r="143">
      <c r="A143" s="11" t="inlineStr">
        <is>
          <t>Ваша ціна вища</t>
        </is>
      </c>
      <c r="B143" s="12" t="inlineStr">
        <is>
          <t>Ваша ціна вища на 1700 грн (63.0%); Немає в наявності в жодного постачальника</t>
        </is>
      </c>
      <c r="C143" s="13" t="inlineStr">
        <is>
          <t>1020199</t>
        </is>
      </c>
      <c r="D143" s="12" t="inlineStr">
        <is>
          <t>Пила садова Фіскарс Fiskars SW-330 123330 (1020199) Фінляндія</t>
        </is>
      </c>
      <c r="E143" s="14" t="n">
        <v>4399</v>
      </c>
      <c r="F143" s="13" t="inlineStr">
        <is>
          <t>так</t>
        </is>
      </c>
      <c r="G143" s="16" t="n">
        <v>2699</v>
      </c>
      <c r="H143" s="15" t="inlineStr">
        <is>
          <t>ні</t>
        </is>
      </c>
      <c r="I143" s="14" t="n"/>
      <c r="J143" s="13" t="inlineStr"/>
      <c r="K143" s="13" t="inlineStr">
        <is>
          <t>Водоспад</t>
        </is>
      </c>
      <c r="L143" s="14" t="n">
        <v>2699</v>
      </c>
      <c r="M143" s="14">
        <f>IF(L143="","",E143-L143)</f>
        <v/>
      </c>
      <c r="N143" s="17">
        <f>IF(OR(L143="",L143=0),"",M143/L143)</f>
        <v/>
      </c>
      <c r="O143" s="14" t="n"/>
      <c r="P143" s="13" t="n">
        <v>0</v>
      </c>
      <c r="Q143" s="13" t="n">
        <v>1</v>
      </c>
      <c r="R143" s="13" t="inlineStr">
        <is>
          <t>код</t>
        </is>
      </c>
      <c r="S143" s="18" t="inlineStr">
        <is>
          <t>відкрити</t>
        </is>
      </c>
    </row>
    <row r="144">
      <c r="A144" s="11" t="inlineStr">
        <is>
          <t>Ваша ціна вища</t>
        </is>
      </c>
      <c r="B144" s="12" t="inlineStr">
        <is>
          <t>Ваша ціна вища на 1155 грн (62.6%)</t>
        </is>
      </c>
      <c r="C144" s="13" t="inlineStr">
        <is>
          <t>1000585</t>
        </is>
      </c>
      <c r="D144" s="12" t="inlineStr">
        <is>
          <t>Гілкоріз контактний з храповим механізмом Fiskars PowerStep L85 112850 (1000585) Фінляндія</t>
        </is>
      </c>
      <c r="E144" s="14" t="n">
        <v>2999</v>
      </c>
      <c r="F144" s="15" t="inlineStr">
        <is>
          <t>ні</t>
        </is>
      </c>
      <c r="G144" s="14" t="n"/>
      <c r="H144" s="13" t="inlineStr"/>
      <c r="I144" s="16" t="n">
        <v>1844</v>
      </c>
      <c r="J144" s="15" t="inlineStr">
        <is>
          <t>ні</t>
        </is>
      </c>
      <c r="K144" s="13" t="inlineStr">
        <is>
          <t>Клуб Рослин</t>
        </is>
      </c>
      <c r="L144" s="14" t="n">
        <v>1844</v>
      </c>
      <c r="M144" s="14">
        <f>IF(L144="","",E144-L144)</f>
        <v/>
      </c>
      <c r="N144" s="17">
        <f>IF(OR(L144="",L144=0),"",M144/L144)</f>
        <v/>
      </c>
      <c r="O144" s="14" t="n"/>
      <c r="P144" s="13" t="n">
        <v>0</v>
      </c>
      <c r="Q144" s="13" t="n">
        <v>1</v>
      </c>
      <c r="R144" s="13" t="inlineStr">
        <is>
          <t>код</t>
        </is>
      </c>
      <c r="S144" s="18" t="inlineStr">
        <is>
          <t>відкрити</t>
        </is>
      </c>
    </row>
    <row r="145">
      <c r="A145" s="11" t="inlineStr">
        <is>
          <t>Ваша ціна вища</t>
        </is>
      </c>
      <c r="B145" s="12" t="inlineStr">
        <is>
          <t>Ваша ціна вища на 1998 грн (62.4%); Немає в наявності в жодного постачальника</t>
        </is>
      </c>
      <c r="C145" s="13" t="inlineStr">
        <is>
          <t>7522</t>
        </is>
      </c>
      <c r="D145" s="12" t="inlineStr">
        <is>
          <t>Добриво GroGreen Грінта Старт NPK 13-40-13 + 1% FULVK + TE 25 кг Lima Бельгія</t>
        </is>
      </c>
      <c r="E145" s="14" t="n">
        <v>5198</v>
      </c>
      <c r="F145" s="13" t="inlineStr">
        <is>
          <t>так</t>
        </is>
      </c>
      <c r="G145" s="14" t="n"/>
      <c r="H145" s="13" t="inlineStr"/>
      <c r="I145" s="16" t="n">
        <v>3200</v>
      </c>
      <c r="J145" s="15" t="inlineStr">
        <is>
          <t>ні</t>
        </is>
      </c>
      <c r="K145" s="13" t="inlineStr">
        <is>
          <t>Клуб Рослин</t>
        </is>
      </c>
      <c r="L145" s="14" t="n">
        <v>3200</v>
      </c>
      <c r="M145" s="14">
        <f>IF(L145="","",E145-L145)</f>
        <v/>
      </c>
      <c r="N145" s="17">
        <f>IF(OR(L145="",L145=0),"",M145/L145)</f>
        <v/>
      </c>
      <c r="O145" s="14" t="n"/>
      <c r="P145" s="13" t="n">
        <v>0</v>
      </c>
      <c r="Q145" s="13" t="n">
        <v>1</v>
      </c>
      <c r="R145" s="13" t="inlineStr">
        <is>
          <t>код</t>
        </is>
      </c>
      <c r="S145" s="18" t="inlineStr">
        <is>
          <t>відкрити</t>
        </is>
      </c>
    </row>
    <row r="146">
      <c r="A146" s="11" t="inlineStr">
        <is>
          <t>Ваша ціна вища</t>
        </is>
      </c>
      <c r="B146" s="12" t="inlineStr">
        <is>
          <t>Ваша ціна вища на 1988 грн (62.1%)</t>
        </is>
      </c>
      <c r="C146" s="13" t="inlineStr">
        <is>
          <t>7445</t>
        </is>
      </c>
      <c r="D146" s="12" t="inlineStr">
        <is>
          <t>Добриво GroGreen NPK 13-40-13+TE 25 кг Lima Бельгія</t>
        </is>
      </c>
      <c r="E146" s="14" t="n">
        <v>5188</v>
      </c>
      <c r="F146" s="15" t="inlineStr">
        <is>
          <t>ні</t>
        </is>
      </c>
      <c r="G146" s="14" t="n"/>
      <c r="H146" s="13" t="inlineStr"/>
      <c r="I146" s="16" t="n">
        <v>3200</v>
      </c>
      <c r="J146" s="15" t="inlineStr">
        <is>
          <t>ні</t>
        </is>
      </c>
      <c r="K146" s="13" t="inlineStr">
        <is>
          <t>Клуб Рослин</t>
        </is>
      </c>
      <c r="L146" s="14" t="n">
        <v>3200</v>
      </c>
      <c r="M146" s="14">
        <f>IF(L146="","",E146-L146)</f>
        <v/>
      </c>
      <c r="N146" s="17">
        <f>IF(OR(L146="",L146=0),"",M146/L146)</f>
        <v/>
      </c>
      <c r="O146" s="14" t="n"/>
      <c r="P146" s="13" t="n">
        <v>0</v>
      </c>
      <c r="Q146" s="13" t="n">
        <v>1</v>
      </c>
      <c r="R146" s="13" t="inlineStr">
        <is>
          <t>код</t>
        </is>
      </c>
      <c r="S146" s="18" t="inlineStr">
        <is>
          <t>відкрити</t>
        </is>
      </c>
    </row>
    <row r="147">
      <c r="A147" s="11" t="inlineStr">
        <is>
          <t>Ваша ціна вища</t>
        </is>
      </c>
      <c r="B147" s="12" t="inlineStr">
        <is>
          <t>Ваша ціна вища на 131.2 грн (60.2%); Немає в наявності в жодного постачальника</t>
        </is>
      </c>
      <c r="C147" s="13" t="inlineStr">
        <is>
          <t>1001601</t>
        </is>
      </c>
      <c r="D147" s="12" t="inlineStr">
        <is>
          <t>Посадкова сапа Фіскарс Fiskars Solid 137040 (1001601) Фінляндія</t>
        </is>
      </c>
      <c r="E147" s="14" t="n">
        <v>349</v>
      </c>
      <c r="F147" s="13" t="inlineStr">
        <is>
          <t>так</t>
        </is>
      </c>
      <c r="G147" s="14" t="n">
        <v>349</v>
      </c>
      <c r="H147" s="15" t="inlineStr">
        <is>
          <t>ні</t>
        </is>
      </c>
      <c r="I147" s="16" t="n">
        <v>217.8</v>
      </c>
      <c r="J147" s="15" t="inlineStr">
        <is>
          <t>ні</t>
        </is>
      </c>
      <c r="K147" s="13" t="inlineStr">
        <is>
          <t>Клуб Рослин</t>
        </is>
      </c>
      <c r="L147" s="14" t="n">
        <v>217.8</v>
      </c>
      <c r="M147" s="14">
        <f>IF(L147="","",E147-L147)</f>
        <v/>
      </c>
      <c r="N147" s="17">
        <f>IF(OR(L147="",L147=0),"",M147/L147)</f>
        <v/>
      </c>
      <c r="O147" s="14" t="n"/>
      <c r="P147" s="13" t="n">
        <v>0</v>
      </c>
      <c r="Q147" s="13" t="n">
        <v>1</v>
      </c>
      <c r="R147" s="13" t="inlineStr">
        <is>
          <t>код</t>
        </is>
      </c>
      <c r="S147" s="18" t="inlineStr">
        <is>
          <t>відкрити</t>
        </is>
      </c>
    </row>
    <row r="148">
      <c r="A148" s="11" t="inlineStr">
        <is>
          <t>Ваша ціна вища</t>
        </is>
      </c>
      <c r="B148" s="12" t="inlineStr">
        <is>
          <t>Ваша ціна вища на 300 грн (60.1%)</t>
        </is>
      </c>
      <c r="C148" s="13" t="inlineStr">
        <is>
          <t>1051600</t>
        </is>
      </c>
      <c r="D148" s="12" t="inlineStr">
        <is>
          <t>Ножиці для квітів Фіскарс / Fiskars Solid Micro-Tip SP13 (1051600) Фінляндія</t>
        </is>
      </c>
      <c r="E148" s="14" t="n">
        <v>799</v>
      </c>
      <c r="F148" s="15" t="inlineStr">
        <is>
          <t>ні</t>
        </is>
      </c>
      <c r="G148" s="16" t="n">
        <v>499</v>
      </c>
      <c r="H148" s="15" t="inlineStr">
        <is>
          <t>ні</t>
        </is>
      </c>
      <c r="I148" s="14" t="n"/>
      <c r="J148" s="13" t="inlineStr"/>
      <c r="K148" s="13" t="inlineStr">
        <is>
          <t>Водоспад</t>
        </is>
      </c>
      <c r="L148" s="14" t="n">
        <v>499</v>
      </c>
      <c r="M148" s="14">
        <f>IF(L148="","",E148-L148)</f>
        <v/>
      </c>
      <c r="N148" s="17">
        <f>IF(OR(L148="",L148=0),"",M148/L148)</f>
        <v/>
      </c>
      <c r="O148" s="14" t="n"/>
      <c r="P148" s="13" t="n">
        <v>0</v>
      </c>
      <c r="Q148" s="13" t="n">
        <v>1</v>
      </c>
      <c r="R148" s="13" t="inlineStr">
        <is>
          <t>код</t>
        </is>
      </c>
      <c r="S148" s="18" t="inlineStr">
        <is>
          <t>відкрити</t>
        </is>
      </c>
    </row>
    <row r="149">
      <c r="A149" s="11" t="inlineStr">
        <is>
          <t>Ваша ціна вища</t>
        </is>
      </c>
      <c r="B149" s="12" t="inlineStr">
        <is>
          <t>Ваша ціна вища на 1500 грн (60.0%)</t>
        </is>
      </c>
      <c r="C149" s="13" t="inlineStr">
        <is>
          <t>1020204</t>
        </is>
      </c>
      <c r="D149" s="12" t="inlineStr">
        <is>
          <t>Секатор професійний Фіскарс Fiskars PB-8 M 111850 (1020204) Фінляндія</t>
        </is>
      </c>
      <c r="E149" s="14" t="n">
        <v>3999</v>
      </c>
      <c r="F149" s="15" t="inlineStr">
        <is>
          <t>ні</t>
        </is>
      </c>
      <c r="G149" s="16" t="n">
        <v>2499</v>
      </c>
      <c r="H149" s="15" t="inlineStr">
        <is>
          <t>ні</t>
        </is>
      </c>
      <c r="I149" s="14" t="n"/>
      <c r="J149" s="13" t="inlineStr"/>
      <c r="K149" s="13" t="inlineStr">
        <is>
          <t>Водоспад</t>
        </is>
      </c>
      <c r="L149" s="14" t="n">
        <v>2499</v>
      </c>
      <c r="M149" s="14">
        <f>IF(L149="","",E149-L149)</f>
        <v/>
      </c>
      <c r="N149" s="17">
        <f>IF(OR(L149="",L149=0),"",M149/L149)</f>
        <v/>
      </c>
      <c r="O149" s="14" t="n"/>
      <c r="P149" s="13" t="n">
        <v>0</v>
      </c>
      <c r="Q149" s="13" t="n">
        <v>1</v>
      </c>
      <c r="R149" s="13" t="inlineStr">
        <is>
          <t>код</t>
        </is>
      </c>
      <c r="S149" s="18" t="inlineStr">
        <is>
          <t>відкрити</t>
        </is>
      </c>
    </row>
    <row r="150">
      <c r="A150" s="11" t="inlineStr">
        <is>
          <t>Ваша ціна вища</t>
        </is>
      </c>
      <c r="B150" s="12" t="inlineStr">
        <is>
          <t>Ваша ціна вища на 1662.4 грн (58.9%); Немає в наявності в жодного постачальника</t>
        </is>
      </c>
      <c r="C150" s="13" t="inlineStr">
        <is>
          <t>7447</t>
        </is>
      </c>
      <c r="D150" s="12" t="inlineStr">
        <is>
          <t>Добриво GroGreen NPK 15-30-15+2MgO+TE 25 кг Lima Бельгія</t>
        </is>
      </c>
      <c r="E150" s="14" t="n">
        <v>4485</v>
      </c>
      <c r="F150" s="13" t="inlineStr">
        <is>
          <t>так</t>
        </is>
      </c>
      <c r="G150" s="14" t="n"/>
      <c r="H150" s="13" t="inlineStr"/>
      <c r="I150" s="16" t="n">
        <v>2822.6</v>
      </c>
      <c r="J150" s="15" t="inlineStr">
        <is>
          <t>ні</t>
        </is>
      </c>
      <c r="K150" s="13" t="inlineStr">
        <is>
          <t>Клуб Рослин</t>
        </is>
      </c>
      <c r="L150" s="14" t="n">
        <v>2822.6</v>
      </c>
      <c r="M150" s="14">
        <f>IF(L150="","",E150-L150)</f>
        <v/>
      </c>
      <c r="N150" s="17">
        <f>IF(OR(L150="",L150=0),"",M150/L150)</f>
        <v/>
      </c>
      <c r="O150" s="14" t="n"/>
      <c r="P150" s="13" t="n">
        <v>0</v>
      </c>
      <c r="Q150" s="13" t="n">
        <v>1</v>
      </c>
      <c r="R150" s="13" t="inlineStr">
        <is>
          <t>код</t>
        </is>
      </c>
      <c r="S150" s="18" t="inlineStr">
        <is>
          <t>відкрити</t>
        </is>
      </c>
    </row>
    <row r="151">
      <c r="A151" s="11" t="inlineStr">
        <is>
          <t>Ваша ціна вища</t>
        </is>
      </c>
      <c r="B151" s="12" t="inlineStr">
        <is>
          <t>Ваша ціна вища на 200 грн (58.8%); Немає в наявності в жодного постачальника</t>
        </is>
      </c>
      <c r="C151" s="13" t="inlineStr">
        <is>
          <t>4-272-05-3-2</t>
        </is>
      </c>
      <c r="D151" s="12" t="inlineStr">
        <is>
          <t>Напилок ромбічний заточувальний 125 мм "WASA" 4-272-05-3-2 BAHCO для пил</t>
        </is>
      </c>
      <c r="E151" s="14" t="n">
        <v>540</v>
      </c>
      <c r="F151" s="13" t="inlineStr">
        <is>
          <t>так</t>
        </is>
      </c>
      <c r="G151" s="16" t="n">
        <v>340</v>
      </c>
      <c r="H151" s="15" t="inlineStr">
        <is>
          <t>ні</t>
        </is>
      </c>
      <c r="I151" s="14" t="n"/>
      <c r="J151" s="13" t="inlineStr"/>
      <c r="K151" s="13" t="inlineStr">
        <is>
          <t>Водоспад</t>
        </is>
      </c>
      <c r="L151" s="14" t="n">
        <v>340</v>
      </c>
      <c r="M151" s="14">
        <f>IF(L151="","",E151-L151)</f>
        <v/>
      </c>
      <c r="N151" s="17">
        <f>IF(OR(L151="",L151=0),"",M151/L151)</f>
        <v/>
      </c>
      <c r="O151" s="14" t="n"/>
      <c r="P151" s="13" t="n">
        <v>0</v>
      </c>
      <c r="Q151" s="13" t="n">
        <v>1</v>
      </c>
      <c r="R151" s="13" t="inlineStr">
        <is>
          <t>код</t>
        </is>
      </c>
      <c r="S151" s="18" t="inlineStr">
        <is>
          <t>відкрити</t>
        </is>
      </c>
    </row>
    <row r="152">
      <c r="A152" s="11" t="inlineStr">
        <is>
          <t>Ваша ціна вища</t>
        </is>
      </c>
      <c r="B152" s="12" t="inlineStr">
        <is>
          <t>Ваша ціна вища на 350 грн (58.4%); Немає в наявності в жодного постачальника</t>
        </is>
      </c>
      <c r="C152" s="13" t="inlineStr">
        <is>
          <t>1023618</t>
        </is>
      </c>
      <c r="D152" s="12" t="inlineStr">
        <is>
          <t>Ніж Фіскарс Fiskars з точилкою (156017) 1023618 Фінляндія</t>
        </is>
      </c>
      <c r="E152" s="14" t="n">
        <v>949</v>
      </c>
      <c r="F152" s="13" t="inlineStr">
        <is>
          <t>так</t>
        </is>
      </c>
      <c r="G152" s="16" t="n">
        <v>599</v>
      </c>
      <c r="H152" s="15" t="inlineStr">
        <is>
          <t>ні</t>
        </is>
      </c>
      <c r="I152" s="14" t="n"/>
      <c r="J152" s="13" t="inlineStr"/>
      <c r="K152" s="13" t="inlineStr">
        <is>
          <t>Водоспад</t>
        </is>
      </c>
      <c r="L152" s="14" t="n">
        <v>599</v>
      </c>
      <c r="M152" s="14">
        <f>IF(L152="","",E152-L152)</f>
        <v/>
      </c>
      <c r="N152" s="17">
        <f>IF(OR(L152="",L152=0),"",M152/L152)</f>
        <v/>
      </c>
      <c r="O152" s="14" t="n"/>
      <c r="P152" s="13" t="n">
        <v>0</v>
      </c>
      <c r="Q152" s="13" t="n">
        <v>1</v>
      </c>
      <c r="R152" s="13" t="inlineStr">
        <is>
          <t>код</t>
        </is>
      </c>
      <c r="S152" s="18" t="inlineStr">
        <is>
          <t>відкрити</t>
        </is>
      </c>
    </row>
    <row r="153">
      <c r="A153" s="11" t="inlineStr">
        <is>
          <t>Ваша ціна вища</t>
        </is>
      </c>
      <c r="B153" s="12" t="inlineStr">
        <is>
          <t>Ваша ціна вища на 472 грн (58.1%)</t>
        </is>
      </c>
      <c r="C153" s="13" t="inlineStr">
        <is>
          <t>2616/N</t>
        </is>
      </c>
      <c r="D153" s="12" t="inlineStr">
        <is>
          <t>Ніж садовий кривий Antonini 16 см сталь - C67 (2616/N) Італія</t>
        </is>
      </c>
      <c r="E153" s="14" t="n">
        <v>1285</v>
      </c>
      <c r="F153" s="15" t="inlineStr">
        <is>
          <t>ні</t>
        </is>
      </c>
      <c r="G153" s="16" t="n">
        <v>813</v>
      </c>
      <c r="H153" s="15" t="inlineStr">
        <is>
          <t>ні</t>
        </is>
      </c>
      <c r="I153" s="14" t="n"/>
      <c r="J153" s="13" t="inlineStr"/>
      <c r="K153" s="13" t="inlineStr">
        <is>
          <t>Водоспад</t>
        </is>
      </c>
      <c r="L153" s="14" t="n">
        <v>813</v>
      </c>
      <c r="M153" s="14">
        <f>IF(L153="","",E153-L153)</f>
        <v/>
      </c>
      <c r="N153" s="17">
        <f>IF(OR(L153="",L153=0),"",M153/L153)</f>
        <v/>
      </c>
      <c r="O153" s="14" t="n"/>
      <c r="P153" s="13" t="n">
        <v>0</v>
      </c>
      <c r="Q153" s="13" t="n">
        <v>1</v>
      </c>
      <c r="R153" s="13" t="inlineStr">
        <is>
          <t>код</t>
        </is>
      </c>
      <c r="S153" s="18" t="inlineStr">
        <is>
          <t>відкрити</t>
        </is>
      </c>
    </row>
    <row r="154">
      <c r="A154" s="11" t="inlineStr">
        <is>
          <t>Ваша ціна вища</t>
        </is>
      </c>
      <c r="B154" s="12" t="inlineStr">
        <is>
          <t>Ваша ціна вища на 550 грн (58.0%); Немає в наявності в жодного постачальника</t>
        </is>
      </c>
      <c r="C154" s="13" t="inlineStr">
        <is>
          <t>1028376</t>
        </is>
      </c>
      <c r="D154" s="12" t="inlineStr">
        <is>
          <t>Пила садова ручна Fiskars Solid SW16 (1028376) Фінляндія</t>
        </is>
      </c>
      <c r="E154" s="14" t="n">
        <v>1499</v>
      </c>
      <c r="F154" s="13" t="inlineStr">
        <is>
          <t>так</t>
        </is>
      </c>
      <c r="G154" s="16" t="n">
        <v>949</v>
      </c>
      <c r="H154" s="15" t="inlineStr">
        <is>
          <t>ні</t>
        </is>
      </c>
      <c r="I154" s="14" t="n"/>
      <c r="J154" s="13" t="inlineStr"/>
      <c r="K154" s="13" t="inlineStr">
        <is>
          <t>Водоспад</t>
        </is>
      </c>
      <c r="L154" s="14" t="n">
        <v>949</v>
      </c>
      <c r="M154" s="14">
        <f>IF(L154="","",E154-L154)</f>
        <v/>
      </c>
      <c r="N154" s="17">
        <f>IF(OR(L154="",L154=0),"",M154/L154)</f>
        <v/>
      </c>
      <c r="O154" s="14" t="n"/>
      <c r="P154" s="13" t="n">
        <v>0</v>
      </c>
      <c r="Q154" s="13" t="n">
        <v>1</v>
      </c>
      <c r="R154" s="13" t="inlineStr">
        <is>
          <t>код</t>
        </is>
      </c>
      <c r="S154" s="18" t="inlineStr">
        <is>
          <t>відкрити</t>
        </is>
      </c>
    </row>
    <row r="155">
      <c r="A155" s="11" t="inlineStr">
        <is>
          <t>Ваша ціна вища</t>
        </is>
      </c>
      <c r="B155" s="12" t="inlineStr">
        <is>
          <t>Ваша ціна вища на 2200 грн (57.9%)</t>
        </is>
      </c>
      <c r="C155" s="13" t="inlineStr">
        <is>
          <t>1001705</t>
        </is>
      </c>
      <c r="D155" s="12" t="inlineStr">
        <is>
          <t>Сокира-молот Фіскарс Fiskars X46 (1001705) Фінляндія</t>
        </is>
      </c>
      <c r="E155" s="14" t="n">
        <v>5999</v>
      </c>
      <c r="F155" s="15" t="inlineStr">
        <is>
          <t>ні</t>
        </is>
      </c>
      <c r="G155" s="16" t="n">
        <v>3799</v>
      </c>
      <c r="H155" s="15" t="inlineStr">
        <is>
          <t>ні</t>
        </is>
      </c>
      <c r="I155" s="14" t="n"/>
      <c r="J155" s="13" t="inlineStr"/>
      <c r="K155" s="13" t="inlineStr">
        <is>
          <t>Водоспад</t>
        </is>
      </c>
      <c r="L155" s="14" t="n">
        <v>3799</v>
      </c>
      <c r="M155" s="14">
        <f>IF(L155="","",E155-L155)</f>
        <v/>
      </c>
      <c r="N155" s="17">
        <f>IF(OR(L155="",L155=0),"",M155/L155)</f>
        <v/>
      </c>
      <c r="O155" s="14" t="n"/>
      <c r="P155" s="13" t="n">
        <v>0</v>
      </c>
      <c r="Q155" s="13" t="n">
        <v>1</v>
      </c>
      <c r="R155" s="13" t="inlineStr">
        <is>
          <t>код</t>
        </is>
      </c>
      <c r="S155" s="18" t="inlineStr">
        <is>
          <t>відкрити</t>
        </is>
      </c>
    </row>
    <row r="156">
      <c r="A156" s="11" t="inlineStr">
        <is>
          <t>Ваша ціна вища</t>
        </is>
      </c>
      <c r="B156" s="12" t="inlineStr">
        <is>
          <t>Ваша ціна вища на 800 грн (57.2%); Немає в наявності в жодного постачальника</t>
        </is>
      </c>
      <c r="C156" s="13" t="inlineStr">
        <is>
          <t>1028374</t>
        </is>
      </c>
      <c r="D156" s="12" t="inlineStr">
        <is>
          <t>Пилка садова мала Фіскарс Fiskars SW37 (1028374) Фінляндія</t>
        </is>
      </c>
      <c r="E156" s="14" t="n">
        <v>2199</v>
      </c>
      <c r="F156" s="13" t="inlineStr">
        <is>
          <t>так</t>
        </is>
      </c>
      <c r="G156" s="16" t="n">
        <v>1399</v>
      </c>
      <c r="H156" s="15" t="inlineStr">
        <is>
          <t>ні</t>
        </is>
      </c>
      <c r="I156" s="14" t="n"/>
      <c r="J156" s="13" t="inlineStr"/>
      <c r="K156" s="13" t="inlineStr">
        <is>
          <t>Водоспад</t>
        </is>
      </c>
      <c r="L156" s="14" t="n">
        <v>1399</v>
      </c>
      <c r="M156" s="14">
        <f>IF(L156="","",E156-L156)</f>
        <v/>
      </c>
      <c r="N156" s="17">
        <f>IF(OR(L156="",L156=0),"",M156/L156)</f>
        <v/>
      </c>
      <c r="O156" s="14" t="n"/>
      <c r="P156" s="13" t="n">
        <v>0</v>
      </c>
      <c r="Q156" s="13" t="n">
        <v>1</v>
      </c>
      <c r="R156" s="13" t="inlineStr">
        <is>
          <t>код</t>
        </is>
      </c>
      <c r="S156" s="18" t="inlineStr">
        <is>
          <t>відкрити</t>
        </is>
      </c>
    </row>
    <row r="157">
      <c r="A157" s="11" t="inlineStr">
        <is>
          <t>Ваша ціна вища</t>
        </is>
      </c>
      <c r="B157" s="12" t="inlineStr">
        <is>
          <t>Ваша ціна вища на 1087 грн (57.1%)</t>
        </is>
      </c>
      <c r="C157" s="13" t="inlineStr">
        <is>
          <t>PG-19-F</t>
        </is>
      </c>
      <c r="D157" s="12" t="inlineStr">
        <is>
          <t>Гілкоріз телескопічний Bahco PG-19-F Bahco 700 до 900 мм Бахо</t>
        </is>
      </c>
      <c r="E157" s="14" t="n">
        <v>2992</v>
      </c>
      <c r="F157" s="15" t="inlineStr">
        <is>
          <t>ні</t>
        </is>
      </c>
      <c r="G157" s="16" t="n">
        <v>1905</v>
      </c>
      <c r="H157" s="15" t="inlineStr">
        <is>
          <t>ні</t>
        </is>
      </c>
      <c r="I157" s="14" t="n"/>
      <c r="J157" s="13" t="inlineStr"/>
      <c r="K157" s="13" t="inlineStr">
        <is>
          <t>Водоспад</t>
        </is>
      </c>
      <c r="L157" s="14" t="n">
        <v>1905</v>
      </c>
      <c r="M157" s="14">
        <f>IF(L157="","",E157-L157)</f>
        <v/>
      </c>
      <c r="N157" s="17">
        <f>IF(OR(L157="",L157=0),"",M157/L157)</f>
        <v/>
      </c>
      <c r="O157" s="14" t="n"/>
      <c r="P157" s="13" t="n">
        <v>0</v>
      </c>
      <c r="Q157" s="13" t="n">
        <v>1</v>
      </c>
      <c r="R157" s="13" t="inlineStr">
        <is>
          <t>код</t>
        </is>
      </c>
      <c r="S157" s="18" t="inlineStr">
        <is>
          <t>відкрити</t>
        </is>
      </c>
    </row>
    <row r="158">
      <c r="A158" s="11" t="inlineStr">
        <is>
          <t>Ваша ціна вища</t>
        </is>
      </c>
      <c r="B158" s="12" t="inlineStr">
        <is>
          <t>Ваша ціна вища на 1821 грн (56.9%)</t>
        </is>
      </c>
      <c r="C158" s="13" t="inlineStr">
        <is>
          <t>7523</t>
        </is>
      </c>
      <c r="D158" s="12" t="inlineStr">
        <is>
          <t>Добриво GroGreen Грінта Баланс NPK 20-20-20 + 1% FULVK + TE 25 кг Lima Бельгія</t>
        </is>
      </c>
      <c r="E158" s="14" t="n">
        <v>5021</v>
      </c>
      <c r="F158" s="15" t="inlineStr">
        <is>
          <t>ні</t>
        </is>
      </c>
      <c r="G158" s="14" t="n"/>
      <c r="H158" s="13" t="inlineStr"/>
      <c r="I158" s="16" t="n">
        <v>3200</v>
      </c>
      <c r="J158" s="15" t="inlineStr">
        <is>
          <t>ні</t>
        </is>
      </c>
      <c r="K158" s="13" t="inlineStr">
        <is>
          <t>Клуб Рослин</t>
        </is>
      </c>
      <c r="L158" s="14" t="n">
        <v>3200</v>
      </c>
      <c r="M158" s="14">
        <f>IF(L158="","",E158-L158)</f>
        <v/>
      </c>
      <c r="N158" s="17">
        <f>IF(OR(L158="",L158=0),"",M158/L158)</f>
        <v/>
      </c>
      <c r="O158" s="14" t="n"/>
      <c r="P158" s="13" t="n">
        <v>0</v>
      </c>
      <c r="Q158" s="13" t="n">
        <v>1</v>
      </c>
      <c r="R158" s="13" t="inlineStr">
        <is>
          <t>код</t>
        </is>
      </c>
      <c r="S158" s="18" t="inlineStr">
        <is>
          <t>відкрити</t>
        </is>
      </c>
    </row>
    <row r="159">
      <c r="A159" s="11" t="inlineStr">
        <is>
          <t>Ваша ціна вища</t>
        </is>
      </c>
      <c r="B159" s="12" t="inlineStr">
        <is>
          <t>Ваша ціна вища на 278 грн (55.7%); Немає в наявності в жодного постачальника</t>
        </is>
      </c>
      <c r="C159" s="13" t="inlineStr">
        <is>
          <t>1023617</t>
        </is>
      </c>
      <c r="D159" s="12" t="inlineStr">
        <is>
          <t>Ніж універсальний Фіскарс Fiskars з точилом Hardware (1023617) Фінляндія</t>
        </is>
      </c>
      <c r="E159" s="14" t="n">
        <v>777</v>
      </c>
      <c r="F159" s="13" t="inlineStr">
        <is>
          <t>так</t>
        </is>
      </c>
      <c r="G159" s="16" t="n">
        <v>499</v>
      </c>
      <c r="H159" s="15" t="inlineStr">
        <is>
          <t>ні</t>
        </is>
      </c>
      <c r="I159" s="14" t="n"/>
      <c r="J159" s="13" t="inlineStr"/>
      <c r="K159" s="13" t="inlineStr">
        <is>
          <t>Водоспад</t>
        </is>
      </c>
      <c r="L159" s="14" t="n">
        <v>499</v>
      </c>
      <c r="M159" s="14">
        <f>IF(L159="","",E159-L159)</f>
        <v/>
      </c>
      <c r="N159" s="17">
        <f>IF(OR(L159="",L159=0),"",M159/L159)</f>
        <v/>
      </c>
      <c r="O159" s="14" t="n"/>
      <c r="P159" s="13" t="n">
        <v>0</v>
      </c>
      <c r="Q159" s="13" t="n">
        <v>1</v>
      </c>
      <c r="R159" s="13" t="inlineStr">
        <is>
          <t>код</t>
        </is>
      </c>
      <c r="S159" s="18" t="inlineStr">
        <is>
          <t>відкрити</t>
        </is>
      </c>
    </row>
    <row r="160">
      <c r="A160" s="11" t="inlineStr">
        <is>
          <t>Ваша ціна вища</t>
        </is>
      </c>
      <c r="B160" s="12" t="inlineStr">
        <is>
          <t>Ваша ціна вища на 640 грн (55.2%)</t>
        </is>
      </c>
      <c r="C160" s="13" t="inlineStr">
        <is>
          <t>3.91.40</t>
        </is>
      </c>
      <c r="D160" s="12" t="inlineStr">
        <is>
          <t>​​​​​​​Ніж для щеплення Victorinox 3.91.40 Швейцарія</t>
        </is>
      </c>
      <c r="E160" s="14" t="n">
        <v>1799</v>
      </c>
      <c r="F160" s="15" t="inlineStr">
        <is>
          <t>ні</t>
        </is>
      </c>
      <c r="G160" s="16" t="n">
        <v>1159</v>
      </c>
      <c r="H160" s="15" t="inlineStr">
        <is>
          <t>ні</t>
        </is>
      </c>
      <c r="I160" s="14" t="n"/>
      <c r="J160" s="13" t="inlineStr"/>
      <c r="K160" s="13" t="inlineStr">
        <is>
          <t>Водоспад</t>
        </is>
      </c>
      <c r="L160" s="14" t="n">
        <v>1159</v>
      </c>
      <c r="M160" s="14">
        <f>IF(L160="","",E160-L160)</f>
        <v/>
      </c>
      <c r="N160" s="17">
        <f>IF(OR(L160="",L160=0),"",M160/L160)</f>
        <v/>
      </c>
      <c r="O160" s="14" t="n"/>
      <c r="P160" s="13" t="n">
        <v>0</v>
      </c>
      <c r="Q160" s="13" t="n">
        <v>1</v>
      </c>
      <c r="R160" s="13" t="inlineStr">
        <is>
          <t>код</t>
        </is>
      </c>
      <c r="S160" s="18" t="inlineStr">
        <is>
          <t>відкрити</t>
        </is>
      </c>
    </row>
    <row r="161">
      <c r="A161" s="11" t="inlineStr">
        <is>
          <t>Ваша ціна вища</t>
        </is>
      </c>
      <c r="B161" s="12" t="inlineStr">
        <is>
          <t>Ваша ціна вища на 1689.8 грн (54.2%)</t>
        </is>
      </c>
      <c r="C161" s="13" t="inlineStr">
        <is>
          <t>7451</t>
        </is>
      </c>
      <c r="D161" s="12" t="inlineStr">
        <is>
          <t>Добриво GroGreen NPK 18-18-18+3MgO+TE 25 кг Lima Бельгія</t>
        </is>
      </c>
      <c r="E161" s="14" t="n">
        <v>4805</v>
      </c>
      <c r="F161" s="15" t="inlineStr">
        <is>
          <t>ні</t>
        </is>
      </c>
      <c r="G161" s="14" t="n"/>
      <c r="H161" s="13" t="inlineStr"/>
      <c r="I161" s="16" t="n">
        <v>3115.2</v>
      </c>
      <c r="J161" s="15" t="inlineStr">
        <is>
          <t>ні</t>
        </is>
      </c>
      <c r="K161" s="13" t="inlineStr">
        <is>
          <t>Клуб Рослин</t>
        </is>
      </c>
      <c r="L161" s="14" t="n">
        <v>3115.2</v>
      </c>
      <c r="M161" s="14">
        <f>IF(L161="","",E161-L161)</f>
        <v/>
      </c>
      <c r="N161" s="17">
        <f>IF(OR(L161="",L161=0),"",M161/L161)</f>
        <v/>
      </c>
      <c r="O161" s="14" t="n"/>
      <c r="P161" s="13" t="n">
        <v>0</v>
      </c>
      <c r="Q161" s="13" t="n">
        <v>1</v>
      </c>
      <c r="R161" s="13" t="inlineStr">
        <is>
          <t>код</t>
        </is>
      </c>
      <c r="S161" s="18" t="inlineStr">
        <is>
          <t>відкрити</t>
        </is>
      </c>
    </row>
    <row r="162">
      <c r="A162" s="11" t="inlineStr">
        <is>
          <t>Ваша ціна вища</t>
        </is>
      </c>
      <c r="B162" s="12" t="inlineStr">
        <is>
          <t>Ваша ціна вища на 2000 грн (54.1%)</t>
        </is>
      </c>
      <c r="C162" s="13" t="inlineStr">
        <is>
          <t>1015644</t>
        </is>
      </c>
      <c r="D162" s="12" t="inlineStr">
        <is>
          <t>Сокира-колун Фіскарс Fiskars X27 XXL 122503 (1015644) Фінляндія</t>
        </is>
      </c>
      <c r="E162" s="14" t="n">
        <v>5699</v>
      </c>
      <c r="F162" s="15" t="inlineStr">
        <is>
          <t>ні</t>
        </is>
      </c>
      <c r="G162" s="16" t="n">
        <v>3699</v>
      </c>
      <c r="H162" s="15" t="inlineStr">
        <is>
          <t>ні</t>
        </is>
      </c>
      <c r="I162" s="14" t="n"/>
      <c r="J162" s="13" t="inlineStr"/>
      <c r="K162" s="13" t="inlineStr">
        <is>
          <t>Водоспад</t>
        </is>
      </c>
      <c r="L162" s="14" t="n">
        <v>3699</v>
      </c>
      <c r="M162" s="14">
        <f>IF(L162="","",E162-L162)</f>
        <v/>
      </c>
      <c r="N162" s="17">
        <f>IF(OR(L162="",L162=0),"",M162/L162)</f>
        <v/>
      </c>
      <c r="O162" s="14" t="n"/>
      <c r="P162" s="13" t="n">
        <v>0</v>
      </c>
      <c r="Q162" s="13" t="n">
        <v>1</v>
      </c>
      <c r="R162" s="13" t="inlineStr">
        <is>
          <t>код</t>
        </is>
      </c>
      <c r="S162" s="18" t="inlineStr">
        <is>
          <t>відкрити</t>
        </is>
      </c>
    </row>
    <row r="163">
      <c r="A163" s="11" t="inlineStr">
        <is>
          <t>Ваша ціна вища</t>
        </is>
      </c>
      <c r="B163" s="12" t="inlineStr">
        <is>
          <t>Ваша ціна вища на 700 грн (53.9%)</t>
        </is>
      </c>
      <c r="C163" s="13" t="inlineStr">
        <is>
          <t>1001574</t>
        </is>
      </c>
      <c r="D163" s="12" t="inlineStr">
        <is>
          <t>Лопата штикова 70 мм Фіскарс / Fiskars (1001574) Фінляндія</t>
        </is>
      </c>
      <c r="E163" s="14" t="n">
        <v>1999</v>
      </c>
      <c r="F163" s="15" t="inlineStr">
        <is>
          <t>ні</t>
        </is>
      </c>
      <c r="G163" s="16" t="n">
        <v>1299</v>
      </c>
      <c r="H163" s="15" t="inlineStr">
        <is>
          <t>ні</t>
        </is>
      </c>
      <c r="I163" s="14" t="n"/>
      <c r="J163" s="13" t="inlineStr"/>
      <c r="K163" s="13" t="inlineStr">
        <is>
          <t>Водоспад</t>
        </is>
      </c>
      <c r="L163" s="14" t="n">
        <v>1299</v>
      </c>
      <c r="M163" s="14">
        <f>IF(L163="","",E163-L163)</f>
        <v/>
      </c>
      <c r="N163" s="17">
        <f>IF(OR(L163="",L163=0),"",M163/L163)</f>
        <v/>
      </c>
      <c r="O163" s="14" t="n"/>
      <c r="P163" s="13" t="n">
        <v>0</v>
      </c>
      <c r="Q163" s="13" t="n">
        <v>1</v>
      </c>
      <c r="R163" s="13" t="inlineStr">
        <is>
          <t>код</t>
        </is>
      </c>
      <c r="S163" s="18" t="inlineStr">
        <is>
          <t>відкрити</t>
        </is>
      </c>
    </row>
    <row r="164">
      <c r="A164" s="11" t="inlineStr">
        <is>
          <t>Ваша ціна вища</t>
        </is>
      </c>
      <c r="B164" s="12" t="inlineStr">
        <is>
          <t>Ваша ціна вища на 1300 грн (52.0%)</t>
        </is>
      </c>
      <c r="C164" s="13" t="inlineStr">
        <is>
          <t>1020186</t>
        </is>
      </c>
      <c r="D164" s="12" t="inlineStr">
        <is>
          <t>Гілкоріз площинний Фіскарс / Fiskars PowerGearX (S) LX92 112260 (1020186) Фінляндія</t>
        </is>
      </c>
      <c r="E164" s="14" t="n">
        <v>3799</v>
      </c>
      <c r="F164" s="15" t="inlineStr">
        <is>
          <t>ні</t>
        </is>
      </c>
      <c r="G164" s="16" t="n">
        <v>2499</v>
      </c>
      <c r="H164" s="15" t="inlineStr">
        <is>
          <t>ні</t>
        </is>
      </c>
      <c r="I164" s="14" t="n"/>
      <c r="J164" s="13" t="inlineStr"/>
      <c r="K164" s="13" t="inlineStr">
        <is>
          <t>Водоспад</t>
        </is>
      </c>
      <c r="L164" s="14" t="n">
        <v>2499</v>
      </c>
      <c r="M164" s="14">
        <f>IF(L164="","",E164-L164)</f>
        <v/>
      </c>
      <c r="N164" s="17">
        <f>IF(OR(L164="",L164=0),"",M164/L164)</f>
        <v/>
      </c>
      <c r="O164" s="14" t="n"/>
      <c r="P164" s="13" t="n">
        <v>0</v>
      </c>
      <c r="Q164" s="13" t="n">
        <v>1</v>
      </c>
      <c r="R164" s="13" t="inlineStr">
        <is>
          <t>код</t>
        </is>
      </c>
      <c r="S164" s="18" t="inlineStr">
        <is>
          <t>відкрити</t>
        </is>
      </c>
    </row>
    <row r="165">
      <c r="A165" s="11" t="inlineStr">
        <is>
          <t>Ваша ціна вища</t>
        </is>
      </c>
      <c r="B165" s="12" t="inlineStr">
        <is>
          <t>Ваша ціна вища на 850 грн (51.5%)</t>
        </is>
      </c>
      <c r="C165" s="13" t="inlineStr">
        <is>
          <t>1020127</t>
        </is>
      </c>
      <c r="D165" s="12" t="inlineStr">
        <is>
          <t>Інструмент для видалення бур’янів Фіскарс / Fiskars White полегшений 139940 (1020127) Фінляндія</t>
        </is>
      </c>
      <c r="E165" s="14" t="n">
        <v>2499</v>
      </c>
      <c r="F165" s="15" t="inlineStr">
        <is>
          <t>ні</t>
        </is>
      </c>
      <c r="G165" s="16" t="n">
        <v>1649</v>
      </c>
      <c r="H165" s="15" t="inlineStr">
        <is>
          <t>ні</t>
        </is>
      </c>
      <c r="I165" s="14" t="n"/>
      <c r="J165" s="13" t="inlineStr"/>
      <c r="K165" s="13" t="inlineStr">
        <is>
          <t>Водоспад</t>
        </is>
      </c>
      <c r="L165" s="14" t="n">
        <v>1649</v>
      </c>
      <c r="M165" s="14">
        <f>IF(L165="","",E165-L165)</f>
        <v/>
      </c>
      <c r="N165" s="17">
        <f>IF(OR(L165="",L165=0),"",M165/L165)</f>
        <v/>
      </c>
      <c r="O165" s="14" t="n"/>
      <c r="P165" s="13" t="n">
        <v>0</v>
      </c>
      <c r="Q165" s="13" t="n">
        <v>1</v>
      </c>
      <c r="R165" s="13" t="inlineStr">
        <is>
          <t>код</t>
        </is>
      </c>
      <c r="S165" s="18" t="inlineStr">
        <is>
          <t>відкрити</t>
        </is>
      </c>
    </row>
    <row r="166">
      <c r="A166" s="11" t="inlineStr">
        <is>
          <t>Ваша ціна вища</t>
        </is>
      </c>
      <c r="B166" s="12" t="inlineStr">
        <is>
          <t>Ваша ціна вища на 1085 грн (51.4%); Немає в наявності в жодного постачальника</t>
        </is>
      </c>
      <c r="C166" s="13" t="inlineStr">
        <is>
          <t>P34-37</t>
        </is>
      </c>
      <c r="D166" s="12" t="inlineStr">
        <is>
          <t>Висоторіз Bahco P34-37 Бахо</t>
        </is>
      </c>
      <c r="E166" s="14" t="n">
        <v>3195</v>
      </c>
      <c r="F166" s="13" t="inlineStr">
        <is>
          <t>так</t>
        </is>
      </c>
      <c r="G166" s="16" t="n">
        <v>2110</v>
      </c>
      <c r="H166" s="15" t="inlineStr">
        <is>
          <t>ні</t>
        </is>
      </c>
      <c r="I166" s="14" t="n"/>
      <c r="J166" s="13" t="inlineStr"/>
      <c r="K166" s="13" t="inlineStr">
        <is>
          <t>Водоспад</t>
        </is>
      </c>
      <c r="L166" s="14" t="n">
        <v>2110</v>
      </c>
      <c r="M166" s="14">
        <f>IF(L166="","",E166-L166)</f>
        <v/>
      </c>
      <c r="N166" s="17">
        <f>IF(OR(L166="",L166=0),"",M166/L166)</f>
        <v/>
      </c>
      <c r="O166" s="14" t="n"/>
      <c r="P166" s="13" t="n">
        <v>0</v>
      </c>
      <c r="Q166" s="13" t="n">
        <v>1</v>
      </c>
      <c r="R166" s="13" t="inlineStr">
        <is>
          <t>код</t>
        </is>
      </c>
      <c r="S166" s="18" t="inlineStr">
        <is>
          <t>відкрити</t>
        </is>
      </c>
    </row>
    <row r="167">
      <c r="A167" s="11" t="inlineStr">
        <is>
          <t>Ваша ціна вища</t>
        </is>
      </c>
      <c r="B167" s="12" t="inlineStr">
        <is>
          <t>Ваша ціна вища на 1645 грн (51.4%); Немає в наявності в жодного постачальника</t>
        </is>
      </c>
      <c r="C167" s="13" t="inlineStr">
        <is>
          <t>7899</t>
        </is>
      </c>
      <c r="D167" s="12" t="inlineStr">
        <is>
          <t>Добриво Леда / Leda NPK 13-40-13+1MgO+TE+GS+Amino 25 кг Нідерланди</t>
        </is>
      </c>
      <c r="E167" s="14" t="n">
        <v>4845</v>
      </c>
      <c r="F167" s="13" t="inlineStr">
        <is>
          <t>так</t>
        </is>
      </c>
      <c r="G167" s="14" t="n"/>
      <c r="H167" s="13" t="inlineStr"/>
      <c r="I167" s="16" t="n">
        <v>3200</v>
      </c>
      <c r="J167" s="15" t="inlineStr">
        <is>
          <t>ні</t>
        </is>
      </c>
      <c r="K167" s="13" t="inlineStr">
        <is>
          <t>Клуб Рослин</t>
        </is>
      </c>
      <c r="L167" s="14" t="n">
        <v>3200</v>
      </c>
      <c r="M167" s="14">
        <f>IF(L167="","",E167-L167)</f>
        <v/>
      </c>
      <c r="N167" s="17">
        <f>IF(OR(L167="",L167=0),"",M167/L167)</f>
        <v/>
      </c>
      <c r="O167" s="14" t="n"/>
      <c r="P167" s="13" t="n">
        <v>0</v>
      </c>
      <c r="Q167" s="13" t="n">
        <v>1</v>
      </c>
      <c r="R167" s="13" t="inlineStr">
        <is>
          <t>код</t>
        </is>
      </c>
      <c r="S167" s="18" t="inlineStr">
        <is>
          <t>відкрити</t>
        </is>
      </c>
    </row>
    <row r="168">
      <c r="A168" s="11" t="inlineStr">
        <is>
          <t>Ваша ціна вища</t>
        </is>
      </c>
      <c r="B168" s="12" t="inlineStr">
        <is>
          <t>Ваша ціна вища на 539 грн (50.8%); Немає в наявності в жодного постачальника</t>
        </is>
      </c>
      <c r="C168" s="13" t="inlineStr">
        <is>
          <t>1001530</t>
        </is>
      </c>
      <c r="D168" s="12" t="inlineStr">
        <is>
          <t>Секатор професійний Фіскарс Fiskars P90 111960 (1001530) Фінляндія</t>
        </is>
      </c>
      <c r="E168" s="14" t="n">
        <v>1599</v>
      </c>
      <c r="F168" s="13" t="inlineStr">
        <is>
          <t>так</t>
        </is>
      </c>
      <c r="G168" s="14" t="n">
        <v>1599</v>
      </c>
      <c r="H168" s="15" t="inlineStr">
        <is>
          <t>ні</t>
        </is>
      </c>
      <c r="I168" s="16" t="n">
        <v>1060</v>
      </c>
      <c r="J168" s="15" t="inlineStr">
        <is>
          <t>ні</t>
        </is>
      </c>
      <c r="K168" s="13" t="inlineStr">
        <is>
          <t>Клуб Рослин</t>
        </is>
      </c>
      <c r="L168" s="14" t="n">
        <v>1060</v>
      </c>
      <c r="M168" s="14">
        <f>IF(L168="","",E168-L168)</f>
        <v/>
      </c>
      <c r="N168" s="17">
        <f>IF(OR(L168="",L168=0),"",M168/L168)</f>
        <v/>
      </c>
      <c r="O168" s="14" t="n"/>
      <c r="P168" s="13" t="n">
        <v>0</v>
      </c>
      <c r="Q168" s="13" t="n">
        <v>1</v>
      </c>
      <c r="R168" s="13" t="inlineStr">
        <is>
          <t>код</t>
        </is>
      </c>
      <c r="S168" s="18" t="inlineStr">
        <is>
          <t>відкрити</t>
        </is>
      </c>
    </row>
    <row r="169">
      <c r="A169" s="11" t="inlineStr">
        <is>
          <t>Ваша ціна вища</t>
        </is>
      </c>
      <c r="B169" s="12" t="inlineStr">
        <is>
          <t>Ваша ціна вища на 500 грн (50.1%)</t>
        </is>
      </c>
      <c r="C169" s="13" t="inlineStr">
        <is>
          <t>1016035</t>
        </is>
      </c>
      <c r="D169" s="12" t="inlineStr">
        <is>
          <t>Мотика Фіскарс Fiskars Solid 135713 (1016035) Фінляндія</t>
        </is>
      </c>
      <c r="E169" s="14" t="n">
        <v>1499</v>
      </c>
      <c r="F169" s="15" t="inlineStr">
        <is>
          <t>ні</t>
        </is>
      </c>
      <c r="G169" s="16" t="n">
        <v>999</v>
      </c>
      <c r="H169" s="15" t="inlineStr">
        <is>
          <t>ні</t>
        </is>
      </c>
      <c r="I169" s="14" t="n"/>
      <c r="J169" s="13" t="inlineStr"/>
      <c r="K169" s="13" t="inlineStr">
        <is>
          <t>Водоспад</t>
        </is>
      </c>
      <c r="L169" s="14" t="n">
        <v>999</v>
      </c>
      <c r="M169" s="14">
        <f>IF(L169="","",E169-L169)</f>
        <v/>
      </c>
      <c r="N169" s="17">
        <f>IF(OR(L169="",L169=0),"",M169/L169)</f>
        <v/>
      </c>
      <c r="O169" s="14" t="n"/>
      <c r="P169" s="13" t="n">
        <v>0</v>
      </c>
      <c r="Q169" s="13" t="n">
        <v>1</v>
      </c>
      <c r="R169" s="13" t="inlineStr">
        <is>
          <t>код</t>
        </is>
      </c>
      <c r="S169" s="18" t="inlineStr">
        <is>
          <t>відкрити</t>
        </is>
      </c>
    </row>
    <row r="170">
      <c r="A170" s="11" t="inlineStr">
        <is>
          <t>Ваша ціна вища</t>
        </is>
      </c>
      <c r="B170" s="12" t="inlineStr">
        <is>
          <t>Ваша ціна вища на 500 грн (50.1%)</t>
        </is>
      </c>
      <c r="C170" s="13" t="inlineStr">
        <is>
          <t>1026826</t>
        </is>
      </c>
      <c r="D170" s="12" t="inlineStr">
        <is>
          <t>Ножиці для трави Фіскарс / Fiskars Solid GS21 (1026826) Фінляндія</t>
        </is>
      </c>
      <c r="E170" s="14" t="n">
        <v>1499</v>
      </c>
      <c r="F170" s="15" t="inlineStr">
        <is>
          <t>ні</t>
        </is>
      </c>
      <c r="G170" s="16" t="n">
        <v>999</v>
      </c>
      <c r="H170" s="15" t="inlineStr">
        <is>
          <t>ні</t>
        </is>
      </c>
      <c r="I170" s="14" t="n"/>
      <c r="J170" s="13" t="inlineStr"/>
      <c r="K170" s="13" t="inlineStr">
        <is>
          <t>Водоспад</t>
        </is>
      </c>
      <c r="L170" s="14" t="n">
        <v>999</v>
      </c>
      <c r="M170" s="14">
        <f>IF(L170="","",E170-L170)</f>
        <v/>
      </c>
      <c r="N170" s="17">
        <f>IF(OR(L170="",L170=0),"",M170/L170)</f>
        <v/>
      </c>
      <c r="O170" s="14" t="n"/>
      <c r="P170" s="13" t="n">
        <v>0</v>
      </c>
      <c r="Q170" s="13" t="n">
        <v>1</v>
      </c>
      <c r="R170" s="13" t="inlineStr">
        <is>
          <t>код</t>
        </is>
      </c>
      <c r="S170" s="18" t="inlineStr">
        <is>
          <t>відкрити</t>
        </is>
      </c>
    </row>
    <row r="171">
      <c r="A171" s="11" t="inlineStr">
        <is>
          <t>Ваша ціна вища</t>
        </is>
      </c>
      <c r="B171" s="12" t="inlineStr">
        <is>
          <t>Ваша ціна вища на 1000 грн (50.0%)</t>
        </is>
      </c>
      <c r="C171" s="13" t="inlineStr">
        <is>
          <t>1020126</t>
        </is>
      </c>
      <c r="D171" s="12" t="inlineStr">
        <is>
          <t>Інструмент для видалення бур’янів Фіскарс / Fiskars Xact 139950 (1020126) Фінляндія</t>
        </is>
      </c>
      <c r="E171" s="14" t="n">
        <v>2999</v>
      </c>
      <c r="F171" s="15" t="inlineStr">
        <is>
          <t>ні</t>
        </is>
      </c>
      <c r="G171" s="16" t="n">
        <v>1999</v>
      </c>
      <c r="H171" s="15" t="inlineStr">
        <is>
          <t>ні</t>
        </is>
      </c>
      <c r="I171" s="14" t="n"/>
      <c r="J171" s="13" t="inlineStr"/>
      <c r="K171" s="13" t="inlineStr">
        <is>
          <t>Водоспад</t>
        </is>
      </c>
      <c r="L171" s="14" t="n">
        <v>1999</v>
      </c>
      <c r="M171" s="14">
        <f>IF(L171="","",E171-L171)</f>
        <v/>
      </c>
      <c r="N171" s="17">
        <f>IF(OR(L171="",L171=0),"",M171/L171)</f>
        <v/>
      </c>
      <c r="O171" s="14" t="n"/>
      <c r="P171" s="13" t="n">
        <v>0</v>
      </c>
      <c r="Q171" s="13" t="n">
        <v>1</v>
      </c>
      <c r="R171" s="13" t="inlineStr">
        <is>
          <t>код</t>
        </is>
      </c>
      <c r="S171" s="18" t="inlineStr">
        <is>
          <t>відкрити</t>
        </is>
      </c>
    </row>
    <row r="172">
      <c r="A172" s="11" t="inlineStr">
        <is>
          <t>Ваша ціна вища</t>
        </is>
      </c>
      <c r="B172" s="12" t="inlineStr">
        <is>
          <t>Ваша ціна вища на 1200 грн (50.0%); Немає в наявності в жодного постачальника</t>
        </is>
      </c>
      <c r="C172" s="13" t="inlineStr">
        <is>
          <t>1023631</t>
        </is>
      </c>
      <c r="D172" s="12" t="inlineStr">
        <is>
          <t>Ножиці для живоплоту Фіскарс / Fiskars PowerGear X HSX92 114006 (1023631) Фінляндія</t>
        </is>
      </c>
      <c r="E172" s="14" t="n">
        <v>3599</v>
      </c>
      <c r="F172" s="13" t="inlineStr">
        <is>
          <t>так</t>
        </is>
      </c>
      <c r="G172" s="16" t="n">
        <v>2399</v>
      </c>
      <c r="H172" s="15" t="inlineStr">
        <is>
          <t>ні</t>
        </is>
      </c>
      <c r="I172" s="14" t="n"/>
      <c r="J172" s="13" t="inlineStr"/>
      <c r="K172" s="13" t="inlineStr">
        <is>
          <t>Водоспад</t>
        </is>
      </c>
      <c r="L172" s="14" t="n">
        <v>2399</v>
      </c>
      <c r="M172" s="14">
        <f>IF(L172="","",E172-L172)</f>
        <v/>
      </c>
      <c r="N172" s="17">
        <f>IF(OR(L172="",L172=0),"",M172/L172)</f>
        <v/>
      </c>
      <c r="O172" s="14" t="n"/>
      <c r="P172" s="13" t="n">
        <v>0</v>
      </c>
      <c r="Q172" s="13" t="n">
        <v>1</v>
      </c>
      <c r="R172" s="13" t="inlineStr">
        <is>
          <t>код</t>
        </is>
      </c>
      <c r="S172" s="18" t="inlineStr">
        <is>
          <t>відкрити</t>
        </is>
      </c>
    </row>
    <row r="173">
      <c r="A173" s="11" t="inlineStr">
        <is>
          <t>Ваша ціна вища</t>
        </is>
      </c>
      <c r="B173" s="12" t="inlineStr">
        <is>
          <t>Ваша ціна вища на 700 грн (50.0%); Немає в наявності в жодного постачальника</t>
        </is>
      </c>
      <c r="C173" s="13" t="inlineStr">
        <is>
          <t>1011617</t>
        </is>
      </c>
      <c r="D173" s="12" t="inlineStr">
        <is>
          <t>Окантовувач країв газону Фіскарс / Fiskars Solid 5371 (1011617) Фінляндія</t>
        </is>
      </c>
      <c r="E173" s="14" t="n">
        <v>2099</v>
      </c>
      <c r="F173" s="13" t="inlineStr">
        <is>
          <t>так</t>
        </is>
      </c>
      <c r="G173" s="16" t="n">
        <v>1399</v>
      </c>
      <c r="H173" s="15" t="inlineStr">
        <is>
          <t>ні</t>
        </is>
      </c>
      <c r="I173" s="14" t="n"/>
      <c r="J173" s="13" t="inlineStr"/>
      <c r="K173" s="13" t="inlineStr">
        <is>
          <t>Водоспад</t>
        </is>
      </c>
      <c r="L173" s="14" t="n">
        <v>1399</v>
      </c>
      <c r="M173" s="14">
        <f>IF(L173="","",E173-L173)</f>
        <v/>
      </c>
      <c r="N173" s="17">
        <f>IF(OR(L173="",L173=0),"",M173/L173)</f>
        <v/>
      </c>
      <c r="O173" s="14" t="n"/>
      <c r="P173" s="13" t="n">
        <v>0</v>
      </c>
      <c r="Q173" s="13" t="n">
        <v>1</v>
      </c>
      <c r="R173" s="13" t="inlineStr">
        <is>
          <t>код</t>
        </is>
      </c>
      <c r="S173" s="18" t="inlineStr">
        <is>
          <t>відкрити</t>
        </is>
      </c>
    </row>
    <row r="174">
      <c r="A174" s="11" t="inlineStr">
        <is>
          <t>Ваша ціна вища</t>
        </is>
      </c>
      <c r="B174" s="12" t="inlineStr">
        <is>
          <t>Ваша ціна вища на 1000 грн (50.0%)</t>
        </is>
      </c>
      <c r="C174" s="13" t="inlineStr">
        <is>
          <t>1023633</t>
        </is>
      </c>
      <c r="D174" s="12" t="inlineStr">
        <is>
          <t>Пила-насадка для висоторіза Фіскарс / Fiskars UPX80 (1023633) Фінляндія</t>
        </is>
      </c>
      <c r="E174" s="14" t="n">
        <v>2999</v>
      </c>
      <c r="F174" s="15" t="inlineStr">
        <is>
          <t>ні</t>
        </is>
      </c>
      <c r="G174" s="16" t="n">
        <v>1999</v>
      </c>
      <c r="H174" s="15" t="inlineStr">
        <is>
          <t>ні</t>
        </is>
      </c>
      <c r="I174" s="14" t="n"/>
      <c r="J174" s="13" t="inlineStr"/>
      <c r="K174" s="13" t="inlineStr">
        <is>
          <t>Водоспад</t>
        </is>
      </c>
      <c r="L174" s="14" t="n">
        <v>1999</v>
      </c>
      <c r="M174" s="14">
        <f>IF(L174="","",E174-L174)</f>
        <v/>
      </c>
      <c r="N174" s="17">
        <f>IF(OR(L174="",L174=0),"",M174/L174)</f>
        <v/>
      </c>
      <c r="O174" s="14" t="n"/>
      <c r="P174" s="13" t="n">
        <v>0</v>
      </c>
      <c r="Q174" s="13" t="n">
        <v>1</v>
      </c>
      <c r="R174" s="13" t="inlineStr">
        <is>
          <t>код</t>
        </is>
      </c>
      <c r="S174" s="18" t="inlineStr">
        <is>
          <t>відкрити</t>
        </is>
      </c>
    </row>
    <row r="175">
      <c r="A175" s="11" t="inlineStr">
        <is>
          <t>Ваша ціна вища</t>
        </is>
      </c>
      <c r="B175" s="12" t="inlineStr">
        <is>
          <t>Ваша ціна вища на 1300 грн (48.2%)</t>
        </is>
      </c>
      <c r="C175" s="13" t="inlineStr">
        <is>
          <t>1020125</t>
        </is>
      </c>
      <c r="D175" s="12" t="inlineStr">
        <is>
          <t>Інструмент для видалення бур’янів Фіскарс / Fiskars SmartFit телескопічний 139960 1020125) Фінляндія</t>
        </is>
      </c>
      <c r="E175" s="14" t="n">
        <v>3999</v>
      </c>
      <c r="F175" s="15" t="inlineStr">
        <is>
          <t>ні</t>
        </is>
      </c>
      <c r="G175" s="16" t="n">
        <v>2699</v>
      </c>
      <c r="H175" s="15" t="inlineStr">
        <is>
          <t>ні</t>
        </is>
      </c>
      <c r="I175" s="14" t="n"/>
      <c r="J175" s="13" t="inlineStr"/>
      <c r="K175" s="13" t="inlineStr">
        <is>
          <t>Водоспад</t>
        </is>
      </c>
      <c r="L175" s="14" t="n">
        <v>2699</v>
      </c>
      <c r="M175" s="14">
        <f>IF(L175="","",E175-L175)</f>
        <v/>
      </c>
      <c r="N175" s="17">
        <f>IF(OR(L175="",L175=0),"",M175/L175)</f>
        <v/>
      </c>
      <c r="O175" s="14" t="n"/>
      <c r="P175" s="13" t="n">
        <v>0</v>
      </c>
      <c r="Q175" s="13" t="n">
        <v>1</v>
      </c>
      <c r="R175" s="13" t="inlineStr">
        <is>
          <t>код</t>
        </is>
      </c>
      <c r="S175" s="18" t="inlineStr">
        <is>
          <t>відкрити</t>
        </is>
      </c>
    </row>
    <row r="176">
      <c r="A176" s="11" t="inlineStr">
        <is>
          <t>Ваша ціна вища</t>
        </is>
      </c>
      <c r="B176" s="12" t="inlineStr">
        <is>
          <t>Ваша ціна вища на 422 грн (48.1%); Немає в наявності в жодного постачальника</t>
        </is>
      </c>
      <c r="C176" s="13" t="inlineStr">
        <is>
          <t>1000615</t>
        </is>
      </c>
      <c r="D176" s="12" t="inlineStr">
        <is>
          <t>Пила лучкова Фіскарс / Fiskars SW31 124810 (1000615) Фінляндія</t>
        </is>
      </c>
      <c r="E176" s="14" t="n">
        <v>1299</v>
      </c>
      <c r="F176" s="13" t="inlineStr">
        <is>
          <t>так</t>
        </is>
      </c>
      <c r="G176" s="16" t="n">
        <v>877</v>
      </c>
      <c r="H176" s="15" t="inlineStr">
        <is>
          <t>ні</t>
        </is>
      </c>
      <c r="I176" s="14" t="n"/>
      <c r="J176" s="13" t="inlineStr"/>
      <c r="K176" s="13" t="inlineStr">
        <is>
          <t>Водоспад</t>
        </is>
      </c>
      <c r="L176" s="14" t="n">
        <v>877</v>
      </c>
      <c r="M176" s="14">
        <f>IF(L176="","",E176-L176)</f>
        <v/>
      </c>
      <c r="N176" s="17">
        <f>IF(OR(L176="",L176=0),"",M176/L176)</f>
        <v/>
      </c>
      <c r="O176" s="14" t="n"/>
      <c r="P176" s="13" t="n">
        <v>0</v>
      </c>
      <c r="Q176" s="13" t="n">
        <v>1</v>
      </c>
      <c r="R176" s="13" t="inlineStr">
        <is>
          <t>код</t>
        </is>
      </c>
      <c r="S176" s="18" t="inlineStr">
        <is>
          <t>відкрити</t>
        </is>
      </c>
    </row>
    <row r="177">
      <c r="A177" s="11" t="inlineStr">
        <is>
          <t>Ваша ціна вища</t>
        </is>
      </c>
      <c r="B177" s="12" t="inlineStr">
        <is>
          <t>Ваша ціна вища на 649 грн (47.2%); Немає в наявності в жодного постачальника</t>
        </is>
      </c>
      <c r="C177" s="13" t="inlineStr">
        <is>
          <t>5128-JS-H</t>
        </is>
      </c>
      <c r="D177" s="12" t="inlineStr">
        <is>
          <t>Обрізна пилка в чохлі Bahco 5128-JS-H</t>
        </is>
      </c>
      <c r="E177" s="14" t="n">
        <v>2025</v>
      </c>
      <c r="F177" s="13" t="inlineStr">
        <is>
          <t>так</t>
        </is>
      </c>
      <c r="G177" s="16" t="n">
        <v>1376</v>
      </c>
      <c r="H177" s="15" t="inlineStr">
        <is>
          <t>ні</t>
        </is>
      </c>
      <c r="I177" s="14" t="n">
        <v>1500</v>
      </c>
      <c r="J177" s="15" t="inlineStr">
        <is>
          <t>ні</t>
        </is>
      </c>
      <c r="K177" s="13" t="inlineStr">
        <is>
          <t>Водоспад</t>
        </is>
      </c>
      <c r="L177" s="14" t="n">
        <v>1376</v>
      </c>
      <c r="M177" s="14">
        <f>IF(L177="","",E177-L177)</f>
        <v/>
      </c>
      <c r="N177" s="17">
        <f>IF(OR(L177="",L177=0),"",M177/L177)</f>
        <v/>
      </c>
      <c r="O177" s="14" t="n"/>
      <c r="P177" s="13" t="n">
        <v>0</v>
      </c>
      <c r="Q177" s="13" t="n">
        <v>1</v>
      </c>
      <c r="R177" s="13" t="inlineStr">
        <is>
          <t>код</t>
        </is>
      </c>
      <c r="S177" s="18" t="inlineStr">
        <is>
          <t>відкрити</t>
        </is>
      </c>
    </row>
    <row r="178">
      <c r="A178" s="11" t="inlineStr">
        <is>
          <t>Ваша ціна вища</t>
        </is>
      </c>
      <c r="B178" s="12" t="inlineStr">
        <is>
          <t>Ваша ціна вища на 705 грн (47.0%)</t>
        </is>
      </c>
      <c r="C178" s="13" t="inlineStr">
        <is>
          <t>SUC-0.9-600</t>
        </is>
      </c>
      <c r="D178" s="12" t="inlineStr">
        <is>
          <t>Колун Bahco SUC-0.9-600 Бахо</t>
        </is>
      </c>
      <c r="E178" s="14" t="n">
        <v>2205</v>
      </c>
      <c r="F178" s="15" t="inlineStr">
        <is>
          <t>ні</t>
        </is>
      </c>
      <c r="G178" s="16" t="n">
        <v>1500</v>
      </c>
      <c r="H178" s="15" t="inlineStr">
        <is>
          <t>ні</t>
        </is>
      </c>
      <c r="I178" s="14" t="n">
        <v>1738</v>
      </c>
      <c r="J178" s="15" t="inlineStr">
        <is>
          <t>ні</t>
        </is>
      </c>
      <c r="K178" s="13" t="inlineStr">
        <is>
          <t>Водоспад</t>
        </is>
      </c>
      <c r="L178" s="14" t="n">
        <v>1500</v>
      </c>
      <c r="M178" s="14">
        <f>IF(L178="","",E178-L178)</f>
        <v/>
      </c>
      <c r="N178" s="17">
        <f>IF(OR(L178="",L178=0),"",M178/L178)</f>
        <v/>
      </c>
      <c r="O178" s="14" t="n"/>
      <c r="P178" s="13" t="n">
        <v>0</v>
      </c>
      <c r="Q178" s="13" t="n">
        <v>1</v>
      </c>
      <c r="R178" s="13" t="inlineStr">
        <is>
          <t>код</t>
        </is>
      </c>
      <c r="S178" s="18" t="inlineStr">
        <is>
          <t>відкрити</t>
        </is>
      </c>
    </row>
    <row r="179">
      <c r="A179" s="11" t="inlineStr">
        <is>
          <t>Ваша ціна вища</t>
        </is>
      </c>
      <c r="B179" s="12" t="inlineStr">
        <is>
          <t>Ваша ціна вища на 350 грн (46.7%); Немає в наявності в жодного постачальника</t>
        </is>
      </c>
      <c r="C179" s="13" t="inlineStr">
        <is>
          <t>1001621</t>
        </is>
      </c>
      <c r="D179" s="12" t="inlineStr">
        <is>
          <t>Пила лучкова Фіскарс / Fiskars SW30 124800 (1001621) Фінляндія</t>
        </is>
      </c>
      <c r="E179" s="14" t="n">
        <v>1099</v>
      </c>
      <c r="F179" s="13" t="inlineStr">
        <is>
          <t>так</t>
        </is>
      </c>
      <c r="G179" s="16" t="n">
        <v>749</v>
      </c>
      <c r="H179" s="15" t="inlineStr">
        <is>
          <t>ні</t>
        </is>
      </c>
      <c r="I179" s="14" t="n"/>
      <c r="J179" s="13" t="inlineStr"/>
      <c r="K179" s="13" t="inlineStr">
        <is>
          <t>Водоспад</t>
        </is>
      </c>
      <c r="L179" s="14" t="n">
        <v>749</v>
      </c>
      <c r="M179" s="14">
        <f>IF(L179="","",E179-L179)</f>
        <v/>
      </c>
      <c r="N179" s="17">
        <f>IF(OR(L179="",L179=0),"",M179/L179)</f>
        <v/>
      </c>
      <c r="O179" s="14" t="n"/>
      <c r="P179" s="13" t="n">
        <v>0</v>
      </c>
      <c r="Q179" s="13" t="n">
        <v>1</v>
      </c>
      <c r="R179" s="13" t="inlineStr">
        <is>
          <t>код</t>
        </is>
      </c>
      <c r="S179" s="18" t="inlineStr">
        <is>
          <t>відкрити</t>
        </is>
      </c>
    </row>
    <row r="180">
      <c r="A180" s="11" t="inlineStr">
        <is>
          <t>Ваша ціна вища</t>
        </is>
      </c>
      <c r="B180" s="12" t="inlineStr">
        <is>
          <t>Ваша ціна вища на 1800.3 грн (42.9%); Немає в наявності в жодного постачальника</t>
        </is>
      </c>
      <c r="C180" s="13" t="inlineStr">
        <is>
          <t>1023624</t>
        </is>
      </c>
      <c r="D180" s="12" t="inlineStr">
        <is>
          <t>Висоторіз телескопічний Фіскарс Fiskars PowerGear UPX86 (1023624) Фінляндія</t>
        </is>
      </c>
      <c r="E180" s="14" t="n">
        <v>5999</v>
      </c>
      <c r="F180" s="13" t="inlineStr">
        <is>
          <t>так</t>
        </is>
      </c>
      <c r="G180" s="14" t="n">
        <v>5499</v>
      </c>
      <c r="H180" s="15" t="inlineStr">
        <is>
          <t>ні</t>
        </is>
      </c>
      <c r="I180" s="16" t="n">
        <v>4198.7</v>
      </c>
      <c r="J180" s="15" t="inlineStr">
        <is>
          <t>ні</t>
        </is>
      </c>
      <c r="K180" s="13" t="inlineStr">
        <is>
          <t>Клуб Рослин</t>
        </is>
      </c>
      <c r="L180" s="14" t="n">
        <v>4198.7</v>
      </c>
      <c r="M180" s="14">
        <f>IF(L180="","",E180-L180)</f>
        <v/>
      </c>
      <c r="N180" s="17">
        <f>IF(OR(L180="",L180=0),"",M180/L180)</f>
        <v/>
      </c>
      <c r="O180" s="14" t="n"/>
      <c r="P180" s="13" t="n">
        <v>0</v>
      </c>
      <c r="Q180" s="13" t="n">
        <v>1</v>
      </c>
      <c r="R180" s="13" t="inlineStr">
        <is>
          <t>код</t>
        </is>
      </c>
      <c r="S180" s="18" t="inlineStr">
        <is>
          <t>відкрити</t>
        </is>
      </c>
    </row>
    <row r="181">
      <c r="A181" s="11" t="inlineStr">
        <is>
          <t>Ваша ціна вища</t>
        </is>
      </c>
      <c r="B181" s="12" t="inlineStr">
        <is>
          <t>Ваша ціна вища на 300 грн (42.9%)</t>
        </is>
      </c>
      <c r="C181" s="13" t="inlineStr">
        <is>
          <t>1027043</t>
        </is>
      </c>
      <c r="D181" s="12" t="inlineStr">
        <is>
          <t>Садовий совок Фіскарс / Fiskars Xact (1027043) Фінляндія</t>
        </is>
      </c>
      <c r="E181" s="14" t="n">
        <v>999</v>
      </c>
      <c r="F181" s="15" t="inlineStr">
        <is>
          <t>ні</t>
        </is>
      </c>
      <c r="G181" s="16" t="n">
        <v>699</v>
      </c>
      <c r="H181" s="15" t="inlineStr">
        <is>
          <t>ні</t>
        </is>
      </c>
      <c r="I181" s="14" t="n"/>
      <c r="J181" s="13" t="inlineStr"/>
      <c r="K181" s="13" t="inlineStr">
        <is>
          <t>Водоспад</t>
        </is>
      </c>
      <c r="L181" s="14" t="n">
        <v>699</v>
      </c>
      <c r="M181" s="14">
        <f>IF(L181="","",E181-L181)</f>
        <v/>
      </c>
      <c r="N181" s="17">
        <f>IF(OR(L181="",L181=0),"",M181/L181)</f>
        <v/>
      </c>
      <c r="O181" s="14" t="n"/>
      <c r="P181" s="13" t="n">
        <v>0</v>
      </c>
      <c r="Q181" s="13" t="n">
        <v>1</v>
      </c>
      <c r="R181" s="13" t="inlineStr">
        <is>
          <t>код</t>
        </is>
      </c>
      <c r="S181" s="18" t="inlineStr">
        <is>
          <t>відкрити</t>
        </is>
      </c>
    </row>
    <row r="182">
      <c r="A182" s="11" t="inlineStr">
        <is>
          <t>Ваша ціна вища</t>
        </is>
      </c>
      <c r="B182" s="12" t="inlineStr">
        <is>
          <t>Ваша ціна вища на 500 грн (41.7%)</t>
        </is>
      </c>
      <c r="C182" s="13" t="inlineStr">
        <is>
          <t>1015681</t>
        </is>
      </c>
      <c r="D182" s="12" t="inlineStr">
        <is>
          <t>Захват для сміття Фіскарс / Fiskars Solid (1015681) Фінляндія</t>
        </is>
      </c>
      <c r="E182" s="14" t="n">
        <v>1699</v>
      </c>
      <c r="F182" s="15" t="inlineStr">
        <is>
          <t>ні</t>
        </is>
      </c>
      <c r="G182" s="16" t="n">
        <v>1199</v>
      </c>
      <c r="H182" s="15" t="inlineStr">
        <is>
          <t>ні</t>
        </is>
      </c>
      <c r="I182" s="14" t="n"/>
      <c r="J182" s="13" t="inlineStr"/>
      <c r="K182" s="13" t="inlineStr">
        <is>
          <t>Водоспад</t>
        </is>
      </c>
      <c r="L182" s="14" t="n">
        <v>1199</v>
      </c>
      <c r="M182" s="14">
        <f>IF(L182="","",E182-L182)</f>
        <v/>
      </c>
      <c r="N182" s="17">
        <f>IF(OR(L182="",L182=0),"",M182/L182)</f>
        <v/>
      </c>
      <c r="O182" s="14" t="n"/>
      <c r="P182" s="13" t="n">
        <v>0</v>
      </c>
      <c r="Q182" s="13" t="n">
        <v>1</v>
      </c>
      <c r="R182" s="13" t="inlineStr">
        <is>
          <t>код</t>
        </is>
      </c>
      <c r="S182" s="18" t="inlineStr">
        <is>
          <t>відкрити</t>
        </is>
      </c>
    </row>
    <row r="183">
      <c r="A183" s="11" t="inlineStr">
        <is>
          <t>Ваша ціна вища</t>
        </is>
      </c>
      <c r="B183" s="12" t="inlineStr">
        <is>
          <t>Ваша ціна вища на 700 грн (41.2%); Немає в наявності в жодного постачальника</t>
        </is>
      </c>
      <c r="C183" s="13" t="inlineStr">
        <is>
          <t>1028375</t>
        </is>
      </c>
      <c r="D183" s="12" t="inlineStr">
        <is>
          <t>Пила садова велика Фіскарс Fiskars SW47 (1028375) Фінляндія</t>
        </is>
      </c>
      <c r="E183" s="14" t="n">
        <v>2399</v>
      </c>
      <c r="F183" s="13" t="inlineStr">
        <is>
          <t>так</t>
        </is>
      </c>
      <c r="G183" s="16" t="n">
        <v>1699</v>
      </c>
      <c r="H183" s="15" t="inlineStr">
        <is>
          <t>ні</t>
        </is>
      </c>
      <c r="I183" s="14" t="n"/>
      <c r="J183" s="13" t="inlineStr"/>
      <c r="K183" s="13" t="inlineStr">
        <is>
          <t>Водоспад</t>
        </is>
      </c>
      <c r="L183" s="14" t="n">
        <v>1699</v>
      </c>
      <c r="M183" s="14">
        <f>IF(L183="","",E183-L183)</f>
        <v/>
      </c>
      <c r="N183" s="17">
        <f>IF(OR(L183="",L183=0),"",M183/L183)</f>
        <v/>
      </c>
      <c r="O183" s="14" t="n"/>
      <c r="P183" s="13" t="n">
        <v>0</v>
      </c>
      <c r="Q183" s="13" t="n">
        <v>1</v>
      </c>
      <c r="R183" s="13" t="inlineStr">
        <is>
          <t>код</t>
        </is>
      </c>
      <c r="S183" s="18" t="inlineStr">
        <is>
          <t>відкрити</t>
        </is>
      </c>
    </row>
    <row r="184">
      <c r="A184" s="11" t="inlineStr">
        <is>
          <t>Ваша ціна вища</t>
        </is>
      </c>
      <c r="B184" s="12" t="inlineStr">
        <is>
          <t>Ваша ціна вища на 1100 грн (40.8%); Немає в наявності в жодного постачальника</t>
        </is>
      </c>
      <c r="C184" s="13" t="inlineStr">
        <is>
          <t>1015640</t>
        </is>
      </c>
      <c r="D184" s="12" t="inlineStr">
        <is>
          <t>Сокира-колун Фіскарс Fiskars S X11 122443 (1015640) Фінляндія</t>
        </is>
      </c>
      <c r="E184" s="14" t="n">
        <v>3799</v>
      </c>
      <c r="F184" s="13" t="inlineStr">
        <is>
          <t>так</t>
        </is>
      </c>
      <c r="G184" s="16" t="n">
        <v>2699</v>
      </c>
      <c r="H184" s="15" t="inlineStr">
        <is>
          <t>ні</t>
        </is>
      </c>
      <c r="I184" s="14" t="n"/>
      <c r="J184" s="13" t="inlineStr"/>
      <c r="K184" s="13" t="inlineStr">
        <is>
          <t>Водоспад</t>
        </is>
      </c>
      <c r="L184" s="14" t="n">
        <v>2699</v>
      </c>
      <c r="M184" s="14">
        <f>IF(L184="","",E184-L184)</f>
        <v/>
      </c>
      <c r="N184" s="17">
        <f>IF(OR(L184="",L184=0),"",M184/L184)</f>
        <v/>
      </c>
      <c r="O184" s="14" t="n"/>
      <c r="P184" s="13" t="n">
        <v>0</v>
      </c>
      <c r="Q184" s="13" t="n">
        <v>1</v>
      </c>
      <c r="R184" s="13" t="inlineStr">
        <is>
          <t>код</t>
        </is>
      </c>
      <c r="S184" s="18" t="inlineStr">
        <is>
          <t>відкрити</t>
        </is>
      </c>
    </row>
    <row r="185">
      <c r="A185" s="11" t="inlineStr">
        <is>
          <t>Ваша ціна вища</t>
        </is>
      </c>
      <c r="B185" s="12" t="inlineStr">
        <is>
          <t>Ваша ціна вища на 1700 грн (39.5%); Немає в наявності в жодного постачальника</t>
        </is>
      </c>
      <c r="C185" s="13" t="inlineStr">
        <is>
          <t>1023625</t>
        </is>
      </c>
      <c r="D185" s="12" t="inlineStr">
        <is>
          <t>Висоторіз Фіскарс Fiskars PowerGear UPX82 (1023625) Фінляндія</t>
        </is>
      </c>
      <c r="E185" s="14" t="n">
        <v>5999</v>
      </c>
      <c r="F185" s="13" t="inlineStr">
        <is>
          <t>так</t>
        </is>
      </c>
      <c r="G185" s="16" t="n">
        <v>4299</v>
      </c>
      <c r="H185" s="15" t="inlineStr">
        <is>
          <t>ні</t>
        </is>
      </c>
      <c r="I185" s="14" t="n"/>
      <c r="J185" s="13" t="inlineStr"/>
      <c r="K185" s="13" t="inlineStr">
        <is>
          <t>Водоспад</t>
        </is>
      </c>
      <c r="L185" s="14" t="n">
        <v>4299</v>
      </c>
      <c r="M185" s="14">
        <f>IF(L185="","",E185-L185)</f>
        <v/>
      </c>
      <c r="N185" s="17">
        <f>IF(OR(L185="",L185=0),"",M185/L185)</f>
        <v/>
      </c>
      <c r="O185" s="14" t="n"/>
      <c r="P185" s="13" t="n">
        <v>0</v>
      </c>
      <c r="Q185" s="13" t="n">
        <v>1</v>
      </c>
      <c r="R185" s="13" t="inlineStr">
        <is>
          <t>код</t>
        </is>
      </c>
      <c r="S185" s="18" t="inlineStr">
        <is>
          <t>відкрити</t>
        </is>
      </c>
    </row>
    <row r="186">
      <c r="A186" s="11" t="inlineStr">
        <is>
          <t>Ваша ціна вища</t>
        </is>
      </c>
      <c r="B186" s="12" t="inlineStr">
        <is>
          <t>Ваша ціна вища на 300 грн (37.5%); Немає в наявності в жодного постачальника</t>
        </is>
      </c>
      <c r="C186" s="13" t="inlineStr">
        <is>
          <t>1023619</t>
        </is>
      </c>
      <c r="D186" s="12" t="inlineStr">
        <is>
          <t>Ніж Фіскарс Fiskars з точилкою 156018 (1023619) Фінляндія</t>
        </is>
      </c>
      <c r="E186" s="14" t="n">
        <v>1099</v>
      </c>
      <c r="F186" s="13" t="inlineStr">
        <is>
          <t>так</t>
        </is>
      </c>
      <c r="G186" s="16" t="n">
        <v>799</v>
      </c>
      <c r="H186" s="15" t="inlineStr">
        <is>
          <t>ні</t>
        </is>
      </c>
      <c r="I186" s="14" t="n"/>
      <c r="J186" s="13" t="inlineStr"/>
      <c r="K186" s="13" t="inlineStr">
        <is>
          <t>Водоспад</t>
        </is>
      </c>
      <c r="L186" s="14" t="n">
        <v>799</v>
      </c>
      <c r="M186" s="14">
        <f>IF(L186="","",E186-L186)</f>
        <v/>
      </c>
      <c r="N186" s="17">
        <f>IF(OR(L186="",L186=0),"",M186/L186)</f>
        <v/>
      </c>
      <c r="O186" s="14" t="n"/>
      <c r="P186" s="13" t="n">
        <v>0</v>
      </c>
      <c r="Q186" s="13" t="n">
        <v>1</v>
      </c>
      <c r="R186" s="13" t="inlineStr">
        <is>
          <t>код</t>
        </is>
      </c>
      <c r="S186" s="18" t="inlineStr">
        <is>
          <t>відкрити</t>
        </is>
      </c>
    </row>
    <row r="187">
      <c r="A187" s="11" t="inlineStr">
        <is>
          <t>Ваша ціна вища</t>
        </is>
      </c>
      <c r="B187" s="12" t="inlineStr">
        <is>
          <t>Ваша ціна вища на 1400 грн (36.9%); Немає в наявності в жодного постачальника</t>
        </is>
      </c>
      <c r="C187" s="13" t="inlineStr">
        <is>
          <t>1001704</t>
        </is>
      </c>
      <c r="D187" s="12" t="inlineStr">
        <is>
          <t>Сокира-молот Фіскарс Fiskars X37 122160 (1001704) Фінляндія</t>
        </is>
      </c>
      <c r="E187" s="14" t="n">
        <v>5199</v>
      </c>
      <c r="F187" s="13" t="inlineStr">
        <is>
          <t>так</t>
        </is>
      </c>
      <c r="G187" s="16" t="n">
        <v>3799</v>
      </c>
      <c r="H187" s="15" t="inlineStr">
        <is>
          <t>ні</t>
        </is>
      </c>
      <c r="I187" s="14" t="n"/>
      <c r="J187" s="13" t="inlineStr"/>
      <c r="K187" s="13" t="inlineStr">
        <is>
          <t>Водоспад</t>
        </is>
      </c>
      <c r="L187" s="14" t="n">
        <v>3799</v>
      </c>
      <c r="M187" s="14">
        <f>IF(L187="","",E187-L187)</f>
        <v/>
      </c>
      <c r="N187" s="17">
        <f>IF(OR(L187="",L187=0),"",M187/L187)</f>
        <v/>
      </c>
      <c r="O187" s="14" t="n"/>
      <c r="P187" s="13" t="n">
        <v>0</v>
      </c>
      <c r="Q187" s="13" t="n">
        <v>1</v>
      </c>
      <c r="R187" s="13" t="inlineStr">
        <is>
          <t>код</t>
        </is>
      </c>
      <c r="S187" s="18" t="inlineStr">
        <is>
          <t>відкрити</t>
        </is>
      </c>
    </row>
    <row r="188">
      <c r="A188" s="11" t="inlineStr">
        <is>
          <t>Ваша ціна вища</t>
        </is>
      </c>
      <c r="B188" s="12" t="inlineStr">
        <is>
          <t>Ваша ціна вища на 425 грн (36.8%)</t>
        </is>
      </c>
      <c r="C188" s="13" t="inlineStr">
        <is>
          <t>SUC-0.7-450</t>
        </is>
      </c>
      <c r="D188" s="12" t="inlineStr">
        <is>
          <t>Колун Bahco SUC-0.7-450 Бахо</t>
        </is>
      </c>
      <c r="E188" s="14" t="n">
        <v>1580</v>
      </c>
      <c r="F188" s="15" t="inlineStr">
        <is>
          <t>ні</t>
        </is>
      </c>
      <c r="G188" s="16" t="n">
        <v>1155</v>
      </c>
      <c r="H188" s="15" t="inlineStr">
        <is>
          <t>ні</t>
        </is>
      </c>
      <c r="I188" s="14" t="n">
        <v>1586</v>
      </c>
      <c r="J188" s="15" t="inlineStr">
        <is>
          <t>ні</t>
        </is>
      </c>
      <c r="K188" s="13" t="inlineStr">
        <is>
          <t>Водоспад</t>
        </is>
      </c>
      <c r="L188" s="14" t="n">
        <v>1155</v>
      </c>
      <c r="M188" s="14">
        <f>IF(L188="","",E188-L188)</f>
        <v/>
      </c>
      <c r="N188" s="17">
        <f>IF(OR(L188="",L188=0),"",M188/L188)</f>
        <v/>
      </c>
      <c r="O188" s="14" t="n"/>
      <c r="P188" s="13" t="n">
        <v>0</v>
      </c>
      <c r="Q188" s="13" t="n">
        <v>1</v>
      </c>
      <c r="R188" s="13" t="inlineStr">
        <is>
          <t>код</t>
        </is>
      </c>
      <c r="S188" s="18" t="inlineStr">
        <is>
          <t>відкрити</t>
        </is>
      </c>
    </row>
    <row r="189">
      <c r="A189" s="11" t="inlineStr">
        <is>
          <t>Ваша ціна вища</t>
        </is>
      </c>
      <c r="B189" s="12" t="inlineStr">
        <is>
          <t>Ваша ціна вища на 1500 грн (36.6%); Немає в наявності в жодного постачальника</t>
        </is>
      </c>
      <c r="C189" s="13" t="inlineStr">
        <is>
          <t>1051144</t>
        </is>
      </c>
      <c r="D189" s="12" t="inlineStr">
        <is>
          <t>Сокира-колун Фіскарс Fiskars Norden N12 1051144 Фінляндія</t>
        </is>
      </c>
      <c r="E189" s="14" t="n">
        <v>5599</v>
      </c>
      <c r="F189" s="13" t="inlineStr">
        <is>
          <t>так</t>
        </is>
      </c>
      <c r="G189" s="16" t="n">
        <v>4099</v>
      </c>
      <c r="H189" s="15" t="inlineStr">
        <is>
          <t>ні</t>
        </is>
      </c>
      <c r="I189" s="14" t="n"/>
      <c r="J189" s="13" t="inlineStr"/>
      <c r="K189" s="13" t="inlineStr">
        <is>
          <t>Водоспад</t>
        </is>
      </c>
      <c r="L189" s="14" t="n">
        <v>4099</v>
      </c>
      <c r="M189" s="14">
        <f>IF(L189="","",E189-L189)</f>
        <v/>
      </c>
      <c r="N189" s="17">
        <f>IF(OR(L189="",L189=0),"",M189/L189)</f>
        <v/>
      </c>
      <c r="O189" s="14" t="n"/>
      <c r="P189" s="13" t="n">
        <v>0</v>
      </c>
      <c r="Q189" s="13" t="n">
        <v>1</v>
      </c>
      <c r="R189" s="13" t="inlineStr">
        <is>
          <t>код</t>
        </is>
      </c>
      <c r="S189" s="18" t="inlineStr">
        <is>
          <t>відкрити</t>
        </is>
      </c>
    </row>
    <row r="190">
      <c r="A190" s="11" t="inlineStr">
        <is>
          <t>Ваша ціна вища</t>
        </is>
      </c>
      <c r="B190" s="12" t="inlineStr">
        <is>
          <t>Ваша ціна вища на 800 грн (32.0%); Немає в наявності в жодного постачальника</t>
        </is>
      </c>
      <c r="C190" s="13" t="inlineStr">
        <is>
          <t>1015641</t>
        </is>
      </c>
      <c r="D190" s="12" t="inlineStr">
        <is>
          <t>Сокира-колун Фіскарс Fiskars X17 M 122 463 (1015641) Фінляндія</t>
        </is>
      </c>
      <c r="E190" s="14" t="n">
        <v>3299</v>
      </c>
      <c r="F190" s="13" t="inlineStr">
        <is>
          <t>так</t>
        </is>
      </c>
      <c r="G190" s="16" t="n">
        <v>2499</v>
      </c>
      <c r="H190" s="15" t="inlineStr">
        <is>
          <t>ні</t>
        </is>
      </c>
      <c r="I190" s="14" t="n"/>
      <c r="J190" s="13" t="inlineStr"/>
      <c r="K190" s="13" t="inlineStr">
        <is>
          <t>Водоспад</t>
        </is>
      </c>
      <c r="L190" s="14" t="n">
        <v>2499</v>
      </c>
      <c r="M190" s="14">
        <f>IF(L190="","",E190-L190)</f>
        <v/>
      </c>
      <c r="N190" s="17">
        <f>IF(OR(L190="",L190=0),"",M190/L190)</f>
        <v/>
      </c>
      <c r="O190" s="14" t="n"/>
      <c r="P190" s="13" t="n">
        <v>0</v>
      </c>
      <c r="Q190" s="13" t="n">
        <v>1</v>
      </c>
      <c r="R190" s="13" t="inlineStr">
        <is>
          <t>код</t>
        </is>
      </c>
      <c r="S190" s="18" t="inlineStr">
        <is>
          <t>відкрити</t>
        </is>
      </c>
    </row>
    <row r="191">
      <c r="A191" s="11" t="inlineStr">
        <is>
          <t>Ваша ціна вища</t>
        </is>
      </c>
      <c r="B191" s="12" t="inlineStr">
        <is>
          <t>Ваша ціна вища на 250 грн (31.3%)</t>
        </is>
      </c>
      <c r="C191" s="13" t="inlineStr">
        <is>
          <t>1000685</t>
        </is>
      </c>
      <c r="D191" s="12" t="inlineStr">
        <is>
          <t>Ручний культиватор Fiskars QuikFit 136517 (1000685) Фінляндія</t>
        </is>
      </c>
      <c r="E191" s="14" t="n">
        <v>1049</v>
      </c>
      <c r="F191" s="15" t="inlineStr">
        <is>
          <t>ні</t>
        </is>
      </c>
      <c r="G191" s="16" t="n">
        <v>799</v>
      </c>
      <c r="H191" s="15" t="inlineStr">
        <is>
          <t>ні</t>
        </is>
      </c>
      <c r="I191" s="14" t="n"/>
      <c r="J191" s="13" t="inlineStr"/>
      <c r="K191" s="13" t="inlineStr">
        <is>
          <t>Водоспад</t>
        </is>
      </c>
      <c r="L191" s="14" t="n">
        <v>799</v>
      </c>
      <c r="M191" s="14">
        <f>IF(L191="","",E191-L191)</f>
        <v/>
      </c>
      <c r="N191" s="17">
        <f>IF(OR(L191="",L191=0),"",M191/L191)</f>
        <v/>
      </c>
      <c r="O191" s="14" t="n"/>
      <c r="P191" s="13" t="n">
        <v>0</v>
      </c>
      <c r="Q191" s="13" t="n">
        <v>1</v>
      </c>
      <c r="R191" s="13" t="inlineStr">
        <is>
          <t>код</t>
        </is>
      </c>
      <c r="S191" s="18" t="inlineStr">
        <is>
          <t>відкрити</t>
        </is>
      </c>
    </row>
    <row r="192">
      <c r="A192" s="11" t="inlineStr">
        <is>
          <t>Ваша ціна вища</t>
        </is>
      </c>
      <c r="B192" s="12" t="inlineStr">
        <is>
          <t>Ваша ціна вища на 900 грн (31.0%); Немає в наявності в жодного постачальника</t>
        </is>
      </c>
      <c r="C192" s="13" t="inlineStr">
        <is>
          <t>1020200</t>
        </is>
      </c>
      <c r="D192" s="12" t="inlineStr">
        <is>
          <t>Пила садова Фіскарс Fiskars SW-240 123240 (1020200) Фінляндія</t>
        </is>
      </c>
      <c r="E192" s="14" t="n">
        <v>3799</v>
      </c>
      <c r="F192" s="13" t="inlineStr">
        <is>
          <t>так</t>
        </is>
      </c>
      <c r="G192" s="16" t="n">
        <v>2899</v>
      </c>
      <c r="H192" s="15" t="inlineStr">
        <is>
          <t>ні</t>
        </is>
      </c>
      <c r="I192" s="14" t="n"/>
      <c r="J192" s="13" t="inlineStr"/>
      <c r="K192" s="13" t="inlineStr">
        <is>
          <t>Водоспад</t>
        </is>
      </c>
      <c r="L192" s="14" t="n">
        <v>2899</v>
      </c>
      <c r="M192" s="14">
        <f>IF(L192="","",E192-L192)</f>
        <v/>
      </c>
      <c r="N192" s="17">
        <f>IF(OR(L192="",L192=0),"",M192/L192)</f>
        <v/>
      </c>
      <c r="O192" s="14" t="n"/>
      <c r="P192" s="13" t="n">
        <v>0</v>
      </c>
      <c r="Q192" s="13" t="n">
        <v>1</v>
      </c>
      <c r="R192" s="13" t="inlineStr">
        <is>
          <t>код</t>
        </is>
      </c>
      <c r="S192" s="18" t="inlineStr">
        <is>
          <t>відкрити</t>
        </is>
      </c>
    </row>
    <row r="193">
      <c r="A193" s="11" t="inlineStr">
        <is>
          <t>Ваша ціна вища</t>
        </is>
      </c>
      <c r="B193" s="12" t="inlineStr">
        <is>
          <t>Ваша ціна вища на 300 грн (30.0%); Немає в наявності в жодного постачальника</t>
        </is>
      </c>
      <c r="C193" s="13" t="inlineStr">
        <is>
          <t>1066715</t>
        </is>
      </c>
      <c r="D193" s="12" t="inlineStr">
        <is>
          <t>Лопата саперна Фіскарс Fiskars Solid 1066715 Фінляндія</t>
        </is>
      </c>
      <c r="E193" s="14" t="n">
        <v>1299</v>
      </c>
      <c r="F193" s="13" t="inlineStr">
        <is>
          <t>так</t>
        </is>
      </c>
      <c r="G193" s="16" t="n">
        <v>999</v>
      </c>
      <c r="H193" s="15" t="inlineStr">
        <is>
          <t>ні</t>
        </is>
      </c>
      <c r="I193" s="14" t="n"/>
      <c r="J193" s="13" t="inlineStr"/>
      <c r="K193" s="13" t="inlineStr">
        <is>
          <t>Водоспад</t>
        </is>
      </c>
      <c r="L193" s="14" t="n">
        <v>999</v>
      </c>
      <c r="M193" s="14">
        <f>IF(L193="","",E193-L193)</f>
        <v/>
      </c>
      <c r="N193" s="17">
        <f>IF(OR(L193="",L193=0),"",M193/L193)</f>
        <v/>
      </c>
      <c r="O193" s="14" t="n"/>
      <c r="P193" s="13" t="n">
        <v>0</v>
      </c>
      <c r="Q193" s="13" t="n">
        <v>1</v>
      </c>
      <c r="R193" s="13" t="inlineStr">
        <is>
          <t>код</t>
        </is>
      </c>
      <c r="S193" s="18" t="inlineStr">
        <is>
          <t>відкрити</t>
        </is>
      </c>
    </row>
    <row r="194">
      <c r="A194" s="11" t="inlineStr">
        <is>
          <t>Ваша ціна вища</t>
        </is>
      </c>
      <c r="B194" s="12" t="inlineStr">
        <is>
          <t>Ваша ціна вища на 342 грн (28.8%)</t>
        </is>
      </c>
      <c r="C194" s="13" t="inlineStr">
        <is>
          <t>396-HP</t>
        </is>
      </c>
      <c r="D194" s="12" t="inlineStr">
        <is>
          <t>Пила складна обрізна Bahco 396-HP</t>
        </is>
      </c>
      <c r="E194" s="14" t="n">
        <v>1530</v>
      </c>
      <c r="F194" s="15" t="inlineStr">
        <is>
          <t>ні</t>
        </is>
      </c>
      <c r="G194" s="16" t="n">
        <v>1188</v>
      </c>
      <c r="H194" s="15" t="inlineStr">
        <is>
          <t>ні</t>
        </is>
      </c>
      <c r="I194" s="14" t="n"/>
      <c r="J194" s="13" t="inlineStr"/>
      <c r="K194" s="13" t="inlineStr">
        <is>
          <t>Водоспад</t>
        </is>
      </c>
      <c r="L194" s="14" t="n">
        <v>1188</v>
      </c>
      <c r="M194" s="14">
        <f>IF(L194="","",E194-L194)</f>
        <v/>
      </c>
      <c r="N194" s="17">
        <f>IF(OR(L194="",L194=0),"",M194/L194)</f>
        <v/>
      </c>
      <c r="O194" s="14" t="n"/>
      <c r="P194" s="13" t="n">
        <v>0</v>
      </c>
      <c r="Q194" s="13" t="n">
        <v>1</v>
      </c>
      <c r="R194" s="13" t="inlineStr">
        <is>
          <t>код</t>
        </is>
      </c>
      <c r="S194" s="18" t="inlineStr">
        <is>
          <t>відкрити</t>
        </is>
      </c>
    </row>
    <row r="195">
      <c r="A195" s="11" t="inlineStr">
        <is>
          <t>Ваша ціна вища</t>
        </is>
      </c>
      <c r="B195" s="12" t="inlineStr">
        <is>
          <t>Ваша ціна вища на 332 грн (26.8%)</t>
        </is>
      </c>
      <c r="C195" s="13" t="inlineStr">
        <is>
          <t>PG-L2-F</t>
        </is>
      </c>
      <c r="D195" s="12" t="inlineStr">
        <is>
          <t>Секатор Bahco (L) PG-L2-F для обрізки саду, винограду, троянд</t>
        </is>
      </c>
      <c r="E195" s="14" t="n">
        <v>1570</v>
      </c>
      <c r="F195" s="15" t="inlineStr">
        <is>
          <t>ні</t>
        </is>
      </c>
      <c r="G195" s="16" t="n">
        <v>1238</v>
      </c>
      <c r="H195" s="15" t="inlineStr">
        <is>
          <t>ні</t>
        </is>
      </c>
      <c r="I195" s="14" t="n"/>
      <c r="J195" s="13" t="inlineStr"/>
      <c r="K195" s="13" t="inlineStr">
        <is>
          <t>Водоспад</t>
        </is>
      </c>
      <c r="L195" s="14" t="n">
        <v>1238</v>
      </c>
      <c r="M195" s="14">
        <f>IF(L195="","",E195-L195)</f>
        <v/>
      </c>
      <c r="N195" s="17">
        <f>IF(OR(L195="",L195=0),"",M195/L195)</f>
        <v/>
      </c>
      <c r="O195" s="14" t="n"/>
      <c r="P195" s="13" t="n">
        <v>0</v>
      </c>
      <c r="Q195" s="13" t="n">
        <v>1</v>
      </c>
      <c r="R195" s="13" t="inlineStr">
        <is>
          <t>код</t>
        </is>
      </c>
      <c r="S195" s="18" t="inlineStr">
        <is>
          <t>відкрити</t>
        </is>
      </c>
    </row>
    <row r="196">
      <c r="A196" s="11" t="inlineStr">
        <is>
          <t>Ваша ціна вища</t>
        </is>
      </c>
      <c r="B196" s="12" t="inlineStr">
        <is>
          <t>Ваша ціна вища на 349 грн (25.7%)</t>
        </is>
      </c>
      <c r="C196" s="13" t="inlineStr">
        <is>
          <t>396-JS</t>
        </is>
      </c>
      <c r="D196" s="12" t="inlineStr">
        <is>
          <t>Пила обрізна Bahco 396-JS Бахо</t>
        </is>
      </c>
      <c r="E196" s="14" t="n">
        <v>1707</v>
      </c>
      <c r="F196" s="15" t="inlineStr">
        <is>
          <t>ні</t>
        </is>
      </c>
      <c r="G196" s="16" t="n">
        <v>1358</v>
      </c>
      <c r="H196" s="15" t="inlineStr">
        <is>
          <t>ні</t>
        </is>
      </c>
      <c r="I196" s="14" t="n"/>
      <c r="J196" s="13" t="inlineStr"/>
      <c r="K196" s="13" t="inlineStr">
        <is>
          <t>Водоспад</t>
        </is>
      </c>
      <c r="L196" s="14" t="n">
        <v>1358</v>
      </c>
      <c r="M196" s="14">
        <f>IF(L196="","",E196-L196)</f>
        <v/>
      </c>
      <c r="N196" s="17">
        <f>IF(OR(L196="",L196=0),"",M196/L196)</f>
        <v/>
      </c>
      <c r="O196" s="14" t="n"/>
      <c r="P196" s="13" t="n">
        <v>0</v>
      </c>
      <c r="Q196" s="13" t="n">
        <v>1</v>
      </c>
      <c r="R196" s="13" t="inlineStr">
        <is>
          <t>код</t>
        </is>
      </c>
      <c r="S196" s="18" t="inlineStr">
        <is>
          <t>відкрити</t>
        </is>
      </c>
    </row>
    <row r="197">
      <c r="A197" s="11" t="inlineStr">
        <is>
          <t>Ваша ціна вища</t>
        </is>
      </c>
      <c r="B197" s="12" t="inlineStr">
        <is>
          <t>Ваша ціна вища на 250 грн (25.0%)</t>
        </is>
      </c>
      <c r="C197" s="13" t="inlineStr">
        <is>
          <t>1015447</t>
        </is>
      </c>
      <c r="D197" s="12" t="inlineStr">
        <is>
          <t>Рукавички робочі зимові (10/XL) Фіскарс / Fiskars 160007 (1015447) Фінляндія</t>
        </is>
      </c>
      <c r="E197" s="14" t="n">
        <v>1249</v>
      </c>
      <c r="F197" s="15" t="inlineStr">
        <is>
          <t>ні</t>
        </is>
      </c>
      <c r="G197" s="16" t="n">
        <v>999</v>
      </c>
      <c r="H197" s="15" t="inlineStr">
        <is>
          <t>ні</t>
        </is>
      </c>
      <c r="I197" s="14" t="n"/>
      <c r="J197" s="13" t="inlineStr"/>
      <c r="K197" s="13" t="inlineStr">
        <is>
          <t>Водоспад</t>
        </is>
      </c>
      <c r="L197" s="14" t="n">
        <v>999</v>
      </c>
      <c r="M197" s="14">
        <f>IF(L197="","",E197-L197)</f>
        <v/>
      </c>
      <c r="N197" s="17">
        <f>IF(OR(L197="",L197=0),"",M197/L197)</f>
        <v/>
      </c>
      <c r="O197" s="14" t="n"/>
      <c r="P197" s="13" t="n">
        <v>0</v>
      </c>
      <c r="Q197" s="13" t="n">
        <v>1</v>
      </c>
      <c r="R197" s="13" t="inlineStr">
        <is>
          <t>код</t>
        </is>
      </c>
      <c r="S197" s="18" t="inlineStr">
        <is>
          <t>відкрити</t>
        </is>
      </c>
    </row>
    <row r="198">
      <c r="A198" s="11" t="inlineStr">
        <is>
          <t>Ваша ціна вища</t>
        </is>
      </c>
      <c r="B198" s="12" t="inlineStr">
        <is>
          <t>Ваша ціна вища на 700 грн (24.1%)</t>
        </is>
      </c>
      <c r="C198" s="13" t="inlineStr">
        <is>
          <t>1015642</t>
        </is>
      </c>
      <c r="D198" s="12" t="inlineStr">
        <is>
          <t>Сокира-колун Фіскарс Fiskars X21 L 122 473 (1015642) Фінляндія</t>
        </is>
      </c>
      <c r="E198" s="14" t="n">
        <v>3599</v>
      </c>
      <c r="F198" s="15" t="inlineStr">
        <is>
          <t>ні</t>
        </is>
      </c>
      <c r="G198" s="16" t="n">
        <v>2899</v>
      </c>
      <c r="H198" s="15" t="inlineStr">
        <is>
          <t>ні</t>
        </is>
      </c>
      <c r="I198" s="14" t="n"/>
      <c r="J198" s="13" t="inlineStr"/>
      <c r="K198" s="13" t="inlineStr">
        <is>
          <t>Водоспад</t>
        </is>
      </c>
      <c r="L198" s="14" t="n">
        <v>2899</v>
      </c>
      <c r="M198" s="14">
        <f>IF(L198="","",E198-L198)</f>
        <v/>
      </c>
      <c r="N198" s="17">
        <f>IF(OR(L198="",L198=0),"",M198/L198)</f>
        <v/>
      </c>
      <c r="O198" s="14" t="n"/>
      <c r="P198" s="13" t="n">
        <v>0</v>
      </c>
      <c r="Q198" s="13" t="n">
        <v>1</v>
      </c>
      <c r="R198" s="13" t="inlineStr">
        <is>
          <t>код</t>
        </is>
      </c>
      <c r="S198" s="18" t="inlineStr">
        <is>
          <t>відкрити</t>
        </is>
      </c>
    </row>
    <row r="199">
      <c r="A199" s="11" t="inlineStr">
        <is>
          <t>Ваша ціна вища</t>
        </is>
      </c>
      <c r="B199" s="12" t="inlineStr">
        <is>
          <t>Ваша ціна вища на 300 грн (24.0%); Немає в наявності в жодного постачальника</t>
        </is>
      </c>
      <c r="C199" s="13" t="inlineStr">
        <is>
          <t>1026917</t>
        </is>
      </c>
      <c r="D199" s="12" t="inlineStr">
        <is>
          <t>Ножиці для трави Fiskars White GS41 (1026917​​​​​​​) Фінляндія</t>
        </is>
      </c>
      <c r="E199" s="14" t="n">
        <v>1549</v>
      </c>
      <c r="F199" s="13" t="inlineStr">
        <is>
          <t>так</t>
        </is>
      </c>
      <c r="G199" s="16" t="n">
        <v>1249</v>
      </c>
      <c r="H199" s="15" t="inlineStr">
        <is>
          <t>ні</t>
        </is>
      </c>
      <c r="I199" s="14" t="n"/>
      <c r="J199" s="13" t="inlineStr"/>
      <c r="K199" s="13" t="inlineStr">
        <is>
          <t>Водоспад</t>
        </is>
      </c>
      <c r="L199" s="14" t="n">
        <v>1249</v>
      </c>
      <c r="M199" s="14">
        <f>IF(L199="","",E199-L199)</f>
        <v/>
      </c>
      <c r="N199" s="17">
        <f>IF(OR(L199="",L199=0),"",M199/L199)</f>
        <v/>
      </c>
      <c r="O199" s="14" t="n"/>
      <c r="P199" s="13" t="n">
        <v>0</v>
      </c>
      <c r="Q199" s="13" t="n">
        <v>1</v>
      </c>
      <c r="R199" s="13" t="inlineStr">
        <is>
          <t>код</t>
        </is>
      </c>
      <c r="S199" s="18" t="inlineStr">
        <is>
          <t>відкрити</t>
        </is>
      </c>
    </row>
    <row r="200">
      <c r="A200" s="11" t="inlineStr">
        <is>
          <t>Ваша ціна вища</t>
        </is>
      </c>
      <c r="B200" s="12" t="inlineStr">
        <is>
          <t>Ваша ціна вища на 400 грн (23.5%)</t>
        </is>
      </c>
      <c r="C200" s="13" t="inlineStr">
        <is>
          <t>1001560</t>
        </is>
      </c>
      <c r="D200" s="12" t="inlineStr">
        <is>
          <t>Штанга подовжувальна Фіскарс / Fiskars UP80 110460 (1001560) Фінляндія</t>
        </is>
      </c>
      <c r="E200" s="14" t="n">
        <v>2099</v>
      </c>
      <c r="F200" s="15" t="inlineStr">
        <is>
          <t>ні</t>
        </is>
      </c>
      <c r="G200" s="16" t="n">
        <v>1699</v>
      </c>
      <c r="H200" s="15" t="inlineStr">
        <is>
          <t>ні</t>
        </is>
      </c>
      <c r="I200" s="14" t="n"/>
      <c r="J200" s="13" t="inlineStr"/>
      <c r="K200" s="13" t="inlineStr">
        <is>
          <t>Водоспад</t>
        </is>
      </c>
      <c r="L200" s="14" t="n">
        <v>1699</v>
      </c>
      <c r="M200" s="14">
        <f>IF(L200="","",E200-L200)</f>
        <v/>
      </c>
      <c r="N200" s="17">
        <f>IF(OR(L200="",L200=0),"",M200/L200)</f>
        <v/>
      </c>
      <c r="O200" s="14" t="n"/>
      <c r="P200" s="13" t="n">
        <v>0</v>
      </c>
      <c r="Q200" s="13" t="n">
        <v>1</v>
      </c>
      <c r="R200" s="13" t="inlineStr">
        <is>
          <t>код</t>
        </is>
      </c>
      <c r="S200" s="18" t="inlineStr">
        <is>
          <t>відкрити</t>
        </is>
      </c>
    </row>
    <row r="201">
      <c r="A201" s="11" t="inlineStr">
        <is>
          <t>Ваша ціна вища</t>
        </is>
      </c>
      <c r="B201" s="12" t="inlineStr">
        <is>
          <t>Ваша ціна вища на 260 грн (22.9%)</t>
        </is>
      </c>
      <c r="C201" s="13" t="inlineStr">
        <is>
          <t>1018606</t>
        </is>
      </c>
      <c r="D201" s="12" t="inlineStr">
        <is>
          <t>Лопата для саджанців Фіскарс Fiskars (181e) 131470 (1018606) Фінляндія</t>
        </is>
      </c>
      <c r="E201" s="14" t="n">
        <v>1395</v>
      </c>
      <c r="F201" s="15" t="inlineStr">
        <is>
          <t>ні</t>
        </is>
      </c>
      <c r="G201" s="14" t="n">
        <v>2299</v>
      </c>
      <c r="H201" s="15" t="inlineStr">
        <is>
          <t>ні</t>
        </is>
      </c>
      <c r="I201" s="16" t="n">
        <v>1135</v>
      </c>
      <c r="J201" s="15" t="inlineStr">
        <is>
          <t>ні</t>
        </is>
      </c>
      <c r="K201" s="13" t="inlineStr">
        <is>
          <t>Клуб Рослин</t>
        </is>
      </c>
      <c r="L201" s="14" t="n">
        <v>1135</v>
      </c>
      <c r="M201" s="14">
        <f>IF(L201="","",E201-L201)</f>
        <v/>
      </c>
      <c r="N201" s="17">
        <f>IF(OR(L201="",L201=0),"",M201/L201)</f>
        <v/>
      </c>
      <c r="O201" s="14" t="n"/>
      <c r="P201" s="13" t="n">
        <v>0</v>
      </c>
      <c r="Q201" s="13" t="n">
        <v>1</v>
      </c>
      <c r="R201" s="13" t="inlineStr">
        <is>
          <t>код</t>
        </is>
      </c>
      <c r="S201" s="18" t="inlineStr">
        <is>
          <t>відкрити</t>
        </is>
      </c>
    </row>
    <row r="202">
      <c r="A202" s="11" t="inlineStr">
        <is>
          <t>Ваша ціна вища</t>
        </is>
      </c>
      <c r="B202" s="12" t="inlineStr">
        <is>
          <t>Ваша ціна вища на 600 грн (22.2%)</t>
        </is>
      </c>
      <c r="C202" s="13" t="inlineStr">
        <is>
          <t>1020203</t>
        </is>
      </c>
      <c r="D202" s="12" t="inlineStr">
        <is>
          <t>Секатор професійний Фіскарс Fiskars PB-8 L 111870 (1020203) Фінляндія</t>
        </is>
      </c>
      <c r="E202" s="14" t="n">
        <v>3299</v>
      </c>
      <c r="F202" s="15" t="inlineStr">
        <is>
          <t>ні</t>
        </is>
      </c>
      <c r="G202" s="16" t="n">
        <v>2699</v>
      </c>
      <c r="H202" s="15" t="inlineStr">
        <is>
          <t>ні</t>
        </is>
      </c>
      <c r="I202" s="14" t="n"/>
      <c r="J202" s="13" t="inlineStr"/>
      <c r="K202" s="13" t="inlineStr">
        <is>
          <t>Водоспад</t>
        </is>
      </c>
      <c r="L202" s="14" t="n">
        <v>2699</v>
      </c>
      <c r="M202" s="14">
        <f>IF(L202="","",E202-L202)</f>
        <v/>
      </c>
      <c r="N202" s="17">
        <f>IF(OR(L202="",L202=0),"",M202/L202)</f>
        <v/>
      </c>
      <c r="O202" s="14" t="n"/>
      <c r="P202" s="13" t="n">
        <v>0</v>
      </c>
      <c r="Q202" s="13" t="n">
        <v>1</v>
      </c>
      <c r="R202" s="13" t="inlineStr">
        <is>
          <t>код</t>
        </is>
      </c>
      <c r="S202" s="18" t="inlineStr">
        <is>
          <t>відкрити</t>
        </is>
      </c>
    </row>
    <row r="203">
      <c r="A203" s="11" t="inlineStr">
        <is>
          <t>Ваша ціна вища</t>
        </is>
      </c>
      <c r="B203" s="12" t="inlineStr">
        <is>
          <t>Ваша ціна вища на 400 грн (22.2%); Немає в наявності в жодного постачальника</t>
        </is>
      </c>
      <c r="C203" s="13" t="inlineStr">
        <is>
          <t>1015618</t>
        </is>
      </c>
      <c r="D203" s="12" t="inlineStr">
        <is>
          <t>Універсальна сокира Фіскарс Fiskars XS X7 121423 (1015618) Фінляндія</t>
        </is>
      </c>
      <c r="E203" s="14" t="n">
        <v>2199</v>
      </c>
      <c r="F203" s="13" t="inlineStr">
        <is>
          <t>так</t>
        </is>
      </c>
      <c r="G203" s="16" t="n">
        <v>1799</v>
      </c>
      <c r="H203" s="15" t="inlineStr">
        <is>
          <t>ні</t>
        </is>
      </c>
      <c r="I203" s="14" t="n"/>
      <c r="J203" s="13" t="inlineStr"/>
      <c r="K203" s="13" t="inlineStr">
        <is>
          <t>Водоспад</t>
        </is>
      </c>
      <c r="L203" s="14" t="n">
        <v>1799</v>
      </c>
      <c r="M203" s="14">
        <f>IF(L203="","",E203-L203)</f>
        <v/>
      </c>
      <c r="N203" s="17">
        <f>IF(OR(L203="",L203=0),"",M203/L203)</f>
        <v/>
      </c>
      <c r="O203" s="14" t="n"/>
      <c r="P203" s="13" t="n">
        <v>0</v>
      </c>
      <c r="Q203" s="13" t="n">
        <v>1</v>
      </c>
      <c r="R203" s="13" t="inlineStr">
        <is>
          <t>код</t>
        </is>
      </c>
      <c r="S203" s="18" t="inlineStr">
        <is>
          <t>відкрити</t>
        </is>
      </c>
    </row>
    <row r="204">
      <c r="A204" s="11" t="inlineStr">
        <is>
          <t>Ваша ціна вища</t>
        </is>
      </c>
      <c r="B204" s="12" t="inlineStr">
        <is>
          <t>Ваша ціна вища на 700 грн (21.2%); Немає в наявності в жодного постачальника</t>
        </is>
      </c>
      <c r="C204" s="13" t="inlineStr">
        <is>
          <t>1015643</t>
        </is>
      </c>
      <c r="D204" s="12" t="inlineStr">
        <is>
          <t>Сокира-колун Фіскарс Fiskars X25 XL 122483 (1015643) Фінляндія</t>
        </is>
      </c>
      <c r="E204" s="14" t="n">
        <v>3999</v>
      </c>
      <c r="F204" s="13" t="inlineStr">
        <is>
          <t>так</t>
        </is>
      </c>
      <c r="G204" s="16" t="n">
        <v>3299</v>
      </c>
      <c r="H204" s="15" t="inlineStr">
        <is>
          <t>ні</t>
        </is>
      </c>
      <c r="I204" s="14" t="n"/>
      <c r="J204" s="13" t="inlineStr"/>
      <c r="K204" s="13" t="inlineStr">
        <is>
          <t>Водоспад</t>
        </is>
      </c>
      <c r="L204" s="14" t="n">
        <v>3299</v>
      </c>
      <c r="M204" s="14">
        <f>IF(L204="","",E204-L204)</f>
        <v/>
      </c>
      <c r="N204" s="17">
        <f>IF(OR(L204="",L204=0),"",M204/L204)</f>
        <v/>
      </c>
      <c r="O204" s="14" t="n"/>
      <c r="P204" s="13" t="n">
        <v>0</v>
      </c>
      <c r="Q204" s="13" t="n">
        <v>1</v>
      </c>
      <c r="R204" s="13" t="inlineStr">
        <is>
          <t>код</t>
        </is>
      </c>
      <c r="S204" s="18" t="inlineStr">
        <is>
          <t>відкрити</t>
        </is>
      </c>
    </row>
    <row r="205">
      <c r="A205" s="11" t="inlineStr">
        <is>
          <t>Ваша ціна вища</t>
        </is>
      </c>
      <c r="B205" s="12" t="inlineStr">
        <is>
          <t>Ваша ціна вища на 577.2 грн (18.5%)</t>
        </is>
      </c>
      <c r="C205" s="13" t="inlineStr">
        <is>
          <t>77db851f-abbb-11ee-bf43-c87f546feb15</t>
        </is>
      </c>
      <c r="D205" s="12" t="inlineStr">
        <is>
          <t>Гілкоріз площинний Фіскарс / Fiskars Quantum L108 112630 (1001435) Фінляндія</t>
        </is>
      </c>
      <c r="E205" s="14" t="n">
        <v>3699</v>
      </c>
      <c r="F205" s="15" t="inlineStr">
        <is>
          <t>ні</t>
        </is>
      </c>
      <c r="G205" s="14" t="n"/>
      <c r="H205" s="13" t="inlineStr"/>
      <c r="I205" s="16" t="n">
        <v>3121.8</v>
      </c>
      <c r="J205" s="15" t="inlineStr">
        <is>
          <t>ні</t>
        </is>
      </c>
      <c r="K205" s="13" t="inlineStr">
        <is>
          <t>Клуб Рослин</t>
        </is>
      </c>
      <c r="L205" s="14" t="n">
        <v>3121.8</v>
      </c>
      <c r="M205" s="14">
        <f>IF(L205="","",E205-L205)</f>
        <v/>
      </c>
      <c r="N205" s="17">
        <f>IF(OR(L205="",L205=0),"",M205/L205)</f>
        <v/>
      </c>
      <c r="O205" s="14" t="n"/>
      <c r="P205" s="13" t="n">
        <v>0</v>
      </c>
      <c r="Q205" s="13" t="n">
        <v>1</v>
      </c>
      <c r="R205" s="13" t="inlineStr">
        <is>
          <t>код</t>
        </is>
      </c>
      <c r="S205" s="19" t="n"/>
    </row>
    <row r="206">
      <c r="A206" s="11" t="inlineStr">
        <is>
          <t>Ваша ціна вища</t>
        </is>
      </c>
      <c r="B206" s="12" t="inlineStr">
        <is>
          <t>Ваша ціна вища на 577.2 грн (18.5%)</t>
        </is>
      </c>
      <c r="C206" s="13" t="inlineStr">
        <is>
          <t>1001435</t>
        </is>
      </c>
      <c r="D206" s="12" t="inlineStr">
        <is>
          <t>Сучкоріз площинний Фіскарс Fiskars Quantum L108 112630 (1001435) Фінляндія</t>
        </is>
      </c>
      <c r="E206" s="14" t="n">
        <v>3699</v>
      </c>
      <c r="F206" s="15" t="inlineStr">
        <is>
          <t>ні</t>
        </is>
      </c>
      <c r="G206" s="14" t="n"/>
      <c r="H206" s="13" t="inlineStr"/>
      <c r="I206" s="16" t="n">
        <v>3121.8</v>
      </c>
      <c r="J206" s="15" t="inlineStr">
        <is>
          <t>ні</t>
        </is>
      </c>
      <c r="K206" s="13" t="inlineStr">
        <is>
          <t>Клуб Рослин</t>
        </is>
      </c>
      <c r="L206" s="14" t="n">
        <v>3121.8</v>
      </c>
      <c r="M206" s="14">
        <f>IF(L206="","",E206-L206)</f>
        <v/>
      </c>
      <c r="N206" s="17">
        <f>IF(OR(L206="",L206=0),"",M206/L206)</f>
        <v/>
      </c>
      <c r="O206" s="14" t="n"/>
      <c r="P206" s="13" t="n">
        <v>0</v>
      </c>
      <c r="Q206" s="13" t="n">
        <v>1</v>
      </c>
      <c r="R206" s="13" t="inlineStr">
        <is>
          <t>код</t>
        </is>
      </c>
      <c r="S206" s="18" t="inlineStr">
        <is>
          <t>відкрити</t>
        </is>
      </c>
    </row>
    <row r="207">
      <c r="A207" s="11" t="inlineStr">
        <is>
          <t>Ваша ціна вища</t>
        </is>
      </c>
      <c r="B207" s="12" t="inlineStr">
        <is>
          <t>Ваша ціна вища на 256 грн (18.3%)</t>
        </is>
      </c>
      <c r="C207" s="13" t="inlineStr">
        <is>
          <t>904</t>
        </is>
      </c>
      <c r="D207" s="12" t="inlineStr">
        <is>
          <t>Точильний інструмент Фелко / Felco 904</t>
        </is>
      </c>
      <c r="E207" s="14" t="n">
        <v>1655</v>
      </c>
      <c r="F207" s="15" t="inlineStr">
        <is>
          <t>ні</t>
        </is>
      </c>
      <c r="G207" s="14" t="n"/>
      <c r="H207" s="13" t="inlineStr"/>
      <c r="I207" s="16" t="n">
        <v>1399</v>
      </c>
      <c r="J207" s="15" t="inlineStr">
        <is>
          <t>ні</t>
        </is>
      </c>
      <c r="K207" s="13" t="inlineStr">
        <is>
          <t>Клуб Рослин</t>
        </is>
      </c>
      <c r="L207" s="14" t="n">
        <v>1399</v>
      </c>
      <c r="M207" s="14">
        <f>IF(L207="","",E207-L207)</f>
        <v/>
      </c>
      <c r="N207" s="17">
        <f>IF(OR(L207="",L207=0),"",M207/L207)</f>
        <v/>
      </c>
      <c r="O207" s="14" t="n"/>
      <c r="P207" s="13" t="n">
        <v>0</v>
      </c>
      <c r="Q207" s="13" t="n">
        <v>1</v>
      </c>
      <c r="R207" s="13" t="inlineStr">
        <is>
          <t>схожа назва</t>
        </is>
      </c>
      <c r="S207" s="18" t="inlineStr">
        <is>
          <t>відкрити</t>
        </is>
      </c>
    </row>
    <row r="208">
      <c r="A208" s="11" t="inlineStr">
        <is>
          <t>Ваша ціна вища</t>
        </is>
      </c>
      <c r="B208" s="12" t="inlineStr">
        <is>
          <t>Ваша ціна вища на 509 грн (18.2%)</t>
        </is>
      </c>
      <c r="C208" s="13" t="inlineStr">
        <is>
          <t>Z-26K</t>
        </is>
      </c>
      <c r="D208" s="12" t="inlineStr">
        <is>
          <t>Секатор типу ножиці Камакі / Kamaki (Z-26K) Японія</t>
        </is>
      </c>
      <c r="E208" s="14" t="n">
        <v>3299</v>
      </c>
      <c r="F208" s="15" t="inlineStr">
        <is>
          <t>ні</t>
        </is>
      </c>
      <c r="G208" s="14" t="n"/>
      <c r="H208" s="13" t="inlineStr"/>
      <c r="I208" s="16" t="n">
        <v>2790</v>
      </c>
      <c r="J208" s="13" t="inlineStr">
        <is>
          <t>так</t>
        </is>
      </c>
      <c r="K208" s="13" t="inlineStr">
        <is>
          <t>Клуб Рослин</t>
        </is>
      </c>
      <c r="L208" s="14" t="n">
        <v>2790</v>
      </c>
      <c r="M208" s="14">
        <f>IF(L208="","",E208-L208)</f>
        <v/>
      </c>
      <c r="N208" s="17">
        <f>IF(OR(L208="",L208=0),"",M208/L208)</f>
        <v/>
      </c>
      <c r="O208" s="14" t="n"/>
      <c r="P208" s="13" t="n">
        <v>0</v>
      </c>
      <c r="Q208" s="13" t="n">
        <v>1</v>
      </c>
      <c r="R208" s="13" t="inlineStr">
        <is>
          <t>модель</t>
        </is>
      </c>
      <c r="S208" s="18" t="inlineStr">
        <is>
          <t>відкрити</t>
        </is>
      </c>
    </row>
    <row r="209">
      <c r="A209" s="11" t="inlineStr">
        <is>
          <t>Ваша ціна вища</t>
        </is>
      </c>
      <c r="B209" s="12" t="inlineStr">
        <is>
          <t>Ваша ціна вища на 322 грн (18.1%)</t>
        </is>
      </c>
      <c r="C209" s="13" t="inlineStr">
        <is>
          <t>1026931</t>
        </is>
      </c>
      <c r="D209" s="12" t="inlineStr">
        <is>
          <t>Ножиці для живоплоту Фіскарс / Fiskars White HS53 (1026931) Фінляндія</t>
        </is>
      </c>
      <c r="E209" s="14" t="n">
        <v>2099</v>
      </c>
      <c r="F209" s="15" t="inlineStr">
        <is>
          <t>ні</t>
        </is>
      </c>
      <c r="G209" s="16" t="n">
        <v>1777</v>
      </c>
      <c r="H209" s="15" t="inlineStr">
        <is>
          <t>ні</t>
        </is>
      </c>
      <c r="I209" s="14" t="n"/>
      <c r="J209" s="13" t="inlineStr"/>
      <c r="K209" s="13" t="inlineStr">
        <is>
          <t>Водоспад</t>
        </is>
      </c>
      <c r="L209" s="14" t="n">
        <v>1777</v>
      </c>
      <c r="M209" s="14">
        <f>IF(L209="","",E209-L209)</f>
        <v/>
      </c>
      <c r="N209" s="17">
        <f>IF(OR(L209="",L209=0),"",M209/L209)</f>
        <v/>
      </c>
      <c r="O209" s="14" t="n"/>
      <c r="P209" s="13" t="n">
        <v>0</v>
      </c>
      <c r="Q209" s="13" t="n">
        <v>1</v>
      </c>
      <c r="R209" s="13" t="inlineStr">
        <is>
          <t>код</t>
        </is>
      </c>
      <c r="S209" s="18" t="inlineStr">
        <is>
          <t>відкрити</t>
        </is>
      </c>
    </row>
    <row r="210">
      <c r="A210" s="11" t="inlineStr">
        <is>
          <t>Ваша ціна вища</t>
        </is>
      </c>
      <c r="B210" s="12" t="inlineStr">
        <is>
          <t>Ваша ціна вища на 300 грн (17.8%)</t>
        </is>
      </c>
      <c r="C210" s="13" t="inlineStr">
        <is>
          <t>202AP</t>
        </is>
      </c>
      <c r="D210" s="12" t="inlineStr">
        <is>
          <t>Ніж Due Buoi 202AP для щеплення універсальний Італія</t>
        </is>
      </c>
      <c r="E210" s="14" t="n">
        <v>1990</v>
      </c>
      <c r="F210" s="15" t="inlineStr">
        <is>
          <t>ні</t>
        </is>
      </c>
      <c r="G210" s="14" t="n"/>
      <c r="H210" s="13" t="inlineStr"/>
      <c r="I210" s="16" t="n">
        <v>1690</v>
      </c>
      <c r="J210" s="15" t="inlineStr">
        <is>
          <t>ні</t>
        </is>
      </c>
      <c r="K210" s="13" t="inlineStr">
        <is>
          <t>Клуб Рослин</t>
        </is>
      </c>
      <c r="L210" s="14" t="n">
        <v>1690</v>
      </c>
      <c r="M210" s="14">
        <f>IF(L210="","",E210-L210)</f>
        <v/>
      </c>
      <c r="N210" s="17">
        <f>IF(OR(L210="",L210=0),"",M210/L210)</f>
        <v/>
      </c>
      <c r="O210" s="14" t="n"/>
      <c r="P210" s="13" t="n">
        <v>0</v>
      </c>
      <c r="Q210" s="13" t="n">
        <v>1</v>
      </c>
      <c r="R210" s="13" t="inlineStr">
        <is>
          <t>схожа назва</t>
        </is>
      </c>
      <c r="S210" s="18" t="inlineStr">
        <is>
          <t>відкрити</t>
        </is>
      </c>
    </row>
    <row r="211">
      <c r="A211" s="11" t="inlineStr">
        <is>
          <t>Ваша ціна вища</t>
        </is>
      </c>
      <c r="B211" s="12" t="inlineStr">
        <is>
          <t>Ваша ціна вища на 300 грн (17.7%); Немає в наявності в жодного постачальника</t>
        </is>
      </c>
      <c r="C211" s="13" t="inlineStr">
        <is>
          <t>1066708</t>
        </is>
      </c>
      <c r="D211" s="12" t="inlineStr">
        <is>
          <t>Лопата штикова Фіскарс Fiskars Ergonomic 1001568 (1066708) Фінляндія</t>
        </is>
      </c>
      <c r="E211" s="14" t="n">
        <v>1999</v>
      </c>
      <c r="F211" s="13" t="inlineStr">
        <is>
          <t>так</t>
        </is>
      </c>
      <c r="G211" s="16" t="n">
        <v>1699</v>
      </c>
      <c r="H211" s="15" t="inlineStr">
        <is>
          <t>ні</t>
        </is>
      </c>
      <c r="I211" s="14" t="n"/>
      <c r="J211" s="13" t="inlineStr"/>
      <c r="K211" s="13" t="inlineStr">
        <is>
          <t>Водоспад</t>
        </is>
      </c>
      <c r="L211" s="14" t="n">
        <v>1699</v>
      </c>
      <c r="M211" s="14">
        <f>IF(L211="","",E211-L211)</f>
        <v/>
      </c>
      <c r="N211" s="17">
        <f>IF(OR(L211="",L211=0),"",M211/L211)</f>
        <v/>
      </c>
      <c r="O211" s="14" t="n"/>
      <c r="P211" s="13" t="n">
        <v>0</v>
      </c>
      <c r="Q211" s="13" t="n">
        <v>1</v>
      </c>
      <c r="R211" s="13" t="inlineStr">
        <is>
          <t>код</t>
        </is>
      </c>
      <c r="S211" s="18" t="inlineStr">
        <is>
          <t>відкрити</t>
        </is>
      </c>
    </row>
    <row r="212">
      <c r="A212" s="11" t="inlineStr">
        <is>
          <t>Ваша ціна вища</t>
        </is>
      </c>
      <c r="B212" s="12" t="inlineStr">
        <is>
          <t>Ваша ціна вища на 200 грн (16.7%); Немає в наявності в жодного постачальника</t>
        </is>
      </c>
      <c r="C212" s="13" t="inlineStr">
        <is>
          <t>1066716</t>
        </is>
      </c>
      <c r="D212" s="12" t="inlineStr">
        <is>
          <t>Лопата штикова Фіскарс Fiskars Solid 1003455 (1066716) Фінляндія</t>
        </is>
      </c>
      <c r="E212" s="14" t="n">
        <v>1399</v>
      </c>
      <c r="F212" s="13" t="inlineStr">
        <is>
          <t>так</t>
        </is>
      </c>
      <c r="G212" s="16" t="n">
        <v>1199</v>
      </c>
      <c r="H212" s="15" t="inlineStr">
        <is>
          <t>ні</t>
        </is>
      </c>
      <c r="I212" s="14" t="n"/>
      <c r="J212" s="13" t="inlineStr"/>
      <c r="K212" s="13" t="inlineStr">
        <is>
          <t>Водоспад</t>
        </is>
      </c>
      <c r="L212" s="14" t="n">
        <v>1199</v>
      </c>
      <c r="M212" s="14">
        <f>IF(L212="","",E212-L212)</f>
        <v/>
      </c>
      <c r="N212" s="17">
        <f>IF(OR(L212="",L212=0),"",M212/L212)</f>
        <v/>
      </c>
      <c r="O212" s="14" t="n"/>
      <c r="P212" s="13" t="n">
        <v>0</v>
      </c>
      <c r="Q212" s="13" t="n">
        <v>1</v>
      </c>
      <c r="R212" s="13" t="inlineStr">
        <is>
          <t>код</t>
        </is>
      </c>
      <c r="S212" s="18" t="inlineStr">
        <is>
          <t>відкрити</t>
        </is>
      </c>
    </row>
    <row r="213">
      <c r="A213" s="11" t="inlineStr">
        <is>
          <t>Ваша ціна вища</t>
        </is>
      </c>
      <c r="B213" s="12" t="inlineStr">
        <is>
          <t>Ваша ціна вища на 491 грн (16.4%)</t>
        </is>
      </c>
      <c r="C213" s="13" t="inlineStr">
        <is>
          <t>4940003A</t>
        </is>
      </c>
      <c r="D213" s="12" t="inlineStr">
        <is>
          <t>Секатор для щеплення (20 мм різ V - лезо) Innexta (4940003A) Stoker Італія</t>
        </is>
      </c>
      <c r="E213" s="14" t="n">
        <v>3490</v>
      </c>
      <c r="F213" s="15" t="inlineStr">
        <is>
          <t>ні</t>
        </is>
      </c>
      <c r="G213" s="16" t="n">
        <v>2999</v>
      </c>
      <c r="H213" s="15" t="inlineStr">
        <is>
          <t>ні</t>
        </is>
      </c>
      <c r="I213" s="14" t="n"/>
      <c r="J213" s="13" t="inlineStr"/>
      <c r="K213" s="13" t="inlineStr">
        <is>
          <t>Водоспад</t>
        </is>
      </c>
      <c r="L213" s="14" t="n">
        <v>2999</v>
      </c>
      <c r="M213" s="14">
        <f>IF(L213="","",E213-L213)</f>
        <v/>
      </c>
      <c r="N213" s="17">
        <f>IF(OR(L213="",L213=0),"",M213/L213)</f>
        <v/>
      </c>
      <c r="O213" s="14" t="n"/>
      <c r="P213" s="13" t="n">
        <v>0</v>
      </c>
      <c r="Q213" s="13" t="n">
        <v>1</v>
      </c>
      <c r="R213" s="13" t="inlineStr">
        <is>
          <t>код</t>
        </is>
      </c>
      <c r="S213" s="18" t="inlineStr">
        <is>
          <t>відкрити</t>
        </is>
      </c>
    </row>
    <row r="214">
      <c r="A214" s="11" t="inlineStr">
        <is>
          <t>Ваша ціна вища</t>
        </is>
      </c>
      <c r="B214" s="12" t="inlineStr">
        <is>
          <t>Ваша ціна вища на 73 грн (15.4%); Немає в наявності в жодного постачальника</t>
        </is>
      </c>
      <c r="C214" s="13" t="inlineStr">
        <is>
          <t>8064</t>
        </is>
      </c>
      <c r="D214" s="12" t="inlineStr">
        <is>
          <t>Добриво Сайкін Преміум / Saikin Premium 18-18-18+МЕ+ЕАV 2 кг Туреччина</t>
        </is>
      </c>
      <c r="E214" s="14" t="n">
        <v>548</v>
      </c>
      <c r="F214" s="13" t="inlineStr">
        <is>
          <t>так</t>
        </is>
      </c>
      <c r="G214" s="14" t="n"/>
      <c r="H214" s="13" t="inlineStr"/>
      <c r="I214" s="16" t="n">
        <v>475</v>
      </c>
      <c r="J214" s="15" t="inlineStr">
        <is>
          <t>ні</t>
        </is>
      </c>
      <c r="K214" s="13" t="inlineStr">
        <is>
          <t>Клуб Рослин</t>
        </is>
      </c>
      <c r="L214" s="14" t="n">
        <v>475</v>
      </c>
      <c r="M214" s="14">
        <f>IF(L214="","",E214-L214)</f>
        <v/>
      </c>
      <c r="N214" s="17">
        <f>IF(OR(L214="",L214=0),"",M214/L214)</f>
        <v/>
      </c>
      <c r="O214" s="14" t="n"/>
      <c r="P214" s="13" t="n">
        <v>0</v>
      </c>
      <c r="Q214" s="13" t="n">
        <v>1</v>
      </c>
      <c r="R214" s="13" t="inlineStr">
        <is>
          <t>код</t>
        </is>
      </c>
      <c r="S214" s="18" t="inlineStr">
        <is>
          <t>відкрити</t>
        </is>
      </c>
    </row>
    <row r="215">
      <c r="A215" s="11" t="inlineStr">
        <is>
          <t>Ваша ціна вища</t>
        </is>
      </c>
      <c r="B215" s="12" t="inlineStr">
        <is>
          <t>Ваша ціна вища на 524 грн (15.1%)</t>
        </is>
      </c>
      <c r="C215" s="13" t="inlineStr">
        <is>
          <t>300/21</t>
        </is>
      </c>
      <c r="D215" s="12" t="inlineStr">
        <is>
          <t>Секатор для щеплення Due Buoi 300/21 Італія</t>
        </is>
      </c>
      <c r="E215" s="14" t="n">
        <v>3999</v>
      </c>
      <c r="F215" s="13" t="inlineStr">
        <is>
          <t>так</t>
        </is>
      </c>
      <c r="G215" s="14" t="n"/>
      <c r="H215" s="13" t="inlineStr"/>
      <c r="I215" s="16" t="n">
        <v>3475</v>
      </c>
      <c r="J215" s="13" t="inlineStr">
        <is>
          <t>так</t>
        </is>
      </c>
      <c r="K215" s="13" t="inlineStr">
        <is>
          <t>Клуб Рослин</t>
        </is>
      </c>
      <c r="L215" s="14" t="n">
        <v>3475</v>
      </c>
      <c r="M215" s="14">
        <f>IF(L215="","",E215-L215)</f>
        <v/>
      </c>
      <c r="N215" s="17">
        <f>IF(OR(L215="",L215=0),"",M215/L215)</f>
        <v/>
      </c>
      <c r="O215" s="14" t="n"/>
      <c r="P215" s="13" t="n">
        <v>0</v>
      </c>
      <c r="Q215" s="13" t="n">
        <v>1</v>
      </c>
      <c r="R215" s="13" t="inlineStr">
        <is>
          <t>схожа назва</t>
        </is>
      </c>
      <c r="S215" s="18" t="inlineStr">
        <is>
          <t>відкрити</t>
        </is>
      </c>
    </row>
    <row r="216">
      <c r="A216" s="11" t="inlineStr">
        <is>
          <t>Ваша ціна вища</t>
        </is>
      </c>
      <c r="B216" s="12" t="inlineStr">
        <is>
          <t>Ваша ціна вища на 170 грн (14.8%)</t>
        </is>
      </c>
      <c r="C216" s="13" t="inlineStr">
        <is>
          <t>9307/19LU</t>
        </is>
      </c>
      <c r="D216" s="12" t="inlineStr">
        <is>
          <t>Ніж Antonini OLD BEAR з оливковим руків'ям 19 см (9307/19LU) Італія</t>
        </is>
      </c>
      <c r="E216" s="14" t="n">
        <v>1320</v>
      </c>
      <c r="F216" s="15" t="inlineStr">
        <is>
          <t>ні</t>
        </is>
      </c>
      <c r="G216" s="14" t="n">
        <v>1320</v>
      </c>
      <c r="H216" s="13" t="inlineStr">
        <is>
          <t>так</t>
        </is>
      </c>
      <c r="I216" s="16" t="n">
        <v>1150</v>
      </c>
      <c r="J216" s="13" t="inlineStr">
        <is>
          <t>так</t>
        </is>
      </c>
      <c r="K216" s="13" t="inlineStr">
        <is>
          <t>Клуб Рослин</t>
        </is>
      </c>
      <c r="L216" s="14" t="n">
        <v>1150</v>
      </c>
      <c r="M216" s="14">
        <f>IF(L216="","",E216-L216)</f>
        <v/>
      </c>
      <c r="N216" s="17">
        <f>IF(OR(L216="",L216=0),"",M216/L216)</f>
        <v/>
      </c>
      <c r="O216" s="14" t="n"/>
      <c r="P216" s="13" t="n">
        <v>0</v>
      </c>
      <c r="Q216" s="13" t="n">
        <v>1</v>
      </c>
      <c r="R216" s="13" t="inlineStr">
        <is>
          <t>код</t>
        </is>
      </c>
      <c r="S216" s="18" t="inlineStr">
        <is>
          <t>відкрити</t>
        </is>
      </c>
    </row>
    <row r="217">
      <c r="A217" s="11" t="inlineStr">
        <is>
          <t>Ваша ціна вища</t>
        </is>
      </c>
      <c r="B217" s="12" t="inlineStr">
        <is>
          <t>Ваша ціна вища на 80 грн (14.7%); Немає в наявності в жодного постачальника</t>
        </is>
      </c>
      <c r="C217" s="13" t="inlineStr">
        <is>
          <t>8063</t>
        </is>
      </c>
      <c r="D217" s="12" t="inlineStr">
        <is>
          <t>Добриво Сайкін Преміум / Saikin Premium 10-50-10+МЕ+ЕАV 2 кг Туреччина</t>
        </is>
      </c>
      <c r="E217" s="14" t="n">
        <v>625</v>
      </c>
      <c r="F217" s="13" t="inlineStr">
        <is>
          <t>так</t>
        </is>
      </c>
      <c r="G217" s="14" t="n"/>
      <c r="H217" s="13" t="inlineStr"/>
      <c r="I217" s="16" t="n">
        <v>545</v>
      </c>
      <c r="J217" s="15" t="inlineStr">
        <is>
          <t>ні</t>
        </is>
      </c>
      <c r="K217" s="13" t="inlineStr">
        <is>
          <t>Клуб Рослин</t>
        </is>
      </c>
      <c r="L217" s="14" t="n">
        <v>545</v>
      </c>
      <c r="M217" s="14">
        <f>IF(L217="","",E217-L217)</f>
        <v/>
      </c>
      <c r="N217" s="17">
        <f>IF(OR(L217="",L217=0),"",M217/L217)</f>
        <v/>
      </c>
      <c r="O217" s="14" t="n"/>
      <c r="P217" s="13" t="n">
        <v>0</v>
      </c>
      <c r="Q217" s="13" t="n">
        <v>1</v>
      </c>
      <c r="R217" s="13" t="inlineStr">
        <is>
          <t>код</t>
        </is>
      </c>
      <c r="S217" s="18" t="inlineStr">
        <is>
          <t>відкрити</t>
        </is>
      </c>
    </row>
    <row r="218">
      <c r="A218" s="11" t="inlineStr">
        <is>
          <t>Ваша ціна вища</t>
        </is>
      </c>
      <c r="B218" s="12" t="inlineStr">
        <is>
          <t>Ваша ціна вища на 89.21 грн (14.6%)</t>
        </is>
      </c>
      <c r="C218" s="13" t="inlineStr">
        <is>
          <t>1000639</t>
        </is>
      </c>
      <c r="D218" s="12" t="inlineStr">
        <is>
          <t>Леза для бура Fiskars QuikDrill PlusPart Part M середні 150 мм 134727 (1000639) Фінляндія</t>
        </is>
      </c>
      <c r="E218" s="14" t="n">
        <v>699</v>
      </c>
      <c r="F218" s="15" t="inlineStr">
        <is>
          <t>ні</t>
        </is>
      </c>
      <c r="G218" s="14" t="n">
        <v>649</v>
      </c>
      <c r="H218" s="15" t="inlineStr">
        <is>
          <t>ні</t>
        </is>
      </c>
      <c r="I218" s="16" t="n">
        <v>609.79</v>
      </c>
      <c r="J218" s="15" t="inlineStr">
        <is>
          <t>ні</t>
        </is>
      </c>
      <c r="K218" s="13" t="inlineStr">
        <is>
          <t>Клуб Рослин</t>
        </is>
      </c>
      <c r="L218" s="14" t="n">
        <v>609.79</v>
      </c>
      <c r="M218" s="14">
        <f>IF(L218="","",E218-L218)</f>
        <v/>
      </c>
      <c r="N218" s="17">
        <f>IF(OR(L218="",L218=0),"",M218/L218)</f>
        <v/>
      </c>
      <c r="O218" s="14" t="n"/>
      <c r="P218" s="13" t="n">
        <v>0</v>
      </c>
      <c r="Q218" s="13" t="n">
        <v>1</v>
      </c>
      <c r="R218" s="13" t="inlineStr">
        <is>
          <t>код</t>
        </is>
      </c>
      <c r="S218" s="18" t="inlineStr">
        <is>
          <t>відкрити</t>
        </is>
      </c>
    </row>
    <row r="219">
      <c r="A219" s="11" t="inlineStr">
        <is>
          <t>Ваша ціна вища</t>
        </is>
      </c>
      <c r="B219" s="12" t="inlineStr">
        <is>
          <t>Ваша ціна вища на 207.2 грн (13.4%)</t>
        </is>
      </c>
      <c r="C219" s="13" t="inlineStr">
        <is>
          <t>1003684</t>
        </is>
      </c>
      <c r="D219" s="12" t="inlineStr">
        <is>
          <t>Лопата штикова середня Fiskars Xact M 131482 (1003684) Фінляндія</t>
        </is>
      </c>
      <c r="E219" s="14" t="n">
        <v>1750</v>
      </c>
      <c r="F219" s="15" t="inlineStr">
        <is>
          <t>ні</t>
        </is>
      </c>
      <c r="G219" s="14" t="n">
        <v>1999</v>
      </c>
      <c r="H219" s="15" t="inlineStr">
        <is>
          <t>ні</t>
        </is>
      </c>
      <c r="I219" s="16" t="n">
        <v>1542.8</v>
      </c>
      <c r="J219" s="15" t="inlineStr">
        <is>
          <t>ні</t>
        </is>
      </c>
      <c r="K219" s="13" t="inlineStr">
        <is>
          <t>Клуб Рослин</t>
        </is>
      </c>
      <c r="L219" s="14" t="n">
        <v>1542.8</v>
      </c>
      <c r="M219" s="14">
        <f>IF(L219="","",E219-L219)</f>
        <v/>
      </c>
      <c r="N219" s="17">
        <f>IF(OR(L219="",L219=0),"",M219/L219)</f>
        <v/>
      </c>
      <c r="O219" s="14" t="n"/>
      <c r="P219" s="13" t="n">
        <v>0</v>
      </c>
      <c r="Q219" s="13" t="n">
        <v>1</v>
      </c>
      <c r="R219" s="13" t="inlineStr">
        <is>
          <t>код</t>
        </is>
      </c>
      <c r="S219" s="18" t="inlineStr">
        <is>
          <t>відкрити</t>
        </is>
      </c>
    </row>
    <row r="220">
      <c r="A220" s="11" t="inlineStr">
        <is>
          <t>Ваша ціна вища</t>
        </is>
      </c>
      <c r="B220" s="12" t="inlineStr">
        <is>
          <t>Ваша ціна вища на 335 грн (12.9%)</t>
        </is>
      </c>
      <c r="C220" s="13" t="inlineStr">
        <is>
          <t>P140-F</t>
        </is>
      </c>
      <c r="D220" s="12" t="inlineStr">
        <is>
          <t>Гілкоріз Bahco P140-F Бахо</t>
        </is>
      </c>
      <c r="E220" s="14" t="n">
        <v>2925</v>
      </c>
      <c r="F220" s="13" t="inlineStr">
        <is>
          <t>так</t>
        </is>
      </c>
      <c r="G220" s="16" t="n">
        <v>2590</v>
      </c>
      <c r="H220" s="13" t="inlineStr">
        <is>
          <t>так</t>
        </is>
      </c>
      <c r="I220" s="14" t="n"/>
      <c r="J220" s="13" t="inlineStr"/>
      <c r="K220" s="13" t="inlineStr">
        <is>
          <t>Водоспад</t>
        </is>
      </c>
      <c r="L220" s="14" t="n">
        <v>2590</v>
      </c>
      <c r="M220" s="14">
        <f>IF(L220="","",E220-L220)</f>
        <v/>
      </c>
      <c r="N220" s="17">
        <f>IF(OR(L220="",L220=0),"",M220/L220)</f>
        <v/>
      </c>
      <c r="O220" s="14" t="n"/>
      <c r="P220" s="13" t="n">
        <v>0</v>
      </c>
      <c r="Q220" s="13" t="n">
        <v>1</v>
      </c>
      <c r="R220" s="13" t="inlineStr">
        <is>
          <t>код</t>
        </is>
      </c>
      <c r="S220" s="18" t="inlineStr">
        <is>
          <t>відкрити</t>
        </is>
      </c>
    </row>
    <row r="221">
      <c r="A221" s="11" t="inlineStr">
        <is>
          <t>Ваша ціна вища</t>
        </is>
      </c>
      <c r="B221" s="12" t="inlineStr">
        <is>
          <t>Ваша ціна вища на 225 грн (11.9%)</t>
        </is>
      </c>
      <c r="C221" s="13" t="inlineStr">
        <is>
          <t>P59-25-F</t>
        </is>
      </c>
      <c r="D221" s="12" t="inlineStr">
        <is>
          <t>Кущоріз Bahco P59-25-F Бахо</t>
        </is>
      </c>
      <c r="E221" s="14" t="n">
        <v>2115</v>
      </c>
      <c r="F221" s="15" t="inlineStr">
        <is>
          <t>ні</t>
        </is>
      </c>
      <c r="G221" s="16" t="n">
        <v>1890</v>
      </c>
      <c r="H221" s="13" t="inlineStr">
        <is>
          <t>так</t>
        </is>
      </c>
      <c r="I221" s="14" t="n">
        <v>1890</v>
      </c>
      <c r="J221" s="13" t="inlineStr">
        <is>
          <t>так</t>
        </is>
      </c>
      <c r="K221" s="13" t="inlineStr">
        <is>
          <t>Водоспад</t>
        </is>
      </c>
      <c r="L221" s="14" t="n">
        <v>1890</v>
      </c>
      <c r="M221" s="14">
        <f>IF(L221="","",E221-L221)</f>
        <v/>
      </c>
      <c r="N221" s="17">
        <f>IF(OR(L221="",L221=0),"",M221/L221)</f>
        <v/>
      </c>
      <c r="O221" s="14" t="n"/>
      <c r="P221" s="13" t="n">
        <v>0</v>
      </c>
      <c r="Q221" s="13" t="n">
        <v>1</v>
      </c>
      <c r="R221" s="13" t="inlineStr">
        <is>
          <t>код</t>
        </is>
      </c>
      <c r="S221" s="18" t="inlineStr">
        <is>
          <t>відкрити</t>
        </is>
      </c>
    </row>
    <row r="222">
      <c r="A222" s="11" t="inlineStr">
        <is>
          <t>Ваша ціна вища</t>
        </is>
      </c>
      <c r="B222" s="12" t="inlineStr">
        <is>
          <t>Ваша ціна вища на 488 грн (10.9%)</t>
        </is>
      </c>
      <c r="C222" s="13" t="inlineStr">
        <is>
          <t>180ZR-3.0-5</t>
        </is>
      </c>
      <c r="D222" s="12" t="inlineStr">
        <is>
          <t>Секатор АРС / ARS (180ZR-3.0-5) телескопічний на штанзі 1.8–3 м поворотна голова Японія</t>
        </is>
      </c>
      <c r="E222" s="14" t="n">
        <v>4945</v>
      </c>
      <c r="F222" s="15" t="inlineStr">
        <is>
          <t>ні</t>
        </is>
      </c>
      <c r="G222" s="16" t="n">
        <v>4457</v>
      </c>
      <c r="H222" s="15" t="inlineStr">
        <is>
          <t>ні</t>
        </is>
      </c>
      <c r="I222" s="14" t="n"/>
      <c r="J222" s="13" t="inlineStr"/>
      <c r="K222" s="13" t="inlineStr">
        <is>
          <t>Водоспад</t>
        </is>
      </c>
      <c r="L222" s="14" t="n">
        <v>4457</v>
      </c>
      <c r="M222" s="14">
        <f>IF(L222="","",E222-L222)</f>
        <v/>
      </c>
      <c r="N222" s="17">
        <f>IF(OR(L222="",L222=0),"",M222/L222)</f>
        <v/>
      </c>
      <c r="O222" s="14" t="n"/>
      <c r="P222" s="13" t="n">
        <v>0</v>
      </c>
      <c r="Q222" s="13" t="n">
        <v>1</v>
      </c>
      <c r="R222" s="13" t="inlineStr">
        <is>
          <t>код</t>
        </is>
      </c>
      <c r="S222" s="18" t="inlineStr">
        <is>
          <t>відкрити</t>
        </is>
      </c>
    </row>
    <row r="223">
      <c r="A223" s="11" t="inlineStr">
        <is>
          <t>Ваша ціна вища</t>
        </is>
      </c>
      <c r="B223" s="12" t="inlineStr">
        <is>
          <t>Ваша ціна вища на 201 грн (10.1%)</t>
        </is>
      </c>
      <c r="C223" s="13" t="inlineStr">
        <is>
          <t>4940004A</t>
        </is>
      </c>
      <c r="D223" s="12" t="inlineStr">
        <is>
          <t>Ножі для щеплювального секатора V - лезо Innexta (4940004A) Stoker Італія</t>
        </is>
      </c>
      <c r="E223" s="14" t="n">
        <v>2200</v>
      </c>
      <c r="F223" s="15" t="inlineStr">
        <is>
          <t>ні</t>
        </is>
      </c>
      <c r="G223" s="16" t="n">
        <v>1999</v>
      </c>
      <c r="H223" s="15" t="inlineStr">
        <is>
          <t>ні</t>
        </is>
      </c>
      <c r="I223" s="14" t="n"/>
      <c r="J223" s="13" t="inlineStr"/>
      <c r="K223" s="13" t="inlineStr">
        <is>
          <t>Водоспад</t>
        </is>
      </c>
      <c r="L223" s="14" t="n">
        <v>1999</v>
      </c>
      <c r="M223" s="14">
        <f>IF(L223="","",E223-L223)</f>
        <v/>
      </c>
      <c r="N223" s="17">
        <f>IF(OR(L223="",L223=0),"",M223/L223)</f>
        <v/>
      </c>
      <c r="O223" s="14" t="n"/>
      <c r="P223" s="13" t="n">
        <v>0</v>
      </c>
      <c r="Q223" s="13" t="n">
        <v>1</v>
      </c>
      <c r="R223" s="13" t="inlineStr">
        <is>
          <t>код</t>
        </is>
      </c>
      <c r="S223" s="18" t="inlineStr">
        <is>
          <t>відкрити</t>
        </is>
      </c>
    </row>
    <row r="224">
      <c r="A224" s="11" t="inlineStr">
        <is>
          <t>Ваша ціна вища</t>
        </is>
      </c>
      <c r="B224" s="12" t="inlineStr">
        <is>
          <t>Ваша ціна вища на 200 грн (10.0%)</t>
        </is>
      </c>
      <c r="C224" s="13" t="inlineStr">
        <is>
          <t>1051087</t>
        </is>
      </c>
      <c r="D224" s="12" t="inlineStr">
        <is>
          <t>Малий сікач для сучків Фіскарс / Fiskars Solid S3 (1051087) Фінляндія</t>
        </is>
      </c>
      <c r="E224" s="14" t="n">
        <v>2199</v>
      </c>
      <c r="F224" s="15" t="inlineStr">
        <is>
          <t>ні</t>
        </is>
      </c>
      <c r="G224" s="16" t="n">
        <v>1999</v>
      </c>
      <c r="H224" s="15" t="inlineStr">
        <is>
          <t>ні</t>
        </is>
      </c>
      <c r="I224" s="14" t="n"/>
      <c r="J224" s="13" t="inlineStr"/>
      <c r="K224" s="13" t="inlineStr">
        <is>
          <t>Водоспад</t>
        </is>
      </c>
      <c r="L224" s="14" t="n">
        <v>1999</v>
      </c>
      <c r="M224" s="14">
        <f>IF(L224="","",E224-L224)</f>
        <v/>
      </c>
      <c r="N224" s="17">
        <f>IF(OR(L224="",L224=0),"",M224/L224)</f>
        <v/>
      </c>
      <c r="O224" s="14" t="n"/>
      <c r="P224" s="13" t="n">
        <v>0</v>
      </c>
      <c r="Q224" s="13" t="n">
        <v>1</v>
      </c>
      <c r="R224" s="13" t="inlineStr">
        <is>
          <t>код</t>
        </is>
      </c>
      <c r="S224" s="18" t="inlineStr">
        <is>
          <t>відкрити</t>
        </is>
      </c>
    </row>
    <row r="225">
      <c r="A225" s="11" t="inlineStr">
        <is>
          <t>Ваша ціна вища</t>
        </is>
      </c>
      <c r="B225" s="12" t="inlineStr">
        <is>
          <t>Ваша ціна вища на 50 грн (9.1%)</t>
        </is>
      </c>
      <c r="C225" s="13" t="inlineStr">
        <is>
          <t>710S</t>
        </is>
      </c>
      <c r="D225" s="12" t="inlineStr">
        <is>
          <t>Секатор типу ножиці Камакі / Kamaki (710S) Японія</t>
        </is>
      </c>
      <c r="E225" s="14" t="n">
        <v>599</v>
      </c>
      <c r="F225" s="13" t="inlineStr">
        <is>
          <t>так</t>
        </is>
      </c>
      <c r="G225" s="14" t="n"/>
      <c r="H225" s="13" t="inlineStr"/>
      <c r="I225" s="16" t="n">
        <v>549</v>
      </c>
      <c r="J225" s="13" t="inlineStr">
        <is>
          <t>так</t>
        </is>
      </c>
      <c r="K225" s="13" t="inlineStr">
        <is>
          <t>Клуб Рослин</t>
        </is>
      </c>
      <c r="L225" s="14" t="n">
        <v>549</v>
      </c>
      <c r="M225" s="14">
        <f>IF(L225="","",E225-L225)</f>
        <v/>
      </c>
      <c r="N225" s="17">
        <f>IF(OR(L225="",L225=0),"",M225/L225)</f>
        <v/>
      </c>
      <c r="O225" s="14" t="n"/>
      <c r="P225" s="13" t="n">
        <v>0</v>
      </c>
      <c r="Q225" s="13" t="n">
        <v>1</v>
      </c>
      <c r="R225" s="13" t="inlineStr">
        <is>
          <t>модель</t>
        </is>
      </c>
      <c r="S225" s="18" t="inlineStr">
        <is>
          <t>відкрити</t>
        </is>
      </c>
    </row>
    <row r="226">
      <c r="A226" s="11" t="inlineStr">
        <is>
          <t>Ваша ціна вища</t>
        </is>
      </c>
      <c r="B226" s="12" t="inlineStr">
        <is>
          <t>Ваша ціна вища на 200 грн (9.1%); Немає в наявності в жодного постачальника</t>
        </is>
      </c>
      <c r="C226" s="13" t="inlineStr">
        <is>
          <t>1015619</t>
        </is>
      </c>
      <c r="D226" s="12" t="inlineStr">
        <is>
          <t>Універсальна сокира Фіскарс Fiskars S X10 121443 (1015619) Фінляндія</t>
        </is>
      </c>
      <c r="E226" s="14" t="n">
        <v>2399</v>
      </c>
      <c r="F226" s="13" t="inlineStr">
        <is>
          <t>так</t>
        </is>
      </c>
      <c r="G226" s="16" t="n">
        <v>2199</v>
      </c>
      <c r="H226" s="15" t="inlineStr">
        <is>
          <t>ні</t>
        </is>
      </c>
      <c r="I226" s="14" t="n"/>
      <c r="J226" s="13" t="inlineStr"/>
      <c r="K226" s="13" t="inlineStr">
        <is>
          <t>Водоспад</t>
        </is>
      </c>
      <c r="L226" s="14" t="n">
        <v>2199</v>
      </c>
      <c r="M226" s="14">
        <f>IF(L226="","",E226-L226)</f>
        <v/>
      </c>
      <c r="N226" s="17">
        <f>IF(OR(L226="",L226=0),"",M226/L226)</f>
        <v/>
      </c>
      <c r="O226" s="14" t="n"/>
      <c r="P226" s="13" t="n">
        <v>0</v>
      </c>
      <c r="Q226" s="13" t="n">
        <v>1</v>
      </c>
      <c r="R226" s="13" t="inlineStr">
        <is>
          <t>код</t>
        </is>
      </c>
      <c r="S226" s="18" t="inlineStr">
        <is>
          <t>відкрити</t>
        </is>
      </c>
    </row>
    <row r="227">
      <c r="A227" s="11" t="inlineStr">
        <is>
          <t>Ваша ціна вища</t>
        </is>
      </c>
      <c r="B227" s="12" t="inlineStr">
        <is>
          <t>Ваша ціна вища на 116.5 грн (7.1%)</t>
        </is>
      </c>
      <c r="C227" s="13" t="inlineStr">
        <is>
          <t>1003683</t>
        </is>
      </c>
      <c r="D227" s="12" t="inlineStr">
        <is>
          <t>Лопата штикова Fiskars Xact L 131483 (1003683) Фінляндія</t>
        </is>
      </c>
      <c r="E227" s="14" t="n">
        <v>1750</v>
      </c>
      <c r="F227" s="15" t="inlineStr">
        <is>
          <t>ні</t>
        </is>
      </c>
      <c r="G227" s="14" t="n">
        <v>2399</v>
      </c>
      <c r="H227" s="15" t="inlineStr">
        <is>
          <t>ні</t>
        </is>
      </c>
      <c r="I227" s="16" t="n">
        <v>1633.5</v>
      </c>
      <c r="J227" s="15" t="inlineStr">
        <is>
          <t>ні</t>
        </is>
      </c>
      <c r="K227" s="13" t="inlineStr">
        <is>
          <t>Клуб Рослин</t>
        </is>
      </c>
      <c r="L227" s="14" t="n">
        <v>1633.5</v>
      </c>
      <c r="M227" s="14">
        <f>IF(L227="","",E227-L227)</f>
        <v/>
      </c>
      <c r="N227" s="17">
        <f>IF(OR(L227="",L227=0),"",M227/L227)</f>
        <v/>
      </c>
      <c r="O227" s="14" t="n"/>
      <c r="P227" s="13" t="n">
        <v>0</v>
      </c>
      <c r="Q227" s="13" t="n">
        <v>1</v>
      </c>
      <c r="R227" s="13" t="inlineStr">
        <is>
          <t>код</t>
        </is>
      </c>
      <c r="S227" s="18" t="inlineStr">
        <is>
          <t>відкрити</t>
        </is>
      </c>
    </row>
    <row r="228">
      <c r="A228" s="11" t="inlineStr">
        <is>
          <t>Ваша ціна вища</t>
        </is>
      </c>
      <c r="B228" s="12" t="inlineStr">
        <is>
          <t>Ваша ціна вища на 191 грн (5.5%); Немає в наявності в жодного постачальника</t>
        </is>
      </c>
      <c r="C228" s="13" t="inlineStr">
        <is>
          <t>K-900Z</t>
        </is>
      </c>
      <c r="D228" s="12" t="inlineStr">
        <is>
          <t>Ножиці для кущів АРС / ARS (К-900Z) Японія</t>
        </is>
      </c>
      <c r="E228" s="14" t="n">
        <v>3690</v>
      </c>
      <c r="F228" s="13" t="inlineStr">
        <is>
          <t>так</t>
        </is>
      </c>
      <c r="G228" s="16" t="n">
        <v>3499</v>
      </c>
      <c r="H228" s="15" t="inlineStr">
        <is>
          <t>ні</t>
        </is>
      </c>
      <c r="I228" s="14" t="n"/>
      <c r="J228" s="13" t="inlineStr"/>
      <c r="K228" s="13" t="inlineStr">
        <is>
          <t>Водоспад</t>
        </is>
      </c>
      <c r="L228" s="14" t="n">
        <v>3499</v>
      </c>
      <c r="M228" s="14">
        <f>IF(L228="","",E228-L228)</f>
        <v/>
      </c>
      <c r="N228" s="17">
        <f>IF(OR(L228="",L228=0),"",M228/L228)</f>
        <v/>
      </c>
      <c r="O228" s="14" t="n"/>
      <c r="P228" s="13" t="n">
        <v>0</v>
      </c>
      <c r="Q228" s="13" t="n">
        <v>1</v>
      </c>
      <c r="R228" s="13" t="inlineStr">
        <is>
          <t>код</t>
        </is>
      </c>
      <c r="S228" s="18" t="inlineStr">
        <is>
          <t>відкрити</t>
        </is>
      </c>
    </row>
    <row r="229">
      <c r="A229" s="11" t="inlineStr">
        <is>
          <t>Ваша ціна вища</t>
        </is>
      </c>
      <c r="B229" s="12" t="inlineStr">
        <is>
          <t>Ваша ціна вища на 240 грн (5.3%)</t>
        </is>
      </c>
      <c r="C229" s="13" t="inlineStr">
        <is>
          <t>KST205</t>
        </is>
      </c>
      <c r="D229" s="12" t="inlineStr">
        <is>
          <t>Ножиці для кущів Окатсуне / Okatsune (KST205) Японія</t>
        </is>
      </c>
      <c r="E229" s="14" t="n">
        <v>4790</v>
      </c>
      <c r="F229" s="13" t="inlineStr">
        <is>
          <t>так</t>
        </is>
      </c>
      <c r="G229" s="14" t="n">
        <v>4790</v>
      </c>
      <c r="H229" s="13" t="inlineStr">
        <is>
          <t>так</t>
        </is>
      </c>
      <c r="I229" s="16" t="n">
        <v>4550</v>
      </c>
      <c r="J229" s="13" t="inlineStr">
        <is>
          <t>так</t>
        </is>
      </c>
      <c r="K229" s="13" t="inlineStr">
        <is>
          <t>Клуб Рослин</t>
        </is>
      </c>
      <c r="L229" s="14" t="n">
        <v>4550</v>
      </c>
      <c r="M229" s="14">
        <f>IF(L229="","",E229-L229)</f>
        <v/>
      </c>
      <c r="N229" s="17">
        <f>IF(OR(L229="",L229=0),"",M229/L229)</f>
        <v/>
      </c>
      <c r="O229" s="14" t="n"/>
      <c r="P229" s="13" t="n">
        <v>0</v>
      </c>
      <c r="Q229" s="13" t="n">
        <v>1</v>
      </c>
      <c r="R229" s="13" t="inlineStr">
        <is>
          <t>код</t>
        </is>
      </c>
      <c r="S229" s="18" t="inlineStr">
        <is>
          <t>відкрити</t>
        </is>
      </c>
    </row>
    <row r="230">
      <c r="A230" s="11" t="inlineStr">
        <is>
          <t>Ваша ціна вища</t>
        </is>
      </c>
      <c r="B230" s="12" t="inlineStr">
        <is>
          <t>Ваша ціна вища на 46 грн (4.6%)</t>
        </is>
      </c>
      <c r="C230" s="13" t="inlineStr">
        <is>
          <t>4211-14-6T</t>
        </is>
      </c>
      <c r="D230" s="12" t="inlineStr">
        <is>
          <t>Садова обрізна пила Bahco 4211-14-6T (із загартованими зубами) 360 мм</t>
        </is>
      </c>
      <c r="E230" s="14" t="n">
        <v>1056</v>
      </c>
      <c r="F230" s="13" t="inlineStr">
        <is>
          <t>так</t>
        </is>
      </c>
      <c r="G230" s="16" t="n">
        <v>1010</v>
      </c>
      <c r="H230" s="13" t="inlineStr">
        <is>
          <t>так</t>
        </is>
      </c>
      <c r="I230" s="14" t="n">
        <v>1010</v>
      </c>
      <c r="J230" s="13" t="inlineStr">
        <is>
          <t>так</t>
        </is>
      </c>
      <c r="K230" s="13" t="inlineStr">
        <is>
          <t>Водоспад</t>
        </is>
      </c>
      <c r="L230" s="14" t="n">
        <v>1010</v>
      </c>
      <c r="M230" s="14">
        <f>IF(L230="","",E230-L230)</f>
        <v/>
      </c>
      <c r="N230" s="17">
        <f>IF(OR(L230="",L230=0),"",M230/L230)</f>
        <v/>
      </c>
      <c r="O230" s="14" t="n"/>
      <c r="P230" s="13" t="n">
        <v>0</v>
      </c>
      <c r="Q230" s="13" t="n">
        <v>1</v>
      </c>
      <c r="R230" s="13" t="inlineStr">
        <is>
          <t>код</t>
        </is>
      </c>
      <c r="S230" s="18" t="inlineStr">
        <is>
          <t>відкрити</t>
        </is>
      </c>
    </row>
    <row r="231">
      <c r="A231" s="11" t="inlineStr">
        <is>
          <t>Ваша ціна вища</t>
        </is>
      </c>
      <c r="B231" s="12" t="inlineStr">
        <is>
          <t>Ваша ціна вища на 44 грн (4.4%)</t>
        </is>
      </c>
      <c r="C231" s="13" t="inlineStr">
        <is>
          <t>VS-8X-1</t>
        </is>
      </c>
      <c r="D231" s="12" t="inlineStr">
        <is>
          <t>Комплект лез та гвинтів з гайками до секаторів ARS VS-8XZ / VS-8XR (VS-8X-1) Японія</t>
        </is>
      </c>
      <c r="E231" s="14" t="n">
        <v>1043</v>
      </c>
      <c r="F231" s="15" t="inlineStr">
        <is>
          <t>ні</t>
        </is>
      </c>
      <c r="G231" s="14" t="n"/>
      <c r="H231" s="13" t="inlineStr"/>
      <c r="I231" s="16" t="n">
        <v>999</v>
      </c>
      <c r="J231" s="15" t="inlineStr">
        <is>
          <t>ні</t>
        </is>
      </c>
      <c r="K231" s="13" t="inlineStr">
        <is>
          <t>Клуб Рослин</t>
        </is>
      </c>
      <c r="L231" s="14" t="n">
        <v>999</v>
      </c>
      <c r="M231" s="14">
        <f>IF(L231="","",E231-L231)</f>
        <v/>
      </c>
      <c r="N231" s="17">
        <f>IF(OR(L231="",L231=0),"",M231/L231)</f>
        <v/>
      </c>
      <c r="O231" s="14" t="n"/>
      <c r="P231" s="13" t="n">
        <v>0</v>
      </c>
      <c r="Q231" s="13" t="n">
        <v>1</v>
      </c>
      <c r="R231" s="13" t="inlineStr">
        <is>
          <t>код</t>
        </is>
      </c>
      <c r="S231" s="18" t="inlineStr">
        <is>
          <t>відкрити</t>
        </is>
      </c>
    </row>
    <row r="232">
      <c r="A232" s="11" t="inlineStr">
        <is>
          <t>Ваша ціна вища</t>
        </is>
      </c>
      <c r="B232" s="12" t="inlineStr">
        <is>
          <t>Ваша ціна вища на 110 грн (2.8%); Немає в наявності в жодного постачальника</t>
        </is>
      </c>
      <c r="C232" s="13" t="inlineStr">
        <is>
          <t>CT-42PRO</t>
        </is>
      </c>
      <c r="D232" s="12" t="inlineStr">
        <is>
          <t>Пила АРС Турбокат / ARS Turbocut (CT-42PRO) серповидна з кобурою Японія</t>
        </is>
      </c>
      <c r="E232" s="14" t="n">
        <v>3990</v>
      </c>
      <c r="F232" s="13" t="inlineStr">
        <is>
          <t>так</t>
        </is>
      </c>
      <c r="G232" s="16" t="n">
        <v>3880</v>
      </c>
      <c r="H232" s="15" t="inlineStr">
        <is>
          <t>ні</t>
        </is>
      </c>
      <c r="I232" s="14" t="n"/>
      <c r="J232" s="13" t="inlineStr"/>
      <c r="K232" s="13" t="inlineStr">
        <is>
          <t>Водоспад</t>
        </is>
      </c>
      <c r="L232" s="14" t="n">
        <v>3880</v>
      </c>
      <c r="M232" s="14">
        <f>IF(L232="","",E232-L232)</f>
        <v/>
      </c>
      <c r="N232" s="17">
        <f>IF(OR(L232="",L232=0),"",M232/L232)</f>
        <v/>
      </c>
      <c r="O232" s="14" t="n"/>
      <c r="P232" s="13" t="n">
        <v>0</v>
      </c>
      <c r="Q232" s="13" t="n">
        <v>1</v>
      </c>
      <c r="R232" s="13" t="inlineStr">
        <is>
          <t>код</t>
        </is>
      </c>
      <c r="S232" s="18" t="inlineStr">
        <is>
          <t>відкрити</t>
        </is>
      </c>
    </row>
    <row r="233">
      <c r="A233" s="11" t="inlineStr">
        <is>
          <t>Ваша ціна вища</t>
        </is>
      </c>
      <c r="B233" s="12" t="inlineStr">
        <is>
          <t>Ваша ціна вища на 51 грн (2.7%)</t>
        </is>
      </c>
      <c r="C233" s="13" t="inlineStr">
        <is>
          <t>SR-L-570</t>
        </is>
      </c>
      <c r="D233" s="12" t="inlineStr">
        <is>
          <t>Планувальник грунту без держака Смарт Рейн / Smart Rain (SR-L-590) Україн</t>
        </is>
      </c>
      <c r="E233" s="14" t="n">
        <v>1950</v>
      </c>
      <c r="F233" s="13" t="inlineStr">
        <is>
          <t>так</t>
        </is>
      </c>
      <c r="G233" s="14" t="n"/>
      <c r="H233" s="13" t="inlineStr"/>
      <c r="I233" s="16" t="n">
        <v>1899</v>
      </c>
      <c r="J233" s="13" t="inlineStr">
        <is>
          <t>так</t>
        </is>
      </c>
      <c r="K233" s="13" t="inlineStr">
        <is>
          <t>Клуб Рослин</t>
        </is>
      </c>
      <c r="L233" s="14" t="n">
        <v>1899</v>
      </c>
      <c r="M233" s="14">
        <f>IF(L233="","",E233-L233)</f>
        <v/>
      </c>
      <c r="N233" s="17">
        <f>IF(OR(L233="",L233=0),"",M233/L233)</f>
        <v/>
      </c>
      <c r="O233" s="14" t="n"/>
      <c r="P233" s="13" t="n">
        <v>0</v>
      </c>
      <c r="Q233" s="13" t="n">
        <v>1</v>
      </c>
      <c r="R233" s="13" t="inlineStr">
        <is>
          <t>код</t>
        </is>
      </c>
      <c r="S233" s="18" t="inlineStr">
        <is>
          <t>відкрити</t>
        </is>
      </c>
    </row>
    <row r="234">
      <c r="A234" s="11" t="inlineStr">
        <is>
          <t>Ваша ціна вища</t>
        </is>
      </c>
      <c r="B234" s="12" t="inlineStr">
        <is>
          <t>Ваша ціна вища на 51 грн (2.7%)</t>
        </is>
      </c>
      <c r="C234" s="13" t="inlineStr">
        <is>
          <t>SR-L-590</t>
        </is>
      </c>
      <c r="D234" s="12" t="inlineStr">
        <is>
          <t>Планувальник грунту без держака Смарт Рейн / Smart Rain (SR-L-590) Україна</t>
        </is>
      </c>
      <c r="E234" s="14" t="n">
        <v>1950</v>
      </c>
      <c r="F234" s="15" t="inlineStr">
        <is>
          <t>ні</t>
        </is>
      </c>
      <c r="G234" s="14" t="n"/>
      <c r="H234" s="13" t="inlineStr"/>
      <c r="I234" s="16" t="n">
        <v>1899</v>
      </c>
      <c r="J234" s="13" t="inlineStr">
        <is>
          <t>так</t>
        </is>
      </c>
      <c r="K234" s="13" t="inlineStr">
        <is>
          <t>Клуб Рослин</t>
        </is>
      </c>
      <c r="L234" s="14" t="n">
        <v>1899</v>
      </c>
      <c r="M234" s="14">
        <f>IF(L234="","",E234-L234)</f>
        <v/>
      </c>
      <c r="N234" s="17">
        <f>IF(OR(L234="",L234=0),"",M234/L234)</f>
        <v/>
      </c>
      <c r="O234" s="14" t="n"/>
      <c r="P234" s="13" t="n">
        <v>0</v>
      </c>
      <c r="Q234" s="13" t="n">
        <v>1</v>
      </c>
      <c r="R234" s="13" t="inlineStr">
        <is>
          <t>код</t>
        </is>
      </c>
      <c r="S234" s="18" t="inlineStr">
        <is>
          <t>відкрити</t>
        </is>
      </c>
    </row>
    <row r="235">
      <c r="A235" s="11" t="inlineStr">
        <is>
          <t>Ваша ціна вища</t>
        </is>
      </c>
      <c r="B235" s="12" t="inlineStr">
        <is>
          <t>Ваша ціна вища на 5 грн (2.3%)</t>
        </is>
      </c>
      <c r="C235" s="13" t="inlineStr">
        <is>
          <t>R516V</t>
        </is>
      </c>
      <c r="D235" s="12" t="inlineStr">
        <is>
          <t>Запасні стопори для сучкоріза P-160 R516V Bahco</t>
        </is>
      </c>
      <c r="E235" s="14" t="n">
        <v>225</v>
      </c>
      <c r="F235" s="13" t="inlineStr">
        <is>
          <t>так</t>
        </is>
      </c>
      <c r="G235" s="16" t="n">
        <v>220</v>
      </c>
      <c r="H235" s="13" t="inlineStr">
        <is>
          <t>так</t>
        </is>
      </c>
      <c r="I235" s="14" t="n">
        <v>220</v>
      </c>
      <c r="J235" s="13" t="inlineStr">
        <is>
          <t>так</t>
        </is>
      </c>
      <c r="K235" s="13" t="inlineStr">
        <is>
          <t>Водоспад</t>
        </is>
      </c>
      <c r="L235" s="14" t="n">
        <v>220</v>
      </c>
      <c r="M235" s="14">
        <f>IF(L235="","",E235-L235)</f>
        <v/>
      </c>
      <c r="N235" s="17">
        <f>IF(OR(L235="",L235=0),"",M235/L235)</f>
        <v/>
      </c>
      <c r="O235" s="14" t="n"/>
      <c r="P235" s="13" t="n">
        <v>0</v>
      </c>
      <c r="Q235" s="13" t="n">
        <v>1</v>
      </c>
      <c r="R235" s="13" t="inlineStr">
        <is>
          <t>код</t>
        </is>
      </c>
      <c r="S235" s="18" t="inlineStr">
        <is>
          <t>відкрити</t>
        </is>
      </c>
    </row>
    <row r="236">
      <c r="A236" s="11" t="inlineStr">
        <is>
          <t>Ваша ціна вища</t>
        </is>
      </c>
      <c r="B236" s="12" t="inlineStr">
        <is>
          <t>Ваша ціна вища на 23 грн (2.3%)</t>
        </is>
      </c>
      <c r="C236" s="13" t="inlineStr">
        <is>
          <t>4212-14-6T</t>
        </is>
      </c>
      <c r="D236" s="12" t="inlineStr">
        <is>
          <t>Садова обрізна пила Bahco 4212-14-6T (з переточуваними зубами) 360 мм</t>
        </is>
      </c>
      <c r="E236" s="14" t="n">
        <v>1013</v>
      </c>
      <c r="F236" s="15" t="inlineStr">
        <is>
          <t>ні</t>
        </is>
      </c>
      <c r="G236" s="16" t="n">
        <v>990</v>
      </c>
      <c r="H236" s="13" t="inlineStr">
        <is>
          <t>так</t>
        </is>
      </c>
      <c r="I236" s="14" t="n"/>
      <c r="J236" s="13" t="inlineStr"/>
      <c r="K236" s="13" t="inlineStr">
        <is>
          <t>Водоспад</t>
        </is>
      </c>
      <c r="L236" s="14" t="n">
        <v>990</v>
      </c>
      <c r="M236" s="14">
        <f>IF(L236="","",E236-L236)</f>
        <v/>
      </c>
      <c r="N236" s="17">
        <f>IF(OR(L236="",L236=0),"",M236/L236)</f>
        <v/>
      </c>
      <c r="O236" s="14" t="n"/>
      <c r="P236" s="13" t="n">
        <v>0</v>
      </c>
      <c r="Q236" s="13" t="n">
        <v>1</v>
      </c>
      <c r="R236" s="13" t="inlineStr">
        <is>
          <t>код</t>
        </is>
      </c>
      <c r="S236" s="18" t="inlineStr">
        <is>
          <t>відкрити</t>
        </is>
      </c>
    </row>
    <row r="237">
      <c r="A237" s="11" t="inlineStr">
        <is>
          <t>Ваша ціна вища</t>
        </is>
      </c>
      <c r="B237" s="12" t="inlineStr">
        <is>
          <t>Ваша ціна вища на 31 грн (1.7%)</t>
        </is>
      </c>
      <c r="C237" s="13" t="inlineStr">
        <is>
          <t>CUC-0.4-360</t>
        </is>
      </c>
      <c r="D237" s="12" t="inlineStr">
        <is>
          <t>Сокира туристична Bahco CUC-0.4-360 Бахо</t>
        </is>
      </c>
      <c r="E237" s="14" t="n">
        <v>1881</v>
      </c>
      <c r="F237" s="13" t="inlineStr">
        <is>
          <t>так</t>
        </is>
      </c>
      <c r="G237" s="14" t="n">
        <v>950</v>
      </c>
      <c r="H237" s="15" t="inlineStr">
        <is>
          <t>ні</t>
        </is>
      </c>
      <c r="I237" s="16" t="n">
        <v>1850</v>
      </c>
      <c r="J237" s="13" t="inlineStr">
        <is>
          <t>так</t>
        </is>
      </c>
      <c r="K237" s="13" t="inlineStr">
        <is>
          <t>Клуб Рослин</t>
        </is>
      </c>
      <c r="L237" s="14" t="n">
        <v>1850</v>
      </c>
      <c r="M237" s="14">
        <f>IF(L237="","",E237-L237)</f>
        <v/>
      </c>
      <c r="N237" s="17">
        <f>IF(OR(L237="",L237=0),"",M237/L237)</f>
        <v/>
      </c>
      <c r="O237" s="14" t="n"/>
      <c r="P237" s="13" t="n">
        <v>0</v>
      </c>
      <c r="Q237" s="13" t="n">
        <v>1</v>
      </c>
      <c r="R237" s="13" t="inlineStr">
        <is>
          <t>код</t>
        </is>
      </c>
      <c r="S237" s="18" t="inlineStr">
        <is>
          <t>відкрити</t>
        </is>
      </c>
    </row>
    <row r="238">
      <c r="A238" s="11" t="inlineStr">
        <is>
          <t>Ваша ціна вища</t>
        </is>
      </c>
      <c r="B238" s="12" t="inlineStr">
        <is>
          <t>Ваша ціна вища на 35 грн (1.2%)</t>
        </is>
      </c>
      <c r="C238" s="13" t="inlineStr">
        <is>
          <t>P51-SL</t>
        </is>
      </c>
      <c r="D238" s="12" t="inlineStr">
        <is>
          <t>Кущоріз BAHCO P51-SL Бахо</t>
        </is>
      </c>
      <c r="E238" s="14" t="n">
        <v>2925</v>
      </c>
      <c r="F238" s="15" t="inlineStr">
        <is>
          <t>ні</t>
        </is>
      </c>
      <c r="G238" s="16" t="n">
        <v>2890</v>
      </c>
      <c r="H238" s="15" t="inlineStr">
        <is>
          <t>ні</t>
        </is>
      </c>
      <c r="I238" s="14" t="n"/>
      <c r="J238" s="13" t="inlineStr"/>
      <c r="K238" s="13" t="inlineStr">
        <is>
          <t>Водоспад</t>
        </is>
      </c>
      <c r="L238" s="14" t="n">
        <v>2890</v>
      </c>
      <c r="M238" s="14">
        <f>IF(L238="","",E238-L238)</f>
        <v/>
      </c>
      <c r="N238" s="17">
        <f>IF(OR(L238="",L238=0),"",M238/L238)</f>
        <v/>
      </c>
      <c r="O238" s="14" t="n"/>
      <c r="P238" s="13" t="n">
        <v>0</v>
      </c>
      <c r="Q238" s="13" t="n">
        <v>1</v>
      </c>
      <c r="R238" s="13" t="inlineStr">
        <is>
          <t>код</t>
        </is>
      </c>
      <c r="S238" s="18" t="inlineStr">
        <is>
          <t>відкрити</t>
        </is>
      </c>
    </row>
    <row r="239">
      <c r="A239" s="11" t="inlineStr">
        <is>
          <t>Ваша ціна вища</t>
        </is>
      </c>
      <c r="B239" s="12" t="inlineStr">
        <is>
          <t>Ваша ціна вища на 10 грн (0.8%)</t>
        </is>
      </c>
      <c r="C239" s="13" t="inlineStr">
        <is>
          <t>5016/L-SX</t>
        </is>
      </c>
      <c r="D239" s="12" t="inlineStr">
        <is>
          <t>Ніж для щеплення універсальний для шульги високовуглецева сталь Антоніні / Antonini (5016/L-SX) Італія</t>
        </is>
      </c>
      <c r="E239" s="14" t="n">
        <v>1260</v>
      </c>
      <c r="F239" s="15" t="inlineStr">
        <is>
          <t>ні</t>
        </is>
      </c>
      <c r="G239" s="14" t="n">
        <v>1260</v>
      </c>
      <c r="H239" s="13" t="inlineStr">
        <is>
          <t>так</t>
        </is>
      </c>
      <c r="I239" s="16" t="n">
        <v>1250</v>
      </c>
      <c r="J239" s="13" t="inlineStr">
        <is>
          <t>так</t>
        </is>
      </c>
      <c r="K239" s="13" t="inlineStr">
        <is>
          <t>Клуб Рослин</t>
        </is>
      </c>
      <c r="L239" s="14" t="n">
        <v>1250</v>
      </c>
      <c r="M239" s="14">
        <f>IF(L239="","",E239-L239)</f>
        <v/>
      </c>
      <c r="N239" s="17">
        <f>IF(OR(L239="",L239=0),"",M239/L239)</f>
        <v/>
      </c>
      <c r="O239" s="14" t="n"/>
      <c r="P239" s="13" t="n">
        <v>0</v>
      </c>
      <c r="Q239" s="13" t="n">
        <v>1</v>
      </c>
      <c r="R239" s="13" t="inlineStr">
        <is>
          <t>код</t>
        </is>
      </c>
      <c r="S239" s="18" t="inlineStr">
        <is>
          <t>відкрити</t>
        </is>
      </c>
    </row>
    <row r="240">
      <c r="A240" s="11" t="inlineStr">
        <is>
          <t>Ваша ціна вища</t>
        </is>
      </c>
      <c r="B240" s="12" t="inlineStr">
        <is>
          <t>Ваша ціна вища на 6 грн (0.6%)</t>
        </is>
      </c>
      <c r="C240" s="13" t="inlineStr">
        <is>
          <t>3555.B</t>
        </is>
      </c>
      <c r="D240" s="12" t="inlineStr">
        <is>
          <t>Ножиці для трави 350 мм Bellota (3555.B) Іспанія</t>
        </is>
      </c>
      <c r="E240" s="14" t="n">
        <v>1035</v>
      </c>
      <c r="F240" s="13" t="inlineStr">
        <is>
          <t>так</t>
        </is>
      </c>
      <c r="G240" s="16" t="n">
        <v>1029</v>
      </c>
      <c r="H240" s="13" t="inlineStr">
        <is>
          <t>так</t>
        </is>
      </c>
      <c r="I240" s="14" t="n"/>
      <c r="J240" s="13" t="inlineStr"/>
      <c r="K240" s="13" t="inlineStr">
        <is>
          <t>Водоспад</t>
        </is>
      </c>
      <c r="L240" s="14" t="n">
        <v>1029</v>
      </c>
      <c r="M240" s="14">
        <f>IF(L240="","",E240-L240)</f>
        <v/>
      </c>
      <c r="N240" s="17">
        <f>IF(OR(L240="",L240=0),"",M240/L240)</f>
        <v/>
      </c>
      <c r="O240" s="14" t="n"/>
      <c r="P240" s="13" t="n">
        <v>0</v>
      </c>
      <c r="Q240" s="13" t="n">
        <v>1</v>
      </c>
      <c r="R240" s="13" t="inlineStr">
        <is>
          <t>код</t>
        </is>
      </c>
      <c r="S240" s="18" t="inlineStr">
        <is>
          <t>відкрити</t>
        </is>
      </c>
    </row>
    <row r="241">
      <c r="A241" s="20" t="inlineStr">
        <is>
          <t>В нормі</t>
        </is>
      </c>
      <c r="B241" s="21" t="inlineStr"/>
      <c r="C241" s="22" t="inlineStr">
        <is>
          <t>5526.B</t>
        </is>
      </c>
      <c r="D241" s="21" t="inlineStr">
        <is>
          <t>Саперна лопата Bellota 5526.B Іспанія</t>
        </is>
      </c>
      <c r="E241" s="23" t="n">
        <v>650</v>
      </c>
      <c r="F241" s="22" t="inlineStr">
        <is>
          <t>так</t>
        </is>
      </c>
      <c r="G241" s="24" t="n">
        <v>649</v>
      </c>
      <c r="H241" s="22" t="inlineStr">
        <is>
          <t>так</t>
        </is>
      </c>
      <c r="I241" s="23" t="n"/>
      <c r="J241" s="22" t="inlineStr"/>
      <c r="K241" s="22" t="inlineStr">
        <is>
          <t>Водоспад</t>
        </is>
      </c>
      <c r="L241" s="23" t="n">
        <v>649</v>
      </c>
      <c r="M241" s="23">
        <f>IF(L241="","",E241-L241)</f>
        <v/>
      </c>
      <c r="N241" s="25">
        <f>IF(OR(L241="",L241=0),"",M241/L241)</f>
        <v/>
      </c>
      <c r="O241" s="23" t="n"/>
      <c r="P241" s="22" t="n">
        <v>0</v>
      </c>
      <c r="Q241" s="22" t="n">
        <v>0</v>
      </c>
      <c r="R241" s="22" t="inlineStr">
        <is>
          <t>схожа назва</t>
        </is>
      </c>
      <c r="S241" s="26" t="inlineStr">
        <is>
          <t>відкрити</t>
        </is>
      </c>
    </row>
    <row r="242">
      <c r="A242" s="20" t="inlineStr">
        <is>
          <t>В нормі</t>
        </is>
      </c>
      <c r="B242" s="21" t="inlineStr"/>
      <c r="C242" s="22" t="inlineStr">
        <is>
          <t>1014808</t>
        </is>
      </c>
      <c r="D242" s="21" t="inlineStr">
        <is>
          <t>Лопата штикова Фіскарс Fiskars Solid 1014808 (1024542) Фінляндія</t>
        </is>
      </c>
      <c r="E242" s="23" t="n">
        <v>998</v>
      </c>
      <c r="F242" s="27" t="inlineStr">
        <is>
          <t>ні</t>
        </is>
      </c>
      <c r="G242" s="24" t="n">
        <v>999</v>
      </c>
      <c r="H242" s="27" t="inlineStr">
        <is>
          <t>ні</t>
        </is>
      </c>
      <c r="I242" s="23" t="n"/>
      <c r="J242" s="22" t="inlineStr"/>
      <c r="K242" s="22" t="inlineStr">
        <is>
          <t>Водоспад</t>
        </is>
      </c>
      <c r="L242" s="23" t="n">
        <v>999</v>
      </c>
      <c r="M242" s="23">
        <f>IF(L242="","",E242-L242)</f>
        <v/>
      </c>
      <c r="N242" s="25">
        <f>IF(OR(L242="",L242=0),"",M242/L242)</f>
        <v/>
      </c>
      <c r="O242" s="23" t="n"/>
      <c r="P242" s="22" t="n">
        <v>0</v>
      </c>
      <c r="Q242" s="22" t="n">
        <v>0</v>
      </c>
      <c r="R242" s="22" t="inlineStr">
        <is>
          <t>код</t>
        </is>
      </c>
      <c r="S242" s="26" t="inlineStr">
        <is>
          <t>відкрити</t>
        </is>
      </c>
    </row>
    <row r="243">
      <c r="A243" s="20" t="inlineStr">
        <is>
          <t>В нормі</t>
        </is>
      </c>
      <c r="B243" s="21" t="inlineStr"/>
      <c r="C243" s="22" t="inlineStr">
        <is>
          <t>6b066216-abbb-11ee-bf43-c87f546feb15</t>
        </is>
      </c>
      <c r="D243" s="21" t="inlineStr">
        <is>
          <t>Лопата штикова Фіскарс Fiskars Solid 1024542 (1014808) Фінляндія</t>
        </is>
      </c>
      <c r="E243" s="23" t="n">
        <v>998</v>
      </c>
      <c r="F243" s="27" t="inlineStr">
        <is>
          <t>ні</t>
        </is>
      </c>
      <c r="G243" s="24" t="n">
        <v>999</v>
      </c>
      <c r="H243" s="27" t="inlineStr">
        <is>
          <t>ні</t>
        </is>
      </c>
      <c r="I243" s="23" t="n"/>
      <c r="J243" s="22" t="inlineStr"/>
      <c r="K243" s="22" t="inlineStr">
        <is>
          <t>Водоспад</t>
        </is>
      </c>
      <c r="L243" s="23" t="n">
        <v>999</v>
      </c>
      <c r="M243" s="23">
        <f>IF(L243="","",E243-L243)</f>
        <v/>
      </c>
      <c r="N243" s="25">
        <f>IF(OR(L243="",L243=0),"",M243/L243)</f>
        <v/>
      </c>
      <c r="O243" s="23" t="n"/>
      <c r="P243" s="22" t="n">
        <v>0</v>
      </c>
      <c r="Q243" s="22" t="n">
        <v>0</v>
      </c>
      <c r="R243" s="22" t="inlineStr">
        <is>
          <t>код</t>
        </is>
      </c>
    </row>
    <row r="244">
      <c r="A244" s="20" t="inlineStr">
        <is>
          <t>В нормі</t>
        </is>
      </c>
      <c r="B244" s="21" t="inlineStr"/>
      <c r="C244" s="22" t="inlineStr">
        <is>
          <t>5010003N</t>
        </is>
      </c>
      <c r="D244" s="21" t="inlineStr">
        <is>
          <t>Мастика Арборін / Arborinn 1 кг для холодного щеплення (5010003N) AgriChem Італія</t>
        </is>
      </c>
      <c r="E244" s="23" t="n">
        <v>760</v>
      </c>
      <c r="F244" s="22" t="inlineStr">
        <is>
          <t>так</t>
        </is>
      </c>
      <c r="G244" s="24" t="n">
        <v>759</v>
      </c>
      <c r="H244" s="22" t="inlineStr">
        <is>
          <t>так</t>
        </is>
      </c>
      <c r="I244" s="23" t="n"/>
      <c r="J244" s="22" t="inlineStr"/>
      <c r="K244" s="22" t="inlineStr">
        <is>
          <t>Водоспад</t>
        </is>
      </c>
      <c r="L244" s="23" t="n">
        <v>759</v>
      </c>
      <c r="M244" s="23">
        <f>IF(L244="","",E244-L244)</f>
        <v/>
      </c>
      <c r="N244" s="25">
        <f>IF(OR(L244="",L244=0),"",M244/L244)</f>
        <v/>
      </c>
      <c r="O244" s="23" t="n"/>
      <c r="P244" s="22" t="n">
        <v>0</v>
      </c>
      <c r="Q244" s="22" t="n">
        <v>0</v>
      </c>
      <c r="R244" s="22" t="inlineStr">
        <is>
          <t>код</t>
        </is>
      </c>
      <c r="S244" s="26" t="inlineStr">
        <is>
          <t>відкрити</t>
        </is>
      </c>
    </row>
    <row r="245">
      <c r="A245" s="20" t="inlineStr">
        <is>
          <t>В нормі</t>
        </is>
      </c>
      <c r="B245" s="21" t="inlineStr"/>
      <c r="C245" s="22" t="inlineStr">
        <is>
          <t>2C_387/20</t>
        </is>
      </c>
      <c r="D245" s="21" t="inlineStr">
        <is>
          <t>Секатор з храповим механізмом Due Cigni 200 мм (2C_387/20) Італія</t>
        </is>
      </c>
      <c r="E245" s="23" t="n">
        <v>900</v>
      </c>
      <c r="F245" s="27" t="inlineStr">
        <is>
          <t>ні</t>
        </is>
      </c>
      <c r="G245" s="24" t="n">
        <v>899</v>
      </c>
      <c r="H245" s="22" t="inlineStr">
        <is>
          <t>так</t>
        </is>
      </c>
      <c r="I245" s="23" t="n"/>
      <c r="J245" s="22" t="inlineStr"/>
      <c r="K245" s="22" t="inlineStr">
        <is>
          <t>Водоспад</t>
        </is>
      </c>
      <c r="L245" s="23" t="n">
        <v>899</v>
      </c>
      <c r="M245" s="23">
        <f>IF(L245="","",E245-L245)</f>
        <v/>
      </c>
      <c r="N245" s="25">
        <f>IF(OR(L245="",L245=0),"",M245/L245)</f>
        <v/>
      </c>
      <c r="O245" s="23" t="n"/>
      <c r="P245" s="22" t="n">
        <v>0</v>
      </c>
      <c r="Q245" s="22" t="n">
        <v>0</v>
      </c>
      <c r="R245" s="22" t="inlineStr">
        <is>
          <t>код</t>
        </is>
      </c>
      <c r="S245" s="26" t="inlineStr">
        <is>
          <t>відкрити</t>
        </is>
      </c>
    </row>
    <row r="246">
      <c r="A246" s="20" t="inlineStr">
        <is>
          <t>В нормі</t>
        </is>
      </c>
      <c r="B246" s="21" t="inlineStr"/>
      <c r="C246" s="22" t="inlineStr">
        <is>
          <t>20.100</t>
        </is>
      </c>
      <c r="D246" s="21" t="inlineStr">
        <is>
          <t>Cучкоріз Lowe Original 20.100 з наковаделком Льове Німеччина</t>
        </is>
      </c>
      <c r="E246" s="23" t="n">
        <v>5500</v>
      </c>
      <c r="F246" s="27" t="inlineStr">
        <is>
          <t>ні</t>
        </is>
      </c>
      <c r="G246" s="24" t="n">
        <v>5500</v>
      </c>
      <c r="H246" s="22" t="inlineStr">
        <is>
          <t>так</t>
        </is>
      </c>
      <c r="I246" s="23" t="n"/>
      <c r="J246" s="22" t="inlineStr"/>
      <c r="K246" s="22" t="inlineStr">
        <is>
          <t>Водоспад</t>
        </is>
      </c>
      <c r="L246" s="23" t="n">
        <v>5500</v>
      </c>
      <c r="M246" s="23">
        <f>IF(L246="","",E246-L246)</f>
        <v/>
      </c>
      <c r="N246" s="25">
        <f>IF(OR(L246="",L246=0),"",M246/L246)</f>
        <v/>
      </c>
      <c r="O246" s="23" t="n"/>
      <c r="P246" s="22" t="n">
        <v>0</v>
      </c>
      <c r="Q246" s="22" t="n">
        <v>0</v>
      </c>
      <c r="R246" s="22" t="inlineStr">
        <is>
          <t>код</t>
        </is>
      </c>
      <c r="S246" s="26" t="inlineStr">
        <is>
          <t>відкрити</t>
        </is>
      </c>
    </row>
    <row r="247">
      <c r="A247" s="20" t="inlineStr">
        <is>
          <t>В нормі</t>
        </is>
      </c>
      <c r="B247" s="21" t="inlineStr"/>
      <c r="C247" s="22" t="inlineStr">
        <is>
          <t>1.104</t>
        </is>
      </c>
      <c r="D247" s="21" t="inlineStr">
        <is>
          <t>LOWE Original 1.104 Секатор з ковадлом Німеччина</t>
        </is>
      </c>
      <c r="E247" s="23" t="n">
        <v>2220</v>
      </c>
      <c r="F247" s="22" t="inlineStr">
        <is>
          <t>так</t>
        </is>
      </c>
      <c r="G247" s="24" t="n">
        <v>2220</v>
      </c>
      <c r="H247" s="22" t="inlineStr">
        <is>
          <t>так</t>
        </is>
      </c>
      <c r="I247" s="23" t="n"/>
      <c r="J247" s="22" t="inlineStr"/>
      <c r="K247" s="22" t="inlineStr">
        <is>
          <t>Водоспад</t>
        </is>
      </c>
      <c r="L247" s="23" t="n">
        <v>2220</v>
      </c>
      <c r="M247" s="23">
        <f>IF(L247="","",E247-L247)</f>
        <v/>
      </c>
      <c r="N247" s="25">
        <f>IF(OR(L247="",L247=0),"",M247/L247)</f>
        <v/>
      </c>
      <c r="O247" s="23" t="n"/>
      <c r="P247" s="22" t="n">
        <v>0</v>
      </c>
      <c r="Q247" s="22" t="n">
        <v>0</v>
      </c>
      <c r="R247" s="22" t="inlineStr">
        <is>
          <t>схожа назва</t>
        </is>
      </c>
      <c r="S247" s="26" t="inlineStr">
        <is>
          <t>відкрити</t>
        </is>
      </c>
    </row>
    <row r="248">
      <c r="A248" s="20" t="inlineStr">
        <is>
          <t>В нормі</t>
        </is>
      </c>
      <c r="B248" s="21" t="inlineStr"/>
      <c r="C248" s="22" t="inlineStr">
        <is>
          <t>10.107</t>
        </is>
      </c>
      <c r="D248" s="21" t="inlineStr">
        <is>
          <t>LOWE Original 10.107 Секатор з ковадлом Німеччина</t>
        </is>
      </c>
      <c r="E248" s="23" t="n">
        <v>2450</v>
      </c>
      <c r="F248" s="27" t="inlineStr">
        <is>
          <t>ні</t>
        </is>
      </c>
      <c r="G248" s="24" t="n">
        <v>2450</v>
      </c>
      <c r="H248" s="22" t="inlineStr">
        <is>
          <t>так</t>
        </is>
      </c>
      <c r="I248" s="23" t="n"/>
      <c r="J248" s="22" t="inlineStr"/>
      <c r="K248" s="22" t="inlineStr">
        <is>
          <t>Водоспад</t>
        </is>
      </c>
      <c r="L248" s="23" t="n">
        <v>2450</v>
      </c>
      <c r="M248" s="23">
        <f>IF(L248="","",E248-L248)</f>
        <v/>
      </c>
      <c r="N248" s="25">
        <f>IF(OR(L248="",L248=0),"",M248/L248)</f>
        <v/>
      </c>
      <c r="O248" s="23" t="n"/>
      <c r="P248" s="22" t="n">
        <v>0</v>
      </c>
      <c r="Q248" s="22" t="n">
        <v>0</v>
      </c>
      <c r="R248" s="22" t="inlineStr">
        <is>
          <t>код</t>
        </is>
      </c>
      <c r="S248" s="26" t="inlineStr">
        <is>
          <t>відкрити</t>
        </is>
      </c>
    </row>
    <row r="249">
      <c r="A249" s="20" t="inlineStr">
        <is>
          <t>В нормі</t>
        </is>
      </c>
      <c r="B249" s="21" t="inlineStr"/>
      <c r="C249" s="22" t="inlineStr">
        <is>
          <t>5.124</t>
        </is>
      </c>
      <c r="D249" s="21" t="inlineStr">
        <is>
          <t>LOWE Original 5.124 Маленький секатор з ковадлом Німеччина</t>
        </is>
      </c>
      <c r="E249" s="23" t="n">
        <v>1950</v>
      </c>
      <c r="F249" s="27" t="inlineStr">
        <is>
          <t>ні</t>
        </is>
      </c>
      <c r="G249" s="24" t="n">
        <v>1950</v>
      </c>
      <c r="H249" s="22" t="inlineStr">
        <is>
          <t>так</t>
        </is>
      </c>
      <c r="I249" s="23" t="n"/>
      <c r="J249" s="22" t="inlineStr"/>
      <c r="K249" s="22" t="inlineStr">
        <is>
          <t>Водоспад</t>
        </is>
      </c>
      <c r="L249" s="23" t="n">
        <v>1950</v>
      </c>
      <c r="M249" s="23">
        <f>IF(L249="","",E249-L249)</f>
        <v/>
      </c>
      <c r="N249" s="25">
        <f>IF(OR(L249="",L249=0),"",M249/L249)</f>
        <v/>
      </c>
      <c r="O249" s="23" t="n"/>
      <c r="P249" s="22" t="n">
        <v>0</v>
      </c>
      <c r="Q249" s="22" t="n">
        <v>0</v>
      </c>
      <c r="R249" s="22" t="inlineStr">
        <is>
          <t>схожа назва</t>
        </is>
      </c>
      <c r="S249" s="26" t="inlineStr">
        <is>
          <t>відкрити</t>
        </is>
      </c>
    </row>
    <row r="250">
      <c r="A250" s="20" t="inlineStr">
        <is>
          <t>В нормі</t>
        </is>
      </c>
      <c r="B250" s="21" t="inlineStr"/>
      <c r="C250" s="22" t="inlineStr">
        <is>
          <t>20001</t>
        </is>
      </c>
      <c r="D250" s="21" t="inlineStr">
        <is>
          <t>Lowe 20001 Робоче лезо для сучкоріза Німеччина</t>
        </is>
      </c>
      <c r="E250" s="23" t="n">
        <v>1690</v>
      </c>
      <c r="F250" s="22" t="inlineStr">
        <is>
          <t>так</t>
        </is>
      </c>
      <c r="G250" s="23" t="n">
        <v>1690</v>
      </c>
      <c r="H250" s="27" t="inlineStr">
        <is>
          <t>ні</t>
        </is>
      </c>
      <c r="I250" s="24" t="n">
        <v>1690</v>
      </c>
      <c r="J250" s="22" t="inlineStr">
        <is>
          <t>так</t>
        </is>
      </c>
      <c r="K250" s="22" t="inlineStr">
        <is>
          <t>Клуб Рослин</t>
        </is>
      </c>
      <c r="L250" s="23" t="n">
        <v>1690</v>
      </c>
      <c r="M250" s="23">
        <f>IF(L250="","",E250-L250)</f>
        <v/>
      </c>
      <c r="N250" s="25">
        <f>IF(OR(L250="",L250=0),"",M250/L250)</f>
        <v/>
      </c>
      <c r="O250" s="23" t="n"/>
      <c r="P250" s="22" t="n">
        <v>0</v>
      </c>
      <c r="Q250" s="22" t="n">
        <v>0</v>
      </c>
      <c r="R250" s="22" t="inlineStr">
        <is>
          <t>код</t>
        </is>
      </c>
      <c r="S250" s="26" t="inlineStr">
        <is>
          <t>відкрити</t>
        </is>
      </c>
    </row>
    <row r="251">
      <c r="A251" s="20" t="inlineStr">
        <is>
          <t>В нормі</t>
        </is>
      </c>
      <c r="B251" s="21" t="inlineStr"/>
      <c r="C251" s="22" t="inlineStr">
        <is>
          <t>20002</t>
        </is>
      </c>
      <c r="D251" s="21" t="inlineStr">
        <is>
          <t>Lowe 20002 Опорна наковаленка Німеччина</t>
        </is>
      </c>
      <c r="E251" s="23" t="n">
        <v>550</v>
      </c>
      <c r="F251" s="27" t="inlineStr">
        <is>
          <t>ні</t>
        </is>
      </c>
      <c r="G251" s="23" t="n">
        <v>550</v>
      </c>
      <c r="H251" s="27" t="inlineStr">
        <is>
          <t>ні</t>
        </is>
      </c>
      <c r="I251" s="24" t="n">
        <v>550</v>
      </c>
      <c r="J251" s="22" t="inlineStr">
        <is>
          <t>так</t>
        </is>
      </c>
      <c r="K251" s="22" t="inlineStr">
        <is>
          <t>Клуб Рослин</t>
        </is>
      </c>
      <c r="L251" s="23" t="n">
        <v>550</v>
      </c>
      <c r="M251" s="23">
        <f>IF(L251="","",E251-L251)</f>
        <v/>
      </c>
      <c r="N251" s="25">
        <f>IF(OR(L251="",L251=0),"",M251/L251)</f>
        <v/>
      </c>
      <c r="O251" s="23" t="n"/>
      <c r="P251" s="22" t="n">
        <v>0</v>
      </c>
      <c r="Q251" s="22" t="n">
        <v>0</v>
      </c>
      <c r="R251" s="22" t="inlineStr">
        <is>
          <t>код</t>
        </is>
      </c>
      <c r="S251" s="26" t="inlineStr">
        <is>
          <t>відкрити</t>
        </is>
      </c>
    </row>
    <row r="252">
      <c r="A252" s="20" t="inlineStr">
        <is>
          <t>В нормі</t>
        </is>
      </c>
      <c r="B252" s="21" t="inlineStr"/>
      <c r="C252" s="22" t="inlineStr">
        <is>
          <t>22001</t>
        </is>
      </c>
      <c r="D252" s="21" t="inlineStr">
        <is>
          <t>Lowe 22001 Робоче лезо для сучкоріза Німеччина</t>
        </is>
      </c>
      <c r="E252" s="23" t="n">
        <v>1790</v>
      </c>
      <c r="F252" s="22" t="inlineStr">
        <is>
          <t>так</t>
        </is>
      </c>
      <c r="G252" s="24" t="n">
        <v>1790</v>
      </c>
      <c r="H252" s="22" t="inlineStr">
        <is>
          <t>так</t>
        </is>
      </c>
      <c r="I252" s="23" t="n">
        <v>1790</v>
      </c>
      <c r="J252" s="22" t="inlineStr">
        <is>
          <t>так</t>
        </is>
      </c>
      <c r="K252" s="22" t="inlineStr">
        <is>
          <t>Водоспад</t>
        </is>
      </c>
      <c r="L252" s="23" t="n">
        <v>1790</v>
      </c>
      <c r="M252" s="23">
        <f>IF(L252="","",E252-L252)</f>
        <v/>
      </c>
      <c r="N252" s="25">
        <f>IF(OR(L252="",L252=0),"",M252/L252)</f>
        <v/>
      </c>
      <c r="O252" s="23" t="n"/>
      <c r="P252" s="22" t="n">
        <v>0</v>
      </c>
      <c r="Q252" s="22" t="n">
        <v>0</v>
      </c>
      <c r="R252" s="22" t="inlineStr">
        <is>
          <t>код</t>
        </is>
      </c>
      <c r="S252" s="26" t="inlineStr">
        <is>
          <t>відкрити</t>
        </is>
      </c>
    </row>
    <row r="253">
      <c r="A253" s="20" t="inlineStr">
        <is>
          <t>В нормі</t>
        </is>
      </c>
      <c r="B253" s="21" t="inlineStr"/>
      <c r="C253" s="22" t="inlineStr">
        <is>
          <t>22002</t>
        </is>
      </c>
      <c r="D253" s="21" t="inlineStr">
        <is>
          <t>Lowe 22002 Опорна наковаленка Німеччина</t>
        </is>
      </c>
      <c r="E253" s="23" t="n">
        <v>595</v>
      </c>
      <c r="F253" s="22" t="inlineStr">
        <is>
          <t>так</t>
        </is>
      </c>
      <c r="G253" s="24" t="n">
        <v>595</v>
      </c>
      <c r="H253" s="22" t="inlineStr">
        <is>
          <t>так</t>
        </is>
      </c>
      <c r="I253" s="23" t="n">
        <v>595</v>
      </c>
      <c r="J253" s="22" t="inlineStr">
        <is>
          <t>так</t>
        </is>
      </c>
      <c r="K253" s="22" t="inlineStr">
        <is>
          <t>Водоспад</t>
        </is>
      </c>
      <c r="L253" s="23" t="n">
        <v>595</v>
      </c>
      <c r="M253" s="23">
        <f>IF(L253="","",E253-L253)</f>
        <v/>
      </c>
      <c r="N253" s="25">
        <f>IF(OR(L253="",L253=0),"",M253/L253)</f>
        <v/>
      </c>
      <c r="O253" s="23" t="n"/>
      <c r="P253" s="22" t="n">
        <v>0</v>
      </c>
      <c r="Q253" s="22" t="n">
        <v>0</v>
      </c>
      <c r="R253" s="22" t="inlineStr">
        <is>
          <t>код</t>
        </is>
      </c>
      <c r="S253" s="26" t="inlineStr">
        <is>
          <t>відкрити</t>
        </is>
      </c>
    </row>
    <row r="254">
      <c r="A254" s="20" t="inlineStr">
        <is>
          <t>В нормі</t>
        </is>
      </c>
      <c r="B254" s="21" t="inlineStr"/>
      <c r="C254" s="22" t="inlineStr">
        <is>
          <t>31.060</t>
        </is>
      </c>
      <c r="D254" s="21" t="inlineStr">
        <is>
          <t>Lowe Original 31.060 Гілкоріз садовий малий Німеччина</t>
        </is>
      </c>
      <c r="E254" s="23" t="n">
        <v>3950</v>
      </c>
      <c r="F254" s="27" t="inlineStr">
        <is>
          <t>ні</t>
        </is>
      </c>
      <c r="G254" s="24" t="n">
        <v>3950</v>
      </c>
      <c r="H254" s="22" t="inlineStr">
        <is>
          <t>так</t>
        </is>
      </c>
      <c r="I254" s="23" t="n"/>
      <c r="J254" s="22" t="inlineStr"/>
      <c r="K254" s="22" t="inlineStr">
        <is>
          <t>Водоспад</t>
        </is>
      </c>
      <c r="L254" s="23" t="n">
        <v>3950</v>
      </c>
      <c r="M254" s="23">
        <f>IF(L254="","",E254-L254)</f>
        <v/>
      </c>
      <c r="N254" s="25">
        <f>IF(OR(L254="",L254=0),"",M254/L254)</f>
        <v/>
      </c>
      <c r="O254" s="23" t="n"/>
      <c r="P254" s="22" t="n">
        <v>0</v>
      </c>
      <c r="Q254" s="22" t="n">
        <v>0</v>
      </c>
      <c r="R254" s="22" t="inlineStr">
        <is>
          <t>код</t>
        </is>
      </c>
      <c r="S254" s="26" t="inlineStr">
        <is>
          <t>відкрити</t>
        </is>
      </c>
    </row>
    <row r="255">
      <c r="A255" s="20" t="inlineStr">
        <is>
          <t>В нормі</t>
        </is>
      </c>
      <c r="B255" s="21" t="inlineStr">
        <is>
          <t>Немає в наявності в жодного постачальника</t>
        </is>
      </c>
      <c r="C255" s="22" t="inlineStr">
        <is>
          <t>23FIPEBIO4</t>
        </is>
      </c>
      <c r="D255" s="21" t="inlineStr">
        <is>
          <t>Агротрубка (кембрик) Bio Filo 4 мм 0.5 кг 100 м Cordioli (23FIPEBIO4) Італія</t>
        </is>
      </c>
      <c r="E255" s="23" t="n">
        <v>550</v>
      </c>
      <c r="F255" s="22" t="inlineStr">
        <is>
          <t>так</t>
        </is>
      </c>
      <c r="G255" s="24" t="n">
        <v>550</v>
      </c>
      <c r="H255" s="27" t="inlineStr">
        <is>
          <t>ні</t>
        </is>
      </c>
      <c r="I255" s="23" t="n"/>
      <c r="J255" s="22" t="inlineStr"/>
      <c r="K255" s="22" t="inlineStr">
        <is>
          <t>Водоспад</t>
        </is>
      </c>
      <c r="L255" s="23" t="n">
        <v>550</v>
      </c>
      <c r="M255" s="23">
        <f>IF(L255="","",E255-L255)</f>
        <v/>
      </c>
      <c r="N255" s="25">
        <f>IF(OR(L255="",L255=0),"",M255/L255)</f>
        <v/>
      </c>
      <c r="O255" s="23" t="n"/>
      <c r="P255" s="22" t="n">
        <v>0</v>
      </c>
      <c r="Q255" s="22" t="n">
        <v>0</v>
      </c>
      <c r="R255" s="22" t="inlineStr">
        <is>
          <t>код</t>
        </is>
      </c>
      <c r="S255" s="26" t="inlineStr">
        <is>
          <t>відкрити</t>
        </is>
      </c>
    </row>
    <row r="256">
      <c r="A256" s="20" t="inlineStr">
        <is>
          <t>В нормі</t>
        </is>
      </c>
      <c r="B256" s="21" t="inlineStr"/>
      <c r="C256" s="22" t="inlineStr">
        <is>
          <t>23FIPEGRVS7</t>
        </is>
      </c>
      <c r="D256" s="21" t="inlineStr">
        <is>
          <t>Агротрубка (кембрик) для підв`язки рослин 7 мм 1 кг 75 м Super extra cordioli (23FIPEGRVS7) Італія</t>
        </is>
      </c>
      <c r="E256" s="23" t="n">
        <v>375</v>
      </c>
      <c r="F256" s="22" t="inlineStr">
        <is>
          <t>так</t>
        </is>
      </c>
      <c r="G256" s="24" t="n">
        <v>375</v>
      </c>
      <c r="H256" s="22" t="inlineStr">
        <is>
          <t>так</t>
        </is>
      </c>
      <c r="I256" s="23" t="n"/>
      <c r="J256" s="22" t="inlineStr"/>
      <c r="K256" s="22" t="inlineStr">
        <is>
          <t>Водоспад</t>
        </is>
      </c>
      <c r="L256" s="23" t="n">
        <v>375</v>
      </c>
      <c r="M256" s="23">
        <f>IF(L256="","",E256-L256)</f>
        <v/>
      </c>
      <c r="N256" s="25">
        <f>IF(OR(L256="",L256=0),"",M256/L256)</f>
        <v/>
      </c>
      <c r="O256" s="23" t="n"/>
      <c r="P256" s="22" t="n">
        <v>0</v>
      </c>
      <c r="Q256" s="22" t="n">
        <v>0</v>
      </c>
      <c r="R256" s="22" t="inlineStr">
        <is>
          <t>код</t>
        </is>
      </c>
      <c r="S256" s="26" t="inlineStr">
        <is>
          <t>відкрити</t>
        </is>
      </c>
    </row>
    <row r="257">
      <c r="A257" s="20" t="inlineStr">
        <is>
          <t>В нормі</t>
        </is>
      </c>
      <c r="B257" s="21" t="inlineStr"/>
      <c r="C257" s="22" t="inlineStr">
        <is>
          <t>3642.B</t>
        </is>
      </c>
      <c r="D257" s="21" t="inlineStr">
        <is>
          <t>Брусок точильний (3642.B) Bellota Іспанія</t>
        </is>
      </c>
      <c r="E257" s="23" t="n">
        <v>715</v>
      </c>
      <c r="F257" s="22" t="inlineStr">
        <is>
          <t>так</t>
        </is>
      </c>
      <c r="G257" s="23" t="n"/>
      <c r="H257" s="22" t="inlineStr"/>
      <c r="I257" s="24" t="n">
        <v>715</v>
      </c>
      <c r="J257" s="22" t="inlineStr">
        <is>
          <t>так</t>
        </is>
      </c>
      <c r="K257" s="22" t="inlineStr">
        <is>
          <t>Клуб Рослин</t>
        </is>
      </c>
      <c r="L257" s="23" t="n">
        <v>715</v>
      </c>
      <c r="M257" s="23">
        <f>IF(L257="","",E257-L257)</f>
        <v/>
      </c>
      <c r="N257" s="25">
        <f>IF(OR(L257="",L257=0),"",M257/L257)</f>
        <v/>
      </c>
      <c r="O257" s="23" t="n"/>
      <c r="P257" s="22" t="n">
        <v>0</v>
      </c>
      <c r="Q257" s="22" t="n">
        <v>0</v>
      </c>
      <c r="R257" s="22" t="inlineStr">
        <is>
          <t>схожа назва</t>
        </is>
      </c>
      <c r="S257" s="26" t="inlineStr">
        <is>
          <t>відкрити</t>
        </is>
      </c>
    </row>
    <row r="258">
      <c r="A258" s="20" t="inlineStr">
        <is>
          <t>В нормі</t>
        </is>
      </c>
      <c r="B258" s="21" t="inlineStr"/>
      <c r="C258" s="22" t="inlineStr">
        <is>
          <t>1003458</t>
        </is>
      </c>
      <c r="D258" s="21" t="inlineStr">
        <is>
          <t>Вила Фискарс Fiskars Solid 122 см (1003458) Фінляндія</t>
        </is>
      </c>
      <c r="E258" s="23" t="n">
        <v>1199</v>
      </c>
      <c r="F258" s="27" t="inlineStr">
        <is>
          <t>ні</t>
        </is>
      </c>
      <c r="G258" s="24" t="n">
        <v>1199</v>
      </c>
      <c r="H258" s="27" t="inlineStr">
        <is>
          <t>ні</t>
        </is>
      </c>
      <c r="I258" s="23" t="n"/>
      <c r="J258" s="22" t="inlineStr"/>
      <c r="K258" s="22" t="inlineStr">
        <is>
          <t>Водоспад</t>
        </is>
      </c>
      <c r="L258" s="23" t="n">
        <v>1199</v>
      </c>
      <c r="M258" s="23">
        <f>IF(L258="","",E258-L258)</f>
        <v/>
      </c>
      <c r="N258" s="25">
        <f>IF(OR(L258="",L258=0),"",M258/L258)</f>
        <v/>
      </c>
      <c r="O258" s="23" t="n"/>
      <c r="P258" s="22" t="n">
        <v>0</v>
      </c>
      <c r="Q258" s="22" t="n">
        <v>0</v>
      </c>
      <c r="R258" s="22" t="inlineStr">
        <is>
          <t>код</t>
        </is>
      </c>
      <c r="S258" s="26" t="inlineStr">
        <is>
          <t>відкрити</t>
        </is>
      </c>
    </row>
    <row r="259">
      <c r="A259" s="20" t="inlineStr">
        <is>
          <t>В нормі</t>
        </is>
      </c>
      <c r="B259" s="21" t="inlineStr"/>
      <c r="C259" s="22" t="inlineStr">
        <is>
          <t>77db850b-abbb-11ee-bf43-c87f546feb15</t>
        </is>
      </c>
      <c r="D259" s="21" t="inlineStr">
        <is>
          <t>Вила Фискарс Fiskars Solid 122см (1003458) Фінляндія</t>
        </is>
      </c>
      <c r="E259" s="23" t="n">
        <v>1199</v>
      </c>
      <c r="F259" s="27" t="inlineStr">
        <is>
          <t>ні</t>
        </is>
      </c>
      <c r="G259" s="24" t="n">
        <v>1199</v>
      </c>
      <c r="H259" s="27" t="inlineStr">
        <is>
          <t>ні</t>
        </is>
      </c>
      <c r="I259" s="23" t="n"/>
      <c r="J259" s="22" t="inlineStr"/>
      <c r="K259" s="22" t="inlineStr">
        <is>
          <t>Водоспад</t>
        </is>
      </c>
      <c r="L259" s="23" t="n">
        <v>1199</v>
      </c>
      <c r="M259" s="23">
        <f>IF(L259="","",E259-L259)</f>
        <v/>
      </c>
      <c r="N259" s="25">
        <f>IF(OR(L259="",L259=0),"",M259/L259)</f>
        <v/>
      </c>
      <c r="O259" s="23" t="n"/>
      <c r="P259" s="22" t="n">
        <v>0</v>
      </c>
      <c r="Q259" s="22" t="n">
        <v>0</v>
      </c>
      <c r="R259" s="22" t="inlineStr">
        <is>
          <t>код</t>
        </is>
      </c>
    </row>
    <row r="260">
      <c r="A260" s="20" t="inlineStr">
        <is>
          <t>В нормі</t>
        </is>
      </c>
      <c r="B260" s="21" t="inlineStr"/>
      <c r="C260" s="22" t="inlineStr">
        <is>
          <t>290</t>
        </is>
      </c>
      <c r="D260" s="21" t="inlineStr">
        <is>
          <t>Висоторіз телескопічний 170-270 см Фелко / Felco (290) Швейцарія</t>
        </is>
      </c>
      <c r="E260" s="23" t="n">
        <v>9650</v>
      </c>
      <c r="F260" s="27" t="inlineStr">
        <is>
          <t>ні</t>
        </is>
      </c>
      <c r="G260" s="23" t="n"/>
      <c r="H260" s="22" t="inlineStr"/>
      <c r="I260" s="24" t="n">
        <v>9650</v>
      </c>
      <c r="J260" s="22" t="inlineStr">
        <is>
          <t>так</t>
        </is>
      </c>
      <c r="K260" s="22" t="inlineStr">
        <is>
          <t>Клуб Рослин</t>
        </is>
      </c>
      <c r="L260" s="23" t="n">
        <v>9650</v>
      </c>
      <c r="M260" s="23">
        <f>IF(L260="","",E260-L260)</f>
        <v/>
      </c>
      <c r="N260" s="25">
        <f>IF(OR(L260="",L260=0),"",M260/L260)</f>
        <v/>
      </c>
      <c r="O260" s="23" t="n"/>
      <c r="P260" s="22" t="n">
        <v>0</v>
      </c>
      <c r="Q260" s="22" t="n">
        <v>0</v>
      </c>
      <c r="R260" s="22" t="inlineStr">
        <is>
          <t>код</t>
        </is>
      </c>
      <c r="S260" s="26" t="inlineStr">
        <is>
          <t>відкрити</t>
        </is>
      </c>
    </row>
    <row r="261">
      <c r="A261" s="20" t="inlineStr">
        <is>
          <t>В нормі</t>
        </is>
      </c>
      <c r="B261" s="21" t="inlineStr"/>
      <c r="C261" s="22" t="inlineStr">
        <is>
          <t>951-20.B</t>
        </is>
      </c>
      <c r="D261" s="21" t="inlineStr">
        <is>
          <t>Граблі професійні 542 мм без держака Bellota 951-20.B Іспанія</t>
        </is>
      </c>
      <c r="E261" s="23" t="n">
        <v>640</v>
      </c>
      <c r="F261" s="22" t="inlineStr">
        <is>
          <t>так</t>
        </is>
      </c>
      <c r="G261" s="23" t="n"/>
      <c r="H261" s="22" t="inlineStr"/>
      <c r="I261" s="24" t="n">
        <v>640</v>
      </c>
      <c r="J261" s="22" t="inlineStr">
        <is>
          <t>так</t>
        </is>
      </c>
      <c r="K261" s="22" t="inlineStr">
        <is>
          <t>Клуб Рослин</t>
        </is>
      </c>
      <c r="L261" s="23" t="n">
        <v>640</v>
      </c>
      <c r="M261" s="23">
        <f>IF(L261="","",E261-L261)</f>
        <v/>
      </c>
      <c r="N261" s="25">
        <f>IF(OR(L261="",L261=0),"",M261/L261)</f>
        <v/>
      </c>
      <c r="O261" s="23" t="n"/>
      <c r="P261" s="22" t="n">
        <v>0</v>
      </c>
      <c r="Q261" s="22" t="n">
        <v>0</v>
      </c>
      <c r="R261" s="22" t="inlineStr">
        <is>
          <t>код</t>
        </is>
      </c>
      <c r="S261" s="26" t="inlineStr">
        <is>
          <t>відкрити</t>
        </is>
      </c>
    </row>
    <row r="262">
      <c r="A262" s="20" t="inlineStr">
        <is>
          <t>В нормі</t>
        </is>
      </c>
      <c r="B262" s="21" t="inlineStr"/>
      <c r="C262" s="22" t="inlineStr">
        <is>
          <t>120500200106</t>
        </is>
      </c>
      <c r="D262" s="21" t="inlineStr">
        <is>
          <t>Графітовий олівець Lyra чорний 3.5 мм (120500200106)</t>
        </is>
      </c>
      <c r="E262" s="23" t="n">
        <v>89</v>
      </c>
      <c r="F262" s="27" t="inlineStr">
        <is>
          <t>ні</t>
        </is>
      </c>
      <c r="G262" s="23" t="n"/>
      <c r="H262" s="22" t="inlineStr"/>
      <c r="I262" s="24" t="n">
        <v>89</v>
      </c>
      <c r="J262" s="22" t="inlineStr">
        <is>
          <t>так</t>
        </is>
      </c>
      <c r="K262" s="22" t="inlineStr">
        <is>
          <t>Клуб Рослин</t>
        </is>
      </c>
      <c r="L262" s="23" t="n">
        <v>89</v>
      </c>
      <c r="M262" s="23">
        <f>IF(L262="","",E262-L262)</f>
        <v/>
      </c>
      <c r="N262" s="25">
        <f>IF(OR(L262="",L262=0),"",M262/L262)</f>
        <v/>
      </c>
      <c r="O262" s="23" t="n"/>
      <c r="P262" s="22" t="n">
        <v>0</v>
      </c>
      <c r="Q262" s="22" t="n">
        <v>0</v>
      </c>
      <c r="R262" s="22" t="inlineStr">
        <is>
          <t>код</t>
        </is>
      </c>
      <c r="S262" s="26" t="inlineStr">
        <is>
          <t>відкрити</t>
        </is>
      </c>
    </row>
    <row r="263">
      <c r="A263" s="20" t="inlineStr">
        <is>
          <t>В нормі</t>
        </is>
      </c>
      <c r="B263" s="21" t="inlineStr"/>
      <c r="C263" s="22" t="inlineStr">
        <is>
          <t>FAL8099</t>
        </is>
      </c>
      <c r="D263" s="21" t="inlineStr">
        <is>
          <t>Гілкоріз 80 см 990 г 40 мм Falket / Фалкет (FAL8099) Італія</t>
        </is>
      </c>
      <c r="E263" s="23" t="n">
        <v>2599</v>
      </c>
      <c r="F263" s="22" t="inlineStr">
        <is>
          <t>так</t>
        </is>
      </c>
      <c r="G263" s="24" t="n">
        <v>2599</v>
      </c>
      <c r="H263" s="22" t="inlineStr">
        <is>
          <t>так</t>
        </is>
      </c>
      <c r="I263" s="23" t="n"/>
      <c r="J263" s="22" t="inlineStr"/>
      <c r="K263" s="22" t="inlineStr">
        <is>
          <t>Водоспад</t>
        </is>
      </c>
      <c r="L263" s="23" t="n">
        <v>2599</v>
      </c>
      <c r="M263" s="23">
        <f>IF(L263="","",E263-L263)</f>
        <v/>
      </c>
      <c r="N263" s="25">
        <f>IF(OR(L263="",L263=0),"",M263/L263)</f>
        <v/>
      </c>
      <c r="O263" s="23" t="n"/>
      <c r="P263" s="22" t="n">
        <v>0</v>
      </c>
      <c r="Q263" s="22" t="n">
        <v>0</v>
      </c>
      <c r="R263" s="22" t="inlineStr">
        <is>
          <t>код</t>
        </is>
      </c>
      <c r="S263" s="26" t="inlineStr">
        <is>
          <t>відкрити</t>
        </is>
      </c>
    </row>
    <row r="264">
      <c r="A264" s="20" t="inlineStr">
        <is>
          <t>В нормі</t>
        </is>
      </c>
      <c r="B264" s="21" t="inlineStr"/>
      <c r="C264" s="22" t="inlineStr">
        <is>
          <t>P160-SL-60</t>
        </is>
      </c>
      <c r="D264" s="21" t="inlineStr">
        <is>
          <t>Гілкоріз Bahco P160-SL-60 довжина 60 см</t>
        </is>
      </c>
      <c r="E264" s="23" t="n">
        <v>3950</v>
      </c>
      <c r="F264" s="27" t="inlineStr">
        <is>
          <t>ні</t>
        </is>
      </c>
      <c r="G264" s="24" t="n">
        <v>3950</v>
      </c>
      <c r="H264" s="22" t="inlineStr">
        <is>
          <t>так</t>
        </is>
      </c>
      <c r="I264" s="23" t="n">
        <v>3950</v>
      </c>
      <c r="J264" s="22" t="inlineStr">
        <is>
          <t>так</t>
        </is>
      </c>
      <c r="K264" s="22" t="inlineStr">
        <is>
          <t>Водоспад</t>
        </is>
      </c>
      <c r="L264" s="23" t="n">
        <v>3950</v>
      </c>
      <c r="M264" s="23">
        <f>IF(L264="","",E264-L264)</f>
        <v/>
      </c>
      <c r="N264" s="25">
        <f>IF(OR(L264="",L264=0),"",M264/L264)</f>
        <v/>
      </c>
      <c r="O264" s="23" t="n"/>
      <c r="P264" s="22" t="n">
        <v>0</v>
      </c>
      <c r="Q264" s="22" t="n">
        <v>0</v>
      </c>
      <c r="R264" s="22" t="inlineStr">
        <is>
          <t>код</t>
        </is>
      </c>
      <c r="S264" s="26" t="inlineStr">
        <is>
          <t>відкрити</t>
        </is>
      </c>
    </row>
    <row r="265">
      <c r="A265" s="20" t="inlineStr">
        <is>
          <t>В нормі</t>
        </is>
      </c>
      <c r="B265" s="21" t="inlineStr"/>
      <c r="C265" s="22" t="inlineStr">
        <is>
          <t>P160-SL-90</t>
        </is>
      </c>
      <c r="D265" s="21" t="inlineStr">
        <is>
          <t>Гілкоріз Bahco P160-SL-90 довжина ручок 900 мм для обрізки саду</t>
        </is>
      </c>
      <c r="E265" s="23" t="n">
        <v>4290</v>
      </c>
      <c r="F265" s="22" t="inlineStr">
        <is>
          <t>так</t>
        </is>
      </c>
      <c r="G265" s="24" t="n">
        <v>4290</v>
      </c>
      <c r="H265" s="22" t="inlineStr">
        <is>
          <t>так</t>
        </is>
      </c>
      <c r="I265" s="23" t="n">
        <v>4290</v>
      </c>
      <c r="J265" s="22" t="inlineStr">
        <is>
          <t>так</t>
        </is>
      </c>
      <c r="K265" s="22" t="inlineStr">
        <is>
          <t>Водоспад</t>
        </is>
      </c>
      <c r="L265" s="23" t="n">
        <v>4290</v>
      </c>
      <c r="M265" s="23">
        <f>IF(L265="","",E265-L265)</f>
        <v/>
      </c>
      <c r="N265" s="25">
        <f>IF(OR(L265="",L265=0),"",M265/L265)</f>
        <v/>
      </c>
      <c r="O265" s="23" t="n"/>
      <c r="P265" s="22" t="n">
        <v>0</v>
      </c>
      <c r="Q265" s="22" t="n">
        <v>0</v>
      </c>
      <c r="R265" s="22" t="inlineStr">
        <is>
          <t>код</t>
        </is>
      </c>
      <c r="S265" s="26" t="inlineStr">
        <is>
          <t>відкрити</t>
        </is>
      </c>
    </row>
    <row r="266">
      <c r="A266" s="20" t="inlineStr">
        <is>
          <t>В нормі</t>
        </is>
      </c>
      <c r="B266" s="21" t="inlineStr"/>
      <c r="C266" s="22" t="inlineStr">
        <is>
          <t>P280-SL-80</t>
        </is>
      </c>
      <c r="D266" s="21" t="inlineStr">
        <is>
          <t>Гілкоріз Bahco P280-SL-80</t>
        </is>
      </c>
      <c r="E266" s="23" t="n">
        <v>3090</v>
      </c>
      <c r="F266" s="22" t="inlineStr">
        <is>
          <t>так</t>
        </is>
      </c>
      <c r="G266" s="24" t="n">
        <v>3090</v>
      </c>
      <c r="H266" s="22" t="inlineStr">
        <is>
          <t>так</t>
        </is>
      </c>
      <c r="I266" s="23" t="n">
        <v>3090</v>
      </c>
      <c r="J266" s="22" t="inlineStr">
        <is>
          <t>так</t>
        </is>
      </c>
      <c r="K266" s="22" t="inlineStr">
        <is>
          <t>Водоспад</t>
        </is>
      </c>
      <c r="L266" s="23" t="n">
        <v>3090</v>
      </c>
      <c r="M266" s="23">
        <f>IF(L266="","",E266-L266)</f>
        <v/>
      </c>
      <c r="N266" s="25">
        <f>IF(OR(L266="",L266=0),"",M266/L266)</f>
        <v/>
      </c>
      <c r="O266" s="23" t="n"/>
      <c r="P266" s="22" t="n">
        <v>0</v>
      </c>
      <c r="Q266" s="22" t="n">
        <v>0</v>
      </c>
      <c r="R266" s="22" t="inlineStr">
        <is>
          <t>код</t>
        </is>
      </c>
      <c r="S266" s="26" t="inlineStr">
        <is>
          <t>відкрити</t>
        </is>
      </c>
    </row>
    <row r="267">
      <c r="A267" s="20" t="inlineStr">
        <is>
          <t>В нормі</t>
        </is>
      </c>
      <c r="B267" s="21" t="inlineStr"/>
      <c r="C267" s="22" t="inlineStr">
        <is>
          <t>21.080</t>
        </is>
      </c>
      <c r="D267" s="21" t="inlineStr">
        <is>
          <t>Гілкоріз Lowe Original 21.080 професійний обхідний Німеччина</t>
        </is>
      </c>
      <c r="E267" s="23" t="n">
        <v>5490</v>
      </c>
      <c r="F267" s="22" t="inlineStr">
        <is>
          <t>так</t>
        </is>
      </c>
      <c r="G267" s="24" t="n">
        <v>5490</v>
      </c>
      <c r="H267" s="22" t="inlineStr">
        <is>
          <t>так</t>
        </is>
      </c>
      <c r="I267" s="23" t="n"/>
      <c r="J267" s="22" t="inlineStr"/>
      <c r="K267" s="22" t="inlineStr">
        <is>
          <t>Водоспад</t>
        </is>
      </c>
      <c r="L267" s="23" t="n">
        <v>5490</v>
      </c>
      <c r="M267" s="23">
        <f>IF(L267="","",E267-L267)</f>
        <v/>
      </c>
      <c r="N267" s="25">
        <f>IF(OR(L267="",L267=0),"",M267/L267)</f>
        <v/>
      </c>
      <c r="O267" s="23" t="n"/>
      <c r="P267" s="22" t="n">
        <v>0</v>
      </c>
      <c r="Q267" s="22" t="n">
        <v>0</v>
      </c>
      <c r="R267" s="22" t="inlineStr">
        <is>
          <t>код</t>
        </is>
      </c>
      <c r="S267" s="26" t="inlineStr">
        <is>
          <t>відкрити</t>
        </is>
      </c>
    </row>
    <row r="268">
      <c r="A268" s="20" t="inlineStr">
        <is>
          <t>В нормі</t>
        </is>
      </c>
      <c r="B268" s="21" t="inlineStr"/>
      <c r="C268" s="22" t="inlineStr">
        <is>
          <t>22.080</t>
        </is>
      </c>
      <c r="D268" s="21" t="inlineStr">
        <is>
          <t>Гілкоріз Lowe Original 22.080 з наковаленкою, вигнуте лезо Льові Німеччина</t>
        </is>
      </c>
      <c r="E268" s="23" t="n">
        <v>5490</v>
      </c>
      <c r="F268" s="22" t="inlineStr">
        <is>
          <t>так</t>
        </is>
      </c>
      <c r="G268" s="24" t="n">
        <v>5490</v>
      </c>
      <c r="H268" s="22" t="inlineStr">
        <is>
          <t>так</t>
        </is>
      </c>
      <c r="I268" s="23" t="n"/>
      <c r="J268" s="22" t="inlineStr"/>
      <c r="K268" s="22" t="inlineStr">
        <is>
          <t>Водоспад</t>
        </is>
      </c>
      <c r="L268" s="23" t="n">
        <v>5490</v>
      </c>
      <c r="M268" s="23">
        <f>IF(L268="","",E268-L268)</f>
        <v/>
      </c>
      <c r="N268" s="25">
        <f>IF(OR(L268="",L268=0),"",M268/L268)</f>
        <v/>
      </c>
      <c r="O268" s="23" t="n"/>
      <c r="P268" s="22" t="n">
        <v>0</v>
      </c>
      <c r="Q268" s="22" t="n">
        <v>0</v>
      </c>
      <c r="R268" s="22" t="inlineStr">
        <is>
          <t>код</t>
        </is>
      </c>
      <c r="S268" s="26" t="inlineStr">
        <is>
          <t>відкрити</t>
        </is>
      </c>
    </row>
    <row r="269">
      <c r="A269" s="20" t="inlineStr">
        <is>
          <t>В нормі</t>
        </is>
      </c>
      <c r="B269" s="21" t="inlineStr"/>
      <c r="C269" s="22" t="inlineStr">
        <is>
          <t>22.100</t>
        </is>
      </c>
      <c r="D269" s="21" t="inlineStr">
        <is>
          <t>Гілкоріз Lowe Original 22.100 з наковаленкою, вигнуте лезо Льові Німеччина</t>
        </is>
      </c>
      <c r="E269" s="23" t="n">
        <v>5600</v>
      </c>
      <c r="F269" s="22" t="inlineStr">
        <is>
          <t>так</t>
        </is>
      </c>
      <c r="G269" s="24" t="n">
        <v>5600</v>
      </c>
      <c r="H269" s="22" t="inlineStr">
        <is>
          <t>так</t>
        </is>
      </c>
      <c r="I269" s="23" t="n"/>
      <c r="J269" s="22" t="inlineStr"/>
      <c r="K269" s="22" t="inlineStr">
        <is>
          <t>Водоспад</t>
        </is>
      </c>
      <c r="L269" s="23" t="n">
        <v>5600</v>
      </c>
      <c r="M269" s="23">
        <f>IF(L269="","",E269-L269)</f>
        <v/>
      </c>
      <c r="N269" s="25">
        <f>IF(OR(L269="",L269=0),"",M269/L269)</f>
        <v/>
      </c>
      <c r="O269" s="23" t="n"/>
      <c r="P269" s="22" t="n">
        <v>0</v>
      </c>
      <c r="Q269" s="22" t="n">
        <v>0</v>
      </c>
      <c r="R269" s="22" t="inlineStr">
        <is>
          <t>код</t>
        </is>
      </c>
      <c r="S269" s="26" t="inlineStr">
        <is>
          <t>відкрити</t>
        </is>
      </c>
    </row>
    <row r="270">
      <c r="A270" s="20" t="inlineStr">
        <is>
          <t>В нормі</t>
        </is>
      </c>
      <c r="B270" s="21" t="inlineStr"/>
      <c r="C270" s="22" t="inlineStr">
        <is>
          <t>210A-60</t>
        </is>
      </c>
      <c r="D270" s="21" t="inlineStr">
        <is>
          <t>Гілкоріз Фелко / Felco 210A-60 Швейцарія</t>
        </is>
      </c>
      <c r="E270" s="23" t="n">
        <v>4990</v>
      </c>
      <c r="F270" s="27" t="inlineStr">
        <is>
          <t>ні</t>
        </is>
      </c>
      <c r="G270" s="24" t="n">
        <v>4990</v>
      </c>
      <c r="H270" s="27" t="inlineStr">
        <is>
          <t>ні</t>
        </is>
      </c>
      <c r="I270" s="23" t="n">
        <v>4990</v>
      </c>
      <c r="J270" s="27" t="inlineStr">
        <is>
          <t>ні</t>
        </is>
      </c>
      <c r="K270" s="22" t="inlineStr">
        <is>
          <t>Водоспад</t>
        </is>
      </c>
      <c r="L270" s="23" t="n">
        <v>4990</v>
      </c>
      <c r="M270" s="23">
        <f>IF(L270="","",E270-L270)</f>
        <v/>
      </c>
      <c r="N270" s="25">
        <f>IF(OR(L270="",L270=0),"",M270/L270)</f>
        <v/>
      </c>
      <c r="O270" s="23" t="n"/>
      <c r="P270" s="22" t="n">
        <v>0</v>
      </c>
      <c r="Q270" s="22" t="n">
        <v>0</v>
      </c>
      <c r="R270" s="22" t="inlineStr">
        <is>
          <t>код</t>
        </is>
      </c>
      <c r="S270" s="26" t="inlineStr">
        <is>
          <t>відкрити</t>
        </is>
      </c>
    </row>
    <row r="271">
      <c r="A271" s="20" t="inlineStr">
        <is>
          <t>В нормі</t>
        </is>
      </c>
      <c r="B271" s="21" t="inlineStr"/>
      <c r="C271" s="22" t="inlineStr">
        <is>
          <t>210А-60</t>
        </is>
      </c>
      <c r="D271" s="21" t="inlineStr">
        <is>
          <t>Гілкоріз Фелко / Felco 210A-60 Швейцарія</t>
        </is>
      </c>
      <c r="E271" s="23" t="n">
        <v>4990</v>
      </c>
      <c r="F271" s="27" t="inlineStr">
        <is>
          <t>ні</t>
        </is>
      </c>
      <c r="G271" s="24" t="n">
        <v>4990</v>
      </c>
      <c r="H271" s="27" t="inlineStr">
        <is>
          <t>ні</t>
        </is>
      </c>
      <c r="I271" s="23" t="n">
        <v>4990</v>
      </c>
      <c r="J271" s="27" t="inlineStr">
        <is>
          <t>ні</t>
        </is>
      </c>
      <c r="K271" s="22" t="inlineStr">
        <is>
          <t>Водоспад</t>
        </is>
      </c>
      <c r="L271" s="23" t="n">
        <v>4990</v>
      </c>
      <c r="M271" s="23">
        <f>IF(L271="","",E271-L271)</f>
        <v/>
      </c>
      <c r="N271" s="25">
        <f>IF(OR(L271="",L271=0),"",M271/L271)</f>
        <v/>
      </c>
      <c r="O271" s="23" t="n"/>
      <c r="P271" s="22" t="n">
        <v>0</v>
      </c>
      <c r="Q271" s="22" t="n">
        <v>0</v>
      </c>
      <c r="R271" s="22" t="inlineStr">
        <is>
          <t>код</t>
        </is>
      </c>
      <c r="S271" s="26" t="inlineStr">
        <is>
          <t>відкрити</t>
        </is>
      </c>
    </row>
    <row r="272">
      <c r="A272" s="20" t="inlineStr">
        <is>
          <t>В нормі</t>
        </is>
      </c>
      <c r="B272" s="21" t="inlineStr"/>
      <c r="C272" s="22" t="inlineStr">
        <is>
          <t>210C-60</t>
        </is>
      </c>
      <c r="D272" s="21" t="inlineStr">
        <is>
          <t>Гілкоріз Фелко / Felco 210C-60 Швейцарія</t>
        </is>
      </c>
      <c r="E272" s="23" t="n">
        <v>5300</v>
      </c>
      <c r="F272" s="27" t="inlineStr">
        <is>
          <t>ні</t>
        </is>
      </c>
      <c r="G272" s="24" t="n">
        <v>5300</v>
      </c>
      <c r="H272" s="27" t="inlineStr">
        <is>
          <t>ні</t>
        </is>
      </c>
      <c r="I272" s="23" t="n"/>
      <c r="J272" s="22" t="inlineStr"/>
      <c r="K272" s="22" t="inlineStr">
        <is>
          <t>Водоспад</t>
        </is>
      </c>
      <c r="L272" s="23" t="n">
        <v>5300</v>
      </c>
      <c r="M272" s="23">
        <f>IF(L272="","",E272-L272)</f>
        <v/>
      </c>
      <c r="N272" s="25">
        <f>IF(OR(L272="",L272=0),"",M272/L272)</f>
        <v/>
      </c>
      <c r="O272" s="23" t="n"/>
      <c r="P272" s="22" t="n">
        <v>0</v>
      </c>
      <c r="Q272" s="22" t="n">
        <v>0</v>
      </c>
      <c r="R272" s="22" t="inlineStr">
        <is>
          <t>код</t>
        </is>
      </c>
      <c r="S272" s="26" t="inlineStr">
        <is>
          <t>відкрити</t>
        </is>
      </c>
    </row>
    <row r="273">
      <c r="A273" s="20" t="inlineStr">
        <is>
          <t>В нормі</t>
        </is>
      </c>
      <c r="B273" s="21" t="inlineStr"/>
      <c r="C273" s="22" t="inlineStr">
        <is>
          <t>N22.065</t>
        </is>
      </c>
      <c r="D273" s="21" t="inlineStr">
        <is>
          <t>Гілкоріз з ковадлом Lowe Natural Series (N22.065) Німеччина</t>
        </is>
      </c>
      <c r="E273" s="23" t="n">
        <v>7399</v>
      </c>
      <c r="F273" s="27" t="inlineStr">
        <is>
          <t>ні</t>
        </is>
      </c>
      <c r="G273" s="24" t="n">
        <v>7399</v>
      </c>
      <c r="H273" s="22" t="inlineStr">
        <is>
          <t>так</t>
        </is>
      </c>
      <c r="I273" s="23" t="n"/>
      <c r="J273" s="22" t="inlineStr"/>
      <c r="K273" s="22" t="inlineStr">
        <is>
          <t>Водоспад</t>
        </is>
      </c>
      <c r="L273" s="23" t="n">
        <v>7399</v>
      </c>
      <c r="M273" s="23">
        <f>IF(L273="","",E273-L273)</f>
        <v/>
      </c>
      <c r="N273" s="25">
        <f>IF(OR(L273="",L273=0),"",M273/L273)</f>
        <v/>
      </c>
      <c r="O273" s="23" t="n"/>
      <c r="P273" s="22" t="n">
        <v>0</v>
      </c>
      <c r="Q273" s="22" t="n">
        <v>0</v>
      </c>
      <c r="R273" s="22" t="inlineStr">
        <is>
          <t>код</t>
        </is>
      </c>
      <c r="S273" s="26" t="inlineStr">
        <is>
          <t>відкрити</t>
        </is>
      </c>
    </row>
    <row r="274">
      <c r="A274" s="20" t="inlineStr">
        <is>
          <t>В нормі</t>
        </is>
      </c>
      <c r="B274" s="21" t="inlineStr"/>
      <c r="C274" s="22" t="inlineStr">
        <is>
          <t>LPA-30L</t>
        </is>
      </c>
      <c r="D274" s="21" t="inlineStr">
        <is>
          <t>Гілкоріз з храповим механізмом АРС / ARS (LPA-30L) Японія</t>
        </is>
      </c>
      <c r="E274" s="23" t="n">
        <v>5499</v>
      </c>
      <c r="F274" s="22" t="inlineStr">
        <is>
          <t>так</t>
        </is>
      </c>
      <c r="G274" s="24" t="n">
        <v>5499</v>
      </c>
      <c r="H274" s="22" t="inlineStr">
        <is>
          <t>так</t>
        </is>
      </c>
      <c r="I274" s="23" t="n"/>
      <c r="J274" s="22" t="inlineStr"/>
      <c r="K274" s="22" t="inlineStr">
        <is>
          <t>Водоспад</t>
        </is>
      </c>
      <c r="L274" s="23" t="n">
        <v>5499</v>
      </c>
      <c r="M274" s="23">
        <f>IF(L274="","",E274-L274)</f>
        <v/>
      </c>
      <c r="N274" s="25">
        <f>IF(OR(L274="",L274=0),"",M274/L274)</f>
        <v/>
      </c>
      <c r="O274" s="23" t="n"/>
      <c r="P274" s="22" t="n">
        <v>0</v>
      </c>
      <c r="Q274" s="22" t="n">
        <v>0</v>
      </c>
      <c r="R274" s="22" t="inlineStr">
        <is>
          <t>код</t>
        </is>
      </c>
      <c r="S274" s="26" t="inlineStr">
        <is>
          <t>відкрити</t>
        </is>
      </c>
    </row>
    <row r="275">
      <c r="A275" s="20" t="inlineStr">
        <is>
          <t>В нормі</t>
        </is>
      </c>
      <c r="B275" s="21" t="inlineStr"/>
      <c r="C275" s="22" t="inlineStr">
        <is>
          <t>FAL10099</t>
        </is>
      </c>
      <c r="D275" s="21" t="inlineStr">
        <is>
          <t>Гілкоріз обвідний Falket / Фалкет (FAL10099) Італія</t>
        </is>
      </c>
      <c r="E275" s="23" t="n">
        <v>2799</v>
      </c>
      <c r="F275" s="22" t="inlineStr">
        <is>
          <t>так</t>
        </is>
      </c>
      <c r="G275" s="24" t="n">
        <v>2799</v>
      </c>
      <c r="H275" s="22" t="inlineStr">
        <is>
          <t>так</t>
        </is>
      </c>
      <c r="I275" s="23" t="n"/>
      <c r="J275" s="22" t="inlineStr"/>
      <c r="K275" s="22" t="inlineStr">
        <is>
          <t>Водоспад</t>
        </is>
      </c>
      <c r="L275" s="23" t="n">
        <v>2799</v>
      </c>
      <c r="M275" s="23">
        <f>IF(L275="","",E275-L275)</f>
        <v/>
      </c>
      <c r="N275" s="25">
        <f>IF(OR(L275="",L275=0),"",M275/L275)</f>
        <v/>
      </c>
      <c r="O275" s="23" t="n"/>
      <c r="P275" s="22" t="n">
        <v>0</v>
      </c>
      <c r="Q275" s="22" t="n">
        <v>0</v>
      </c>
      <c r="R275" s="22" t="inlineStr">
        <is>
          <t>код</t>
        </is>
      </c>
      <c r="S275" s="26" t="inlineStr">
        <is>
          <t>відкрити</t>
        </is>
      </c>
    </row>
    <row r="276">
      <c r="A276" s="20" t="inlineStr">
        <is>
          <t>В нормі</t>
        </is>
      </c>
      <c r="B276" s="21" t="inlineStr"/>
      <c r="C276" s="22" t="inlineStr">
        <is>
          <t>N21.065</t>
        </is>
      </c>
      <c r="D276" s="21" t="inlineStr">
        <is>
          <t>Гілкоріз обвідний Lowe Natural Series (N21.065) Німеччина</t>
        </is>
      </c>
      <c r="E276" s="23" t="n">
        <v>7399</v>
      </c>
      <c r="F276" s="27" t="inlineStr">
        <is>
          <t>ні</t>
        </is>
      </c>
      <c r="G276" s="24" t="n">
        <v>7399</v>
      </c>
      <c r="H276" s="22" t="inlineStr">
        <is>
          <t>так</t>
        </is>
      </c>
      <c r="I276" s="23" t="n"/>
      <c r="J276" s="22" t="inlineStr"/>
      <c r="K276" s="22" t="inlineStr">
        <is>
          <t>Водоспад</t>
        </is>
      </c>
      <c r="L276" s="23" t="n">
        <v>7399</v>
      </c>
      <c r="M276" s="23">
        <f>IF(L276="","",E276-L276)</f>
        <v/>
      </c>
      <c r="N276" s="25">
        <f>IF(OR(L276="",L276=0),"",M276/L276)</f>
        <v/>
      </c>
      <c r="O276" s="23" t="n"/>
      <c r="P276" s="22" t="n">
        <v>0</v>
      </c>
      <c r="Q276" s="22" t="n">
        <v>0</v>
      </c>
      <c r="R276" s="22" t="inlineStr">
        <is>
          <t>код</t>
        </is>
      </c>
      <c r="S276" s="26" t="inlineStr">
        <is>
          <t>відкрити</t>
        </is>
      </c>
    </row>
    <row r="277">
      <c r="A277" s="20" t="inlineStr">
        <is>
          <t>В нормі</t>
        </is>
      </c>
      <c r="B277" s="21" t="inlineStr"/>
      <c r="C277" s="22" t="inlineStr">
        <is>
          <t>LPB-20L</t>
        </is>
      </c>
      <c r="D277" s="21" t="inlineStr">
        <is>
          <t>Гілкоріз обвідний АРС / ARS (LPB-20L) Японія</t>
        </is>
      </c>
      <c r="E277" s="23" t="n">
        <v>3720</v>
      </c>
      <c r="F277" s="27" t="inlineStr">
        <is>
          <t>ні</t>
        </is>
      </c>
      <c r="G277" s="24" t="n">
        <v>3720</v>
      </c>
      <c r="H277" s="22" t="inlineStr">
        <is>
          <t>так</t>
        </is>
      </c>
      <c r="I277" s="23" t="n"/>
      <c r="J277" s="22" t="inlineStr"/>
      <c r="K277" s="22" t="inlineStr">
        <is>
          <t>Водоспад</t>
        </is>
      </c>
      <c r="L277" s="23" t="n">
        <v>3720</v>
      </c>
      <c r="M277" s="23">
        <f>IF(L277="","",E277-L277)</f>
        <v/>
      </c>
      <c r="N277" s="25">
        <f>IF(OR(L277="",L277=0),"",M277/L277)</f>
        <v/>
      </c>
      <c r="O277" s="23" t="n"/>
      <c r="P277" s="22" t="n">
        <v>0</v>
      </c>
      <c r="Q277" s="22" t="n">
        <v>0</v>
      </c>
      <c r="R277" s="22" t="inlineStr">
        <is>
          <t>код</t>
        </is>
      </c>
      <c r="S277" s="26" t="inlineStr">
        <is>
          <t>відкрити</t>
        </is>
      </c>
    </row>
    <row r="278">
      <c r="A278" s="20" t="inlineStr">
        <is>
          <t>В нормі</t>
        </is>
      </c>
      <c r="B278" s="21" t="inlineStr"/>
      <c r="C278" s="22" t="inlineStr">
        <is>
          <t>LPB-20M</t>
        </is>
      </c>
      <c r="D278" s="21" t="inlineStr">
        <is>
          <t>Гілкоріз обвідний АРС / ARS (LPB-20M) Японія</t>
        </is>
      </c>
      <c r="E278" s="23" t="n">
        <v>3480</v>
      </c>
      <c r="F278" s="27" t="inlineStr">
        <is>
          <t>ні</t>
        </is>
      </c>
      <c r="G278" s="24" t="n">
        <v>3480</v>
      </c>
      <c r="H278" s="22" t="inlineStr">
        <is>
          <t>так</t>
        </is>
      </c>
      <c r="I278" s="23" t="n"/>
      <c r="J278" s="22" t="inlineStr"/>
      <c r="K278" s="22" t="inlineStr">
        <is>
          <t>Водоспад</t>
        </is>
      </c>
      <c r="L278" s="23" t="n">
        <v>3480</v>
      </c>
      <c r="M278" s="23">
        <f>IF(L278="","",E278-L278)</f>
        <v/>
      </c>
      <c r="N278" s="25">
        <f>IF(OR(L278="",L278=0),"",M278/L278)</f>
        <v/>
      </c>
      <c r="O278" s="23" t="n"/>
      <c r="P278" s="22" t="n">
        <v>0</v>
      </c>
      <c r="Q278" s="22" t="n">
        <v>0</v>
      </c>
      <c r="R278" s="22" t="inlineStr">
        <is>
          <t>код</t>
        </is>
      </c>
      <c r="S278" s="26" t="inlineStr">
        <is>
          <t>відкрити</t>
        </is>
      </c>
    </row>
    <row r="279">
      <c r="A279" s="20" t="inlineStr">
        <is>
          <t>В нормі</t>
        </is>
      </c>
      <c r="B279" s="21" t="inlineStr"/>
      <c r="C279" s="22" t="inlineStr">
        <is>
          <t>LPB-30L</t>
        </is>
      </c>
      <c r="D279" s="21" t="inlineStr">
        <is>
          <t>Гілкоріз обвідний АРС / ARS (LPB-30L) Японія</t>
        </is>
      </c>
      <c r="E279" s="23" t="n">
        <v>3880</v>
      </c>
      <c r="F279" s="27" t="inlineStr">
        <is>
          <t>ні</t>
        </is>
      </c>
      <c r="G279" s="24" t="n">
        <v>3880</v>
      </c>
      <c r="H279" s="22" t="inlineStr">
        <is>
          <t>так</t>
        </is>
      </c>
      <c r="I279" s="23" t="n"/>
      <c r="J279" s="22" t="inlineStr"/>
      <c r="K279" s="22" t="inlineStr">
        <is>
          <t>Водоспад</t>
        </is>
      </c>
      <c r="L279" s="23" t="n">
        <v>3880</v>
      </c>
      <c r="M279" s="23">
        <f>IF(L279="","",E279-L279)</f>
        <v/>
      </c>
      <c r="N279" s="25">
        <f>IF(OR(L279="",L279=0),"",M279/L279)</f>
        <v/>
      </c>
      <c r="O279" s="23" t="n"/>
      <c r="P279" s="22" t="n">
        <v>0</v>
      </c>
      <c r="Q279" s="22" t="n">
        <v>0</v>
      </c>
      <c r="R279" s="22" t="inlineStr">
        <is>
          <t>код</t>
        </is>
      </c>
      <c r="S279" s="26" t="inlineStr">
        <is>
          <t>відкрити</t>
        </is>
      </c>
    </row>
    <row r="280">
      <c r="A280" s="20" t="inlineStr">
        <is>
          <t>В нормі</t>
        </is>
      </c>
      <c r="B280" s="21" t="inlineStr"/>
      <c r="C280" s="22" t="inlineStr">
        <is>
          <t>LPB-30M</t>
        </is>
      </c>
      <c r="D280" s="21" t="inlineStr">
        <is>
          <t>Гілкоріз обвідний АРС / ARS (LPB-30M) Японія</t>
        </is>
      </c>
      <c r="E280" s="23" t="n">
        <v>3647</v>
      </c>
      <c r="F280" s="27" t="inlineStr">
        <is>
          <t>ні</t>
        </is>
      </c>
      <c r="G280" s="24" t="n">
        <v>3647</v>
      </c>
      <c r="H280" s="27" t="inlineStr">
        <is>
          <t>ні</t>
        </is>
      </c>
      <c r="I280" s="23" t="n"/>
      <c r="J280" s="22" t="inlineStr"/>
      <c r="K280" s="22" t="inlineStr">
        <is>
          <t>Водоспад</t>
        </is>
      </c>
      <c r="L280" s="23" t="n">
        <v>3647</v>
      </c>
      <c r="M280" s="23">
        <f>IF(L280="","",E280-L280)</f>
        <v/>
      </c>
      <c r="N280" s="25">
        <f>IF(OR(L280="",L280=0),"",M280/L280)</f>
        <v/>
      </c>
      <c r="O280" s="23" t="n"/>
      <c r="P280" s="22" t="n">
        <v>0</v>
      </c>
      <c r="Q280" s="22" t="n">
        <v>0</v>
      </c>
      <c r="R280" s="22" t="inlineStr">
        <is>
          <t>код</t>
        </is>
      </c>
      <c r="S280" s="26" t="inlineStr">
        <is>
          <t>відкрити</t>
        </is>
      </c>
    </row>
    <row r="281">
      <c r="A281" s="20" t="inlineStr">
        <is>
          <t>В нормі</t>
        </is>
      </c>
      <c r="B281" s="21" t="inlineStr">
        <is>
          <t>Немає в наявності в жодного постачальника</t>
        </is>
      </c>
      <c r="C281" s="22" t="inlineStr">
        <is>
          <t>N22.080</t>
        </is>
      </c>
      <c r="D281" s="21" t="inlineStr">
        <is>
          <t>Гілкоріз із ковадлом Lowe Natural Series (N22.080) дерев’яні ручки Німеччина</t>
        </is>
      </c>
      <c r="E281" s="23" t="n">
        <v>7599</v>
      </c>
      <c r="F281" s="22" t="inlineStr">
        <is>
          <t>так</t>
        </is>
      </c>
      <c r="G281" s="24" t="n">
        <v>7599</v>
      </c>
      <c r="H281" s="27" t="inlineStr">
        <is>
          <t>ні</t>
        </is>
      </c>
      <c r="I281" s="23" t="n"/>
      <c r="J281" s="22" t="inlineStr"/>
      <c r="K281" s="22" t="inlineStr">
        <is>
          <t>Водоспад</t>
        </is>
      </c>
      <c r="L281" s="23" t="n">
        <v>7599</v>
      </c>
      <c r="M281" s="23">
        <f>IF(L281="","",E281-L281)</f>
        <v/>
      </c>
      <c r="N281" s="25">
        <f>IF(OR(L281="",L281=0),"",M281/L281)</f>
        <v/>
      </c>
      <c r="O281" s="23" t="n"/>
      <c r="P281" s="22" t="n">
        <v>0</v>
      </c>
      <c r="Q281" s="22" t="n">
        <v>0</v>
      </c>
      <c r="R281" s="22" t="inlineStr">
        <is>
          <t>код</t>
        </is>
      </c>
      <c r="S281" s="26" t="inlineStr">
        <is>
          <t>відкрити</t>
        </is>
      </c>
    </row>
    <row r="282">
      <c r="A282" s="20" t="inlineStr">
        <is>
          <t>В нормі</t>
        </is>
      </c>
      <c r="B282" s="21" t="inlineStr"/>
      <c r="C282" s="22" t="inlineStr">
        <is>
          <t>FAL10006</t>
        </is>
      </c>
      <c r="D282" s="21" t="inlineStr">
        <is>
          <t>Гілкоріз із ковадлом вигнуте лезо Falket / Фалкет (FAL10006) Італія</t>
        </is>
      </c>
      <c r="E282" s="23" t="n">
        <v>3390</v>
      </c>
      <c r="F282" s="22" t="inlineStr">
        <is>
          <t>так</t>
        </is>
      </c>
      <c r="G282" s="24" t="n">
        <v>3390</v>
      </c>
      <c r="H282" s="22" t="inlineStr">
        <is>
          <t>так</t>
        </is>
      </c>
      <c r="I282" s="23" t="n"/>
      <c r="J282" s="22" t="inlineStr"/>
      <c r="K282" s="22" t="inlineStr">
        <is>
          <t>Водоспад</t>
        </is>
      </c>
      <c r="L282" s="23" t="n">
        <v>3390</v>
      </c>
      <c r="M282" s="23">
        <f>IF(L282="","",E282-L282)</f>
        <v/>
      </c>
      <c r="N282" s="25">
        <f>IF(OR(L282="",L282=0),"",M282/L282)</f>
        <v/>
      </c>
      <c r="O282" s="23" t="n"/>
      <c r="P282" s="22" t="n">
        <v>0</v>
      </c>
      <c r="Q282" s="22" t="n">
        <v>0</v>
      </c>
      <c r="R282" s="22" t="inlineStr">
        <is>
          <t>код</t>
        </is>
      </c>
      <c r="S282" s="26" t="inlineStr">
        <is>
          <t>відкрити</t>
        </is>
      </c>
    </row>
    <row r="283">
      <c r="A283" s="20" t="inlineStr">
        <is>
          <t>В нормі</t>
        </is>
      </c>
      <c r="B283" s="21" t="inlineStr"/>
      <c r="C283" s="22" t="inlineStr">
        <is>
          <t>21008</t>
        </is>
      </c>
      <c r="D283" s="21" t="inlineStr">
        <is>
          <t>Демпфер для гілкорізів серії Lowe 21 (21008) Lowe Німеччина</t>
        </is>
      </c>
      <c r="E283" s="23" t="n">
        <v>510</v>
      </c>
      <c r="F283" s="22" t="inlineStr">
        <is>
          <t>так</t>
        </is>
      </c>
      <c r="G283" s="24" t="n">
        <v>510</v>
      </c>
      <c r="H283" s="22" t="inlineStr">
        <is>
          <t>так</t>
        </is>
      </c>
      <c r="I283" s="23" t="n"/>
      <c r="J283" s="22" t="inlineStr"/>
      <c r="K283" s="22" t="inlineStr">
        <is>
          <t>Водоспад</t>
        </is>
      </c>
      <c r="L283" s="23" t="n">
        <v>510</v>
      </c>
      <c r="M283" s="23">
        <f>IF(L283="","",E283-L283)</f>
        <v/>
      </c>
      <c r="N283" s="25">
        <f>IF(OR(L283="",L283=0),"",M283/L283)</f>
        <v/>
      </c>
      <c r="O283" s="23" t="n"/>
      <c r="P283" s="22" t="n">
        <v>0</v>
      </c>
      <c r="Q283" s="22" t="n">
        <v>0</v>
      </c>
      <c r="R283" s="22" t="inlineStr">
        <is>
          <t>код</t>
        </is>
      </c>
      <c r="S283" s="26" t="inlineStr">
        <is>
          <t>відкрити</t>
        </is>
      </c>
    </row>
    <row r="284">
      <c r="A284" s="20" t="inlineStr">
        <is>
          <t>В нормі</t>
        </is>
      </c>
      <c r="B284" s="21" t="inlineStr"/>
      <c r="C284" s="22" t="inlineStr">
        <is>
          <t>KIKUWA-1090</t>
        </is>
      </c>
      <c r="D284" s="21" t="inlineStr">
        <is>
          <t>Диспенсер для олії камелії Kikuwa Honmamon (1090) Японія</t>
        </is>
      </c>
      <c r="E284" s="23" t="n">
        <v>990</v>
      </c>
      <c r="F284" s="27" t="inlineStr">
        <is>
          <t>ні</t>
        </is>
      </c>
      <c r="G284" s="24" t="n">
        <v>990</v>
      </c>
      <c r="H284" s="22" t="inlineStr">
        <is>
          <t>так</t>
        </is>
      </c>
      <c r="I284" s="23" t="n"/>
      <c r="J284" s="22" t="inlineStr"/>
      <c r="K284" s="22" t="inlineStr">
        <is>
          <t>Водоспад</t>
        </is>
      </c>
      <c r="L284" s="23" t="n">
        <v>990</v>
      </c>
      <c r="M284" s="23">
        <f>IF(L284="","",E284-L284)</f>
        <v/>
      </c>
      <c r="N284" s="25">
        <f>IF(OR(L284="",L284=0),"",M284/L284)</f>
        <v/>
      </c>
      <c r="O284" s="23" t="n"/>
      <c r="P284" s="22" t="n">
        <v>0</v>
      </c>
      <c r="Q284" s="22" t="n">
        <v>0</v>
      </c>
      <c r="R284" s="22" t="inlineStr">
        <is>
          <t>схожа назва</t>
        </is>
      </c>
      <c r="S284" s="26" t="inlineStr">
        <is>
          <t>відкрити</t>
        </is>
      </c>
    </row>
    <row r="285">
      <c r="A285" s="20" t="inlineStr">
        <is>
          <t>В нормі</t>
        </is>
      </c>
      <c r="B285" s="21" t="inlineStr"/>
      <c r="C285" s="22" t="inlineStr">
        <is>
          <t>2е</t>
        </is>
      </c>
      <c r="D285" s="21" t="inlineStr">
        <is>
          <t>Електросекатор Фелко / Felco 2е з кейсом і рукавичками Швейцарія</t>
        </is>
      </c>
      <c r="E285" s="23" t="n">
        <v>11990</v>
      </c>
      <c r="F285" s="27" t="inlineStr">
        <is>
          <t>ні</t>
        </is>
      </c>
      <c r="G285" s="23" t="n"/>
      <c r="H285" s="22" t="inlineStr"/>
      <c r="I285" s="24" t="n">
        <v>11990</v>
      </c>
      <c r="J285" s="22" t="inlineStr">
        <is>
          <t>так</t>
        </is>
      </c>
      <c r="K285" s="22" t="inlineStr">
        <is>
          <t>Клуб Рослин</t>
        </is>
      </c>
      <c r="L285" s="23" t="n">
        <v>11990</v>
      </c>
      <c r="M285" s="23">
        <f>IF(L285="","",E285-L285)</f>
        <v/>
      </c>
      <c r="N285" s="25">
        <f>IF(OR(L285="",L285=0),"",M285/L285)</f>
        <v/>
      </c>
      <c r="O285" s="23" t="n"/>
      <c r="P285" s="22" t="n">
        <v>0</v>
      </c>
      <c r="Q285" s="22" t="n">
        <v>0</v>
      </c>
      <c r="R285" s="22" t="inlineStr">
        <is>
          <t>схожа назва</t>
        </is>
      </c>
      <c r="S285" s="26" t="inlineStr">
        <is>
          <t>відкрити</t>
        </is>
      </c>
    </row>
    <row r="286">
      <c r="A286" s="20" t="inlineStr">
        <is>
          <t>В нормі</t>
        </is>
      </c>
      <c r="B286" s="21" t="inlineStr"/>
      <c r="C286" s="22" t="inlineStr">
        <is>
          <t>120500100307</t>
        </is>
      </c>
      <c r="D286" s="21" t="inlineStr">
        <is>
          <t>Етикетки-петлі для рослин Tyvek білі 1.7 х 22 см 1000 шт Голандія</t>
        </is>
      </c>
      <c r="E286" s="23" t="n">
        <v>1299</v>
      </c>
      <c r="F286" s="27" t="inlineStr">
        <is>
          <t>ні</t>
        </is>
      </c>
      <c r="G286" s="23" t="n"/>
      <c r="H286" s="22" t="inlineStr"/>
      <c r="I286" s="24" t="n">
        <v>1299</v>
      </c>
      <c r="J286" s="22" t="inlineStr">
        <is>
          <t>так</t>
        </is>
      </c>
      <c r="K286" s="22" t="inlineStr">
        <is>
          <t>Клуб Рослин</t>
        </is>
      </c>
      <c r="L286" s="23" t="n">
        <v>1299</v>
      </c>
      <c r="M286" s="23">
        <f>IF(L286="","",E286-L286)</f>
        <v/>
      </c>
      <c r="N286" s="25">
        <f>IF(OR(L286="",L286=0),"",M286/L286)</f>
        <v/>
      </c>
      <c r="O286" s="23" t="n"/>
      <c r="P286" s="22" t="n">
        <v>0</v>
      </c>
      <c r="Q286" s="22" t="n">
        <v>0</v>
      </c>
      <c r="R286" s="22" t="inlineStr">
        <is>
          <t>код</t>
        </is>
      </c>
      <c r="S286" s="26" t="inlineStr">
        <is>
          <t>відкрити</t>
        </is>
      </c>
    </row>
    <row r="287">
      <c r="A287" s="20" t="inlineStr">
        <is>
          <t>В нормі</t>
        </is>
      </c>
      <c r="B287" s="21" t="inlineStr"/>
      <c r="C287" s="22" t="inlineStr">
        <is>
          <t>20008</t>
        </is>
      </c>
      <c r="D287" s="21" t="inlineStr">
        <is>
          <t>Заглушка для сучкоріза Lowe 20/22 (20.008) Німеччина</t>
        </is>
      </c>
      <c r="E287" s="23" t="n">
        <v>270</v>
      </c>
      <c r="F287" s="27" t="inlineStr">
        <is>
          <t>ні</t>
        </is>
      </c>
      <c r="G287" s="24" t="n">
        <v>270</v>
      </c>
      <c r="H287" s="22" t="inlineStr">
        <is>
          <t>так</t>
        </is>
      </c>
      <c r="I287" s="23" t="n">
        <v>270</v>
      </c>
      <c r="J287" s="22" t="inlineStr">
        <is>
          <t>так</t>
        </is>
      </c>
      <c r="K287" s="22" t="inlineStr">
        <is>
          <t>Водоспад</t>
        </is>
      </c>
      <c r="L287" s="23" t="n">
        <v>270</v>
      </c>
      <c r="M287" s="23">
        <f>IF(L287="","",E287-L287)</f>
        <v/>
      </c>
      <c r="N287" s="25">
        <f>IF(OR(L287="",L287=0),"",M287/L287)</f>
        <v/>
      </c>
      <c r="O287" s="23" t="n"/>
      <c r="P287" s="22" t="n">
        <v>0</v>
      </c>
      <c r="Q287" s="22" t="n">
        <v>0</v>
      </c>
      <c r="R287" s="22" t="inlineStr">
        <is>
          <t>код</t>
        </is>
      </c>
      <c r="S287" s="26" t="inlineStr">
        <is>
          <t>відкрити</t>
        </is>
      </c>
    </row>
    <row r="288">
      <c r="A288" s="20" t="inlineStr">
        <is>
          <t>В нормі</t>
        </is>
      </c>
      <c r="B288" s="21" t="inlineStr"/>
      <c r="C288" s="22" t="inlineStr">
        <is>
          <t>R160A</t>
        </is>
      </c>
      <c r="D288" s="21" t="inlineStr">
        <is>
          <t>Запасне лезо для сучкоріза Bahco P-160 R160A</t>
        </is>
      </c>
      <c r="E288" s="23" t="n">
        <v>1160</v>
      </c>
      <c r="F288" s="22" t="inlineStr">
        <is>
          <t>так</t>
        </is>
      </c>
      <c r="G288" s="24" t="n">
        <v>1160</v>
      </c>
      <c r="H288" s="22" t="inlineStr">
        <is>
          <t>так</t>
        </is>
      </c>
      <c r="I288" s="23" t="n"/>
      <c r="J288" s="22" t="inlineStr"/>
      <c r="K288" s="22" t="inlineStr">
        <is>
          <t>Водоспад</t>
        </is>
      </c>
      <c r="L288" s="23" t="n">
        <v>1160</v>
      </c>
      <c r="M288" s="23">
        <f>IF(L288="","",E288-L288)</f>
        <v/>
      </c>
      <c r="N288" s="25">
        <f>IF(OR(L288="",L288=0),"",M288/L288)</f>
        <v/>
      </c>
      <c r="O288" s="23" t="n"/>
      <c r="P288" s="22" t="n">
        <v>0</v>
      </c>
      <c r="Q288" s="22" t="n">
        <v>0</v>
      </c>
      <c r="R288" s="22" t="inlineStr">
        <is>
          <t>код</t>
        </is>
      </c>
      <c r="S288" s="26" t="inlineStr">
        <is>
          <t>відкрити</t>
        </is>
      </c>
    </row>
    <row r="289">
      <c r="A289" s="20" t="inlineStr">
        <is>
          <t>В нормі</t>
        </is>
      </c>
      <c r="B289" s="21" t="inlineStr"/>
      <c r="C289" s="22" t="inlineStr">
        <is>
          <t>VS-8X-2</t>
        </is>
      </c>
      <c r="D289" s="21" t="inlineStr">
        <is>
          <t>Запасне ріжуче лезо болти та гайки до секаторів ARS VS-8XZ / VS-8XR (VS-8X-2) Японія</t>
        </is>
      </c>
      <c r="E289" s="23" t="n">
        <v>533</v>
      </c>
      <c r="F289" s="27" t="inlineStr">
        <is>
          <t>ні</t>
        </is>
      </c>
      <c r="G289" s="24" t="n">
        <v>533</v>
      </c>
      <c r="H289" s="27" t="inlineStr">
        <is>
          <t>ні</t>
        </is>
      </c>
      <c r="I289" s="23" t="n">
        <v>533</v>
      </c>
      <c r="J289" s="27" t="inlineStr">
        <is>
          <t>ні</t>
        </is>
      </c>
      <c r="K289" s="22" t="inlineStr">
        <is>
          <t>Водоспад</t>
        </is>
      </c>
      <c r="L289" s="23" t="n">
        <v>533</v>
      </c>
      <c r="M289" s="23">
        <f>IF(L289="","",E289-L289)</f>
        <v/>
      </c>
      <c r="N289" s="25">
        <f>IF(OR(L289="",L289=0),"",M289/L289)</f>
        <v/>
      </c>
      <c r="O289" s="23" t="n"/>
      <c r="P289" s="22" t="n">
        <v>0</v>
      </c>
      <c r="Q289" s="22" t="n">
        <v>0</v>
      </c>
      <c r="R289" s="22" t="inlineStr">
        <is>
          <t>код</t>
        </is>
      </c>
      <c r="S289" s="26" t="inlineStr">
        <is>
          <t>відкрити</t>
        </is>
      </c>
    </row>
    <row r="290">
      <c r="A290" s="20" t="inlineStr">
        <is>
          <t>В нормі</t>
        </is>
      </c>
      <c r="B290" s="21" t="inlineStr"/>
      <c r="C290" s="22" t="inlineStr">
        <is>
          <t>VS-9X-2</t>
        </is>
      </c>
      <c r="D290" s="21" t="inlineStr">
        <is>
          <t>Запасне ріжуче лезо гвинти та гайки до секаторів ARS VS-9XZ / VS-9XR (VS-9X-2) Японія</t>
        </is>
      </c>
      <c r="E290" s="23" t="n">
        <v>600</v>
      </c>
      <c r="F290" s="27" t="inlineStr">
        <is>
          <t>ні</t>
        </is>
      </c>
      <c r="G290" s="24" t="n">
        <v>600</v>
      </c>
      <c r="H290" s="22" t="inlineStr">
        <is>
          <t>так</t>
        </is>
      </c>
      <c r="I290" s="23" t="n">
        <v>599</v>
      </c>
      <c r="J290" s="27" t="inlineStr">
        <is>
          <t>ні</t>
        </is>
      </c>
      <c r="K290" s="22" t="inlineStr">
        <is>
          <t>Водоспад</t>
        </is>
      </c>
      <c r="L290" s="23" t="n">
        <v>600</v>
      </c>
      <c r="M290" s="23">
        <f>IF(L290="","",E290-L290)</f>
        <v/>
      </c>
      <c r="N290" s="25">
        <f>IF(OR(L290="",L290=0),"",M290/L290)</f>
        <v/>
      </c>
      <c r="O290" s="23" t="n"/>
      <c r="P290" s="22" t="n">
        <v>0</v>
      </c>
      <c r="Q290" s="22" t="n">
        <v>0</v>
      </c>
      <c r="R290" s="22" t="inlineStr">
        <is>
          <t>код</t>
        </is>
      </c>
      <c r="S290" s="26" t="inlineStr">
        <is>
          <t>відкрити</t>
        </is>
      </c>
    </row>
    <row r="291">
      <c r="A291" s="20" t="inlineStr">
        <is>
          <t>В нормі</t>
        </is>
      </c>
      <c r="B291" s="21" t="inlineStr"/>
      <c r="C291" s="22" t="inlineStr">
        <is>
          <t>8001/В</t>
        </is>
      </c>
      <c r="D291" s="21" t="inlineStr">
        <is>
          <t>Змінне лезо для секаторів LOWE 8 (8001/В)</t>
        </is>
      </c>
      <c r="E291" s="23" t="n">
        <v>850</v>
      </c>
      <c r="F291" s="22" t="inlineStr">
        <is>
          <t>так</t>
        </is>
      </c>
      <c r="G291" s="24" t="n">
        <v>850</v>
      </c>
      <c r="H291" s="22" t="inlineStr">
        <is>
          <t>так</t>
        </is>
      </c>
      <c r="I291" s="23" t="n"/>
      <c r="J291" s="22" t="inlineStr"/>
      <c r="K291" s="22" t="inlineStr">
        <is>
          <t>Водоспад</t>
        </is>
      </c>
      <c r="L291" s="23" t="n">
        <v>850</v>
      </c>
      <c r="M291" s="23">
        <f>IF(L291="","",E291-L291)</f>
        <v/>
      </c>
      <c r="N291" s="25">
        <f>IF(OR(L291="",L291=0),"",M291/L291)</f>
        <v/>
      </c>
      <c r="O291" s="23" t="n"/>
      <c r="P291" s="22" t="n">
        <v>0</v>
      </c>
      <c r="Q291" s="22" t="n">
        <v>0</v>
      </c>
      <c r="R291" s="22" t="inlineStr">
        <is>
          <t>код</t>
        </is>
      </c>
      <c r="S291" s="26" t="inlineStr">
        <is>
          <t>відкрити</t>
        </is>
      </c>
    </row>
    <row r="292">
      <c r="A292" s="20" t="inlineStr">
        <is>
          <t>В нормі</t>
        </is>
      </c>
      <c r="B292" s="21" t="inlineStr"/>
      <c r="C292" s="22" t="inlineStr">
        <is>
          <t>00901</t>
        </is>
      </c>
      <c r="D292" s="21" t="inlineStr">
        <is>
          <t>Камінь точильний карбід кремнію 100х25х13 мм 180/500 Grit Falket / Фалкет (00901) Італія</t>
        </is>
      </c>
      <c r="E292" s="23" t="n">
        <v>450</v>
      </c>
      <c r="F292" s="22" t="inlineStr">
        <is>
          <t>так</t>
        </is>
      </c>
      <c r="G292" s="24" t="n">
        <v>450</v>
      </c>
      <c r="H292" s="22" t="inlineStr">
        <is>
          <t>так</t>
        </is>
      </c>
      <c r="I292" s="23" t="n"/>
      <c r="J292" s="22" t="inlineStr"/>
      <c r="K292" s="22" t="inlineStr">
        <is>
          <t>Водоспад</t>
        </is>
      </c>
      <c r="L292" s="23" t="n">
        <v>450</v>
      </c>
      <c r="M292" s="23">
        <f>IF(L292="","",E292-L292)</f>
        <v/>
      </c>
      <c r="N292" s="25">
        <f>IF(OR(L292="",L292=0),"",M292/L292)</f>
        <v/>
      </c>
      <c r="O292" s="23" t="n"/>
      <c r="P292" s="22" t="n">
        <v>0</v>
      </c>
      <c r="Q292" s="22" t="n">
        <v>0</v>
      </c>
      <c r="R292" s="22" t="inlineStr">
        <is>
          <t>код</t>
        </is>
      </c>
      <c r="S292" s="26" t="inlineStr">
        <is>
          <t>відкрити</t>
        </is>
      </c>
    </row>
    <row r="293">
      <c r="A293" s="20" t="inlineStr">
        <is>
          <t>В нормі</t>
        </is>
      </c>
      <c r="B293" s="21" t="inlineStr"/>
      <c r="C293" s="22" t="inlineStr">
        <is>
          <t>1101</t>
        </is>
      </c>
      <c r="D293" s="21" t="inlineStr">
        <is>
          <t>Камінь точильний натуральний Due Buoi (1101) Італія</t>
        </is>
      </c>
      <c r="E293" s="23" t="n">
        <v>548</v>
      </c>
      <c r="F293" s="22" t="inlineStr">
        <is>
          <t>так</t>
        </is>
      </c>
      <c r="G293" s="24" t="n">
        <v>548</v>
      </c>
      <c r="H293" s="22" t="inlineStr">
        <is>
          <t>так</t>
        </is>
      </c>
      <c r="I293" s="23" t="n"/>
      <c r="J293" s="22" t="inlineStr"/>
      <c r="K293" s="22" t="inlineStr">
        <is>
          <t>Водоспад</t>
        </is>
      </c>
      <c r="L293" s="23" t="n">
        <v>548</v>
      </c>
      <c r="M293" s="23">
        <f>IF(L293="","",E293-L293)</f>
        <v/>
      </c>
      <c r="N293" s="25">
        <f>IF(OR(L293="",L293=0),"",M293/L293)</f>
        <v/>
      </c>
      <c r="O293" s="23" t="n"/>
      <c r="P293" s="22" t="n">
        <v>0</v>
      </c>
      <c r="Q293" s="22" t="n">
        <v>0</v>
      </c>
      <c r="R293" s="22" t="inlineStr">
        <is>
          <t>схожа назва</t>
        </is>
      </c>
      <c r="S293" s="26" t="inlineStr">
        <is>
          <t>відкрити</t>
        </is>
      </c>
    </row>
    <row r="294">
      <c r="A294" s="20" t="inlineStr">
        <is>
          <t>В нормі</t>
        </is>
      </c>
      <c r="B294" s="21" t="inlineStr"/>
      <c r="C294" s="22" t="inlineStr">
        <is>
          <t>LPB-30-2</t>
        </is>
      </c>
      <c r="D294" s="21" t="inlineStr">
        <is>
          <t>Контрлезо до сучкорізів ARS LPB-30 S/M/L (LPB-30-2) Японія</t>
        </is>
      </c>
      <c r="E294" s="23" t="n">
        <v>1512</v>
      </c>
      <c r="F294" s="22" t="inlineStr">
        <is>
          <t>так</t>
        </is>
      </c>
      <c r="G294" s="24" t="n">
        <v>1512</v>
      </c>
      <c r="H294" s="22" t="inlineStr">
        <is>
          <t>так</t>
        </is>
      </c>
      <c r="I294" s="23" t="n">
        <v>1512</v>
      </c>
      <c r="J294" s="22" t="inlineStr">
        <is>
          <t>так</t>
        </is>
      </c>
      <c r="K294" s="22" t="inlineStr">
        <is>
          <t>Водоспад</t>
        </is>
      </c>
      <c r="L294" s="23" t="n">
        <v>1512</v>
      </c>
      <c r="M294" s="23">
        <f>IF(L294="","",E294-L294)</f>
        <v/>
      </c>
      <c r="N294" s="25">
        <f>IF(OR(L294="",L294=0),"",M294/L294)</f>
        <v/>
      </c>
      <c r="O294" s="23" t="n"/>
      <c r="P294" s="22" t="n">
        <v>0</v>
      </c>
      <c r="Q294" s="22" t="n">
        <v>0</v>
      </c>
      <c r="R294" s="22" t="inlineStr">
        <is>
          <t>код</t>
        </is>
      </c>
      <c r="S294" s="26" t="inlineStr">
        <is>
          <t>відкрити</t>
        </is>
      </c>
    </row>
    <row r="295">
      <c r="A295" s="20" t="inlineStr">
        <is>
          <t>В нормі</t>
        </is>
      </c>
      <c r="B295" s="21" t="inlineStr"/>
      <c r="C295" s="22" t="inlineStr">
        <is>
          <t>2509-22.B</t>
        </is>
      </c>
      <c r="D295" s="21" t="inlineStr">
        <is>
          <t>Коса 560 мм Bellota 2509-22.B Іспанія</t>
        </is>
      </c>
      <c r="E295" s="23" t="n">
        <v>4290</v>
      </c>
      <c r="F295" s="27" t="inlineStr">
        <is>
          <t>ні</t>
        </is>
      </c>
      <c r="G295" s="23" t="n"/>
      <c r="H295" s="22" t="inlineStr"/>
      <c r="I295" s="24" t="n">
        <v>4290</v>
      </c>
      <c r="J295" s="22" t="inlineStr">
        <is>
          <t>так</t>
        </is>
      </c>
      <c r="K295" s="22" t="inlineStr">
        <is>
          <t>Клуб Рослин</t>
        </is>
      </c>
      <c r="L295" s="23" t="n">
        <v>4290</v>
      </c>
      <c r="M295" s="23">
        <f>IF(L295="","",E295-L295)</f>
        <v/>
      </c>
      <c r="N295" s="25">
        <f>IF(OR(L295="",L295=0),"",M295/L295)</f>
        <v/>
      </c>
      <c r="O295" s="23" t="n"/>
      <c r="P295" s="22" t="n">
        <v>0</v>
      </c>
      <c r="Q295" s="22" t="n">
        <v>0</v>
      </c>
      <c r="R295" s="22" t="inlineStr">
        <is>
          <t>код</t>
        </is>
      </c>
      <c r="S295" s="26" t="inlineStr">
        <is>
          <t>відкрити</t>
        </is>
      </c>
    </row>
    <row r="296">
      <c r="A296" s="20" t="inlineStr">
        <is>
          <t>В нормі</t>
        </is>
      </c>
      <c r="B296" s="21" t="inlineStr"/>
      <c r="C296" s="22" t="inlineStr">
        <is>
          <t>2509-26.B</t>
        </is>
      </c>
      <c r="D296" s="21" t="inlineStr">
        <is>
          <t>Коса 660 мм Bellota 2509-26.B Іспанія</t>
        </is>
      </c>
      <c r="E296" s="23" t="n">
        <v>4679</v>
      </c>
      <c r="F296" s="27" t="inlineStr">
        <is>
          <t>ні</t>
        </is>
      </c>
      <c r="G296" s="23" t="n"/>
      <c r="H296" s="22" t="inlineStr"/>
      <c r="I296" s="24" t="n">
        <v>4679</v>
      </c>
      <c r="J296" s="22" t="inlineStr">
        <is>
          <t>так</t>
        </is>
      </c>
      <c r="K296" s="22" t="inlineStr">
        <is>
          <t>Клуб Рослин</t>
        </is>
      </c>
      <c r="L296" s="23" t="n">
        <v>4679</v>
      </c>
      <c r="M296" s="23">
        <f>IF(L296="","",E296-L296)</f>
        <v/>
      </c>
      <c r="N296" s="25">
        <f>IF(OR(L296="",L296=0),"",M296/L296)</f>
        <v/>
      </c>
      <c r="O296" s="23" t="n"/>
      <c r="P296" s="22" t="n">
        <v>0</v>
      </c>
      <c r="Q296" s="22" t="n">
        <v>0</v>
      </c>
      <c r="R296" s="22" t="inlineStr">
        <is>
          <t>код</t>
        </is>
      </c>
      <c r="S296" s="26" t="inlineStr">
        <is>
          <t>відкрити</t>
        </is>
      </c>
    </row>
    <row r="297">
      <c r="A297" s="20" t="inlineStr">
        <is>
          <t>В нормі</t>
        </is>
      </c>
      <c r="B297" s="21" t="inlineStr"/>
      <c r="C297" s="22" t="inlineStr">
        <is>
          <t>FAL7522</t>
        </is>
      </c>
      <c r="D297" s="21" t="inlineStr">
        <is>
          <t>Кусторіз 75 см Falket / Фалкет (FAL7522) Італія</t>
        </is>
      </c>
      <c r="E297" s="23" t="n">
        <v>2820</v>
      </c>
      <c r="F297" s="22" t="inlineStr">
        <is>
          <t>так</t>
        </is>
      </c>
      <c r="G297" s="24" t="n">
        <v>2820</v>
      </c>
      <c r="H297" s="22" t="inlineStr">
        <is>
          <t>так</t>
        </is>
      </c>
      <c r="I297" s="23" t="n"/>
      <c r="J297" s="22" t="inlineStr"/>
      <c r="K297" s="22" t="inlineStr">
        <is>
          <t>Водоспад</t>
        </is>
      </c>
      <c r="L297" s="23" t="n">
        <v>2820</v>
      </c>
      <c r="M297" s="23">
        <f>IF(L297="","",E297-L297)</f>
        <v/>
      </c>
      <c r="N297" s="25">
        <f>IF(OR(L297="",L297=0),"",M297/L297)</f>
        <v/>
      </c>
      <c r="O297" s="23" t="n"/>
      <c r="P297" s="22" t="n">
        <v>0</v>
      </c>
      <c r="Q297" s="22" t="n">
        <v>0</v>
      </c>
      <c r="R297" s="22" t="inlineStr">
        <is>
          <t>код</t>
        </is>
      </c>
      <c r="S297" s="26" t="inlineStr">
        <is>
          <t>відкрити</t>
        </is>
      </c>
    </row>
    <row r="298">
      <c r="A298" s="20" t="inlineStr">
        <is>
          <t>В нормі</t>
        </is>
      </c>
      <c r="B298" s="21" t="inlineStr"/>
      <c r="C298" s="22" t="inlineStr">
        <is>
          <t>4580149743007</t>
        </is>
      </c>
      <c r="D298" s="21" t="inlineStr">
        <is>
          <t>Кущоріз Azumasyusaku 155 мм SK5 Hanakumagawa (4580149743007) Японія</t>
        </is>
      </c>
      <c r="E298" s="23" t="n">
        <v>1990</v>
      </c>
      <c r="F298" s="27" t="inlineStr">
        <is>
          <t>ні</t>
        </is>
      </c>
      <c r="G298" s="24" t="n">
        <v>1990</v>
      </c>
      <c r="H298" s="22" t="inlineStr">
        <is>
          <t>так</t>
        </is>
      </c>
      <c r="I298" s="23" t="n"/>
      <c r="J298" s="22" t="inlineStr"/>
      <c r="K298" s="22" t="inlineStr">
        <is>
          <t>Водоспад</t>
        </is>
      </c>
      <c r="L298" s="23" t="n">
        <v>1990</v>
      </c>
      <c r="M298" s="23">
        <f>IF(L298="","",E298-L298)</f>
        <v/>
      </c>
      <c r="N298" s="25">
        <f>IF(OR(L298="",L298=0),"",M298/L298)</f>
        <v/>
      </c>
      <c r="O298" s="23" t="n"/>
      <c r="P298" s="22" t="n">
        <v>0</v>
      </c>
      <c r="Q298" s="22" t="n">
        <v>0</v>
      </c>
      <c r="R298" s="22" t="inlineStr">
        <is>
          <t>код</t>
        </is>
      </c>
      <c r="S298" s="26" t="inlineStr">
        <is>
          <t>відкрити</t>
        </is>
      </c>
    </row>
    <row r="299">
      <c r="A299" s="20" t="inlineStr">
        <is>
          <t>В нормі</t>
        </is>
      </c>
      <c r="B299" s="21" t="inlineStr">
        <is>
          <t>Немає в наявності в жодного постачальника</t>
        </is>
      </c>
      <c r="C299" s="22" t="inlineStr">
        <is>
          <t>P51H-SL</t>
        </is>
      </c>
      <c r="D299" s="21" t="inlineStr">
        <is>
          <t>Кущоріз Bahco P51H-SL Бахо</t>
        </is>
      </c>
      <c r="E299" s="23" t="n">
        <v>3690</v>
      </c>
      <c r="F299" s="22" t="inlineStr">
        <is>
          <t>так</t>
        </is>
      </c>
      <c r="G299" s="24" t="n">
        <v>3690</v>
      </c>
      <c r="H299" s="27" t="inlineStr">
        <is>
          <t>ні</t>
        </is>
      </c>
      <c r="I299" s="23" t="n"/>
      <c r="J299" s="22" t="inlineStr"/>
      <c r="K299" s="22" t="inlineStr">
        <is>
          <t>Водоспад</t>
        </is>
      </c>
      <c r="L299" s="23" t="n">
        <v>3690</v>
      </c>
      <c r="M299" s="23">
        <f>IF(L299="","",E299-L299)</f>
        <v/>
      </c>
      <c r="N299" s="25">
        <f>IF(OR(L299="",L299=0),"",M299/L299)</f>
        <v/>
      </c>
      <c r="O299" s="23" t="n"/>
      <c r="P299" s="22" t="n">
        <v>0</v>
      </c>
      <c r="Q299" s="22" t="n">
        <v>0</v>
      </c>
      <c r="R299" s="22" t="inlineStr">
        <is>
          <t>код</t>
        </is>
      </c>
      <c r="S299" s="26" t="inlineStr">
        <is>
          <t>відкрити</t>
        </is>
      </c>
    </row>
    <row r="300">
      <c r="A300" s="20" t="inlineStr">
        <is>
          <t>В нормі</t>
        </is>
      </c>
      <c r="B300" s="21" t="inlineStr"/>
      <c r="C300" s="22" t="inlineStr">
        <is>
          <t>4580149742482</t>
        </is>
      </c>
      <c r="D300" s="21" t="inlineStr">
        <is>
          <t>Кущоріз Shirogami Steel #2 530 мм Hanakumagawa (4580149742482) Японія</t>
        </is>
      </c>
      <c r="E300" s="23" t="n">
        <v>3990</v>
      </c>
      <c r="F300" s="27" t="inlineStr">
        <is>
          <t>ні</t>
        </is>
      </c>
      <c r="G300" s="24" t="n">
        <v>3990</v>
      </c>
      <c r="H300" s="22" t="inlineStr">
        <is>
          <t>так</t>
        </is>
      </c>
      <c r="I300" s="23" t="n"/>
      <c r="J300" s="22" t="inlineStr"/>
      <c r="K300" s="22" t="inlineStr">
        <is>
          <t>Водоспад</t>
        </is>
      </c>
      <c r="L300" s="23" t="n">
        <v>3990</v>
      </c>
      <c r="M300" s="23">
        <f>IF(L300="","",E300-L300)</f>
        <v/>
      </c>
      <c r="N300" s="25">
        <f>IF(OR(L300="",L300=0),"",M300/L300)</f>
        <v/>
      </c>
      <c r="O300" s="23" t="n"/>
      <c r="P300" s="22" t="n">
        <v>0</v>
      </c>
      <c r="Q300" s="22" t="n">
        <v>0</v>
      </c>
      <c r="R300" s="22" t="inlineStr">
        <is>
          <t>код</t>
        </is>
      </c>
      <c r="S300" s="26" t="inlineStr">
        <is>
          <t>відкрити</t>
        </is>
      </c>
    </row>
    <row r="301">
      <c r="A301" s="20" t="inlineStr">
        <is>
          <t>В нормі</t>
        </is>
      </c>
      <c r="B301" s="21" t="inlineStr"/>
      <c r="C301" s="22" t="inlineStr">
        <is>
          <t>b7ae5582-dcce-11f0-81e7-e89c257d8b8f</t>
        </is>
      </c>
      <c r="D301" s="21" t="inlineStr">
        <is>
          <t>Ластик для видалення ірж 50x40x20 мм Наніва / Naniwa (A-903) Японія</t>
        </is>
      </c>
      <c r="E301" s="23" t="n">
        <v>690</v>
      </c>
      <c r="F301" s="27" t="inlineStr">
        <is>
          <t>ні</t>
        </is>
      </c>
      <c r="G301" s="24" t="n">
        <v>690</v>
      </c>
      <c r="H301" s="22" t="inlineStr">
        <is>
          <t>так</t>
        </is>
      </c>
      <c r="I301" s="23" t="n">
        <v>690</v>
      </c>
      <c r="J301" s="22" t="inlineStr">
        <is>
          <t>так</t>
        </is>
      </c>
      <c r="K301" s="22" t="inlineStr">
        <is>
          <t>Водоспад</t>
        </is>
      </c>
      <c r="L301" s="23" t="n">
        <v>690</v>
      </c>
      <c r="M301" s="23">
        <f>IF(L301="","",E301-L301)</f>
        <v/>
      </c>
      <c r="N301" s="25">
        <f>IF(OR(L301="",L301=0),"",M301/L301)</f>
        <v/>
      </c>
      <c r="O301" s="23" t="n"/>
      <c r="P301" s="22" t="n">
        <v>0</v>
      </c>
      <c r="Q301" s="22" t="n">
        <v>0</v>
      </c>
      <c r="R301" s="22" t="inlineStr">
        <is>
          <t>код</t>
        </is>
      </c>
    </row>
    <row r="302">
      <c r="A302" s="20" t="inlineStr">
        <is>
          <t>В нормі</t>
        </is>
      </c>
      <c r="B302" s="21" t="inlineStr"/>
      <c r="C302" s="22" t="inlineStr">
        <is>
          <t>A-903</t>
        </is>
      </c>
      <c r="D302" s="21" t="inlineStr">
        <is>
          <t>Ластик для видалення іржі 50x40x20 мм Наніва / Naniwa (A-903) Японія</t>
        </is>
      </c>
      <c r="E302" s="23" t="n">
        <v>690</v>
      </c>
      <c r="F302" s="27" t="inlineStr">
        <is>
          <t>ні</t>
        </is>
      </c>
      <c r="G302" s="24" t="n">
        <v>690</v>
      </c>
      <c r="H302" s="22" t="inlineStr">
        <is>
          <t>так</t>
        </is>
      </c>
      <c r="I302" s="23" t="n">
        <v>690</v>
      </c>
      <c r="J302" s="22" t="inlineStr">
        <is>
          <t>так</t>
        </is>
      </c>
      <c r="K302" s="22" t="inlineStr">
        <is>
          <t>Водоспад</t>
        </is>
      </c>
      <c r="L302" s="23" t="n">
        <v>690</v>
      </c>
      <c r="M302" s="23">
        <f>IF(L302="","",E302-L302)</f>
        <v/>
      </c>
      <c r="N302" s="25">
        <f>IF(OR(L302="",L302=0),"",M302/L302)</f>
        <v/>
      </c>
      <c r="O302" s="23" t="n"/>
      <c r="P302" s="22" t="n">
        <v>0</v>
      </c>
      <c r="Q302" s="22" t="n">
        <v>0</v>
      </c>
      <c r="R302" s="22" t="inlineStr">
        <is>
          <t>код</t>
        </is>
      </c>
      <c r="S302" s="26" t="inlineStr">
        <is>
          <t>відкрити</t>
        </is>
      </c>
    </row>
    <row r="303">
      <c r="A303" s="20" t="inlineStr">
        <is>
          <t>В нормі</t>
        </is>
      </c>
      <c r="B303" s="21" t="inlineStr"/>
      <c r="C303" s="22" t="inlineStr">
        <is>
          <t>LPB-30-1</t>
        </is>
      </c>
      <c r="D303" s="21" t="inlineStr">
        <is>
          <t>Лезо до сучкорізів ARS LPB-30 S/M/L (LPB-30-1) Японія</t>
        </is>
      </c>
      <c r="E303" s="23" t="n">
        <v>1040</v>
      </c>
      <c r="F303" s="27" t="inlineStr">
        <is>
          <t>ні</t>
        </is>
      </c>
      <c r="G303" s="24" t="n">
        <v>1040</v>
      </c>
      <c r="H303" s="22" t="inlineStr">
        <is>
          <t>так</t>
        </is>
      </c>
      <c r="I303" s="23" t="n">
        <v>1040</v>
      </c>
      <c r="J303" s="22" t="inlineStr">
        <is>
          <t>так</t>
        </is>
      </c>
      <c r="K303" s="22" t="inlineStr">
        <is>
          <t>Водоспад</t>
        </is>
      </c>
      <c r="L303" s="23" t="n">
        <v>1040</v>
      </c>
      <c r="M303" s="23">
        <f>IF(L303="","",E303-L303)</f>
        <v/>
      </c>
      <c r="N303" s="25">
        <f>IF(OR(L303="",L303=0),"",M303/L303)</f>
        <v/>
      </c>
      <c r="O303" s="23" t="n"/>
      <c r="P303" s="22" t="n">
        <v>0</v>
      </c>
      <c r="Q303" s="22" t="n">
        <v>0</v>
      </c>
      <c r="R303" s="22" t="inlineStr">
        <is>
          <t>код</t>
        </is>
      </c>
      <c r="S303" s="26" t="inlineStr">
        <is>
          <t>відкрити</t>
        </is>
      </c>
    </row>
    <row r="304">
      <c r="A304" s="20" t="inlineStr">
        <is>
          <t>В нормі</t>
        </is>
      </c>
      <c r="B304" s="21" t="inlineStr"/>
      <c r="C304" s="22" t="inlineStr">
        <is>
          <t>3103 MFVA.B</t>
        </is>
      </c>
      <c r="D304" s="21" t="inlineStr">
        <is>
          <t>Лопата штикова Bellota 3103 MFVA.B Іспанія</t>
        </is>
      </c>
      <c r="E304" s="23" t="n">
        <v>1310</v>
      </c>
      <c r="F304" s="22" t="inlineStr">
        <is>
          <t>так</t>
        </is>
      </c>
      <c r="G304" s="23" t="n"/>
      <c r="H304" s="22" t="inlineStr"/>
      <c r="I304" s="24" t="n">
        <v>1310</v>
      </c>
      <c r="J304" s="22" t="inlineStr">
        <is>
          <t>так</t>
        </is>
      </c>
      <c r="K304" s="22" t="inlineStr">
        <is>
          <t>Клуб Рослин</t>
        </is>
      </c>
      <c r="L304" s="23" t="n">
        <v>1310</v>
      </c>
      <c r="M304" s="23">
        <f>IF(L304="","",E304-L304)</f>
        <v/>
      </c>
      <c r="N304" s="25">
        <f>IF(OR(L304="",L304=0),"",M304/L304)</f>
        <v/>
      </c>
      <c r="O304" s="23" t="n"/>
      <c r="P304" s="22" t="n">
        <v>0</v>
      </c>
      <c r="Q304" s="22" t="n">
        <v>0</v>
      </c>
      <c r="R304" s="22" t="inlineStr">
        <is>
          <t>схожа назва</t>
        </is>
      </c>
      <c r="S304" s="26" t="inlineStr">
        <is>
          <t>відкрити</t>
        </is>
      </c>
    </row>
    <row r="305">
      <c r="A305" s="20" t="inlineStr">
        <is>
          <t>В нормі</t>
        </is>
      </c>
      <c r="B305" s="21" t="inlineStr"/>
      <c r="C305" s="22" t="inlineStr">
        <is>
          <t>570-27</t>
        </is>
      </c>
      <c r="D305" s="21" t="inlineStr">
        <is>
          <t>Мачете Silky YOKI 270 мм (570-27) Японія</t>
        </is>
      </c>
      <c r="E305" s="23" t="n">
        <v>4290</v>
      </c>
      <c r="F305" s="27" t="inlineStr">
        <is>
          <t>ні</t>
        </is>
      </c>
      <c r="G305" s="24" t="n">
        <v>4290</v>
      </c>
      <c r="H305" s="27" t="inlineStr">
        <is>
          <t>ні</t>
        </is>
      </c>
      <c r="I305" s="23" t="n"/>
      <c r="J305" s="22" t="inlineStr"/>
      <c r="K305" s="22" t="inlineStr">
        <is>
          <t>Водоспад</t>
        </is>
      </c>
      <c r="L305" s="23" t="n">
        <v>4290</v>
      </c>
      <c r="M305" s="23">
        <f>IF(L305="","",E305-L305)</f>
        <v/>
      </c>
      <c r="N305" s="25">
        <f>IF(OR(L305="",L305=0),"",M305/L305)</f>
        <v/>
      </c>
      <c r="O305" s="23" t="n"/>
      <c r="P305" s="22" t="n">
        <v>0</v>
      </c>
      <c r="Q305" s="22" t="n">
        <v>0</v>
      </c>
      <c r="R305" s="22" t="inlineStr">
        <is>
          <t>код</t>
        </is>
      </c>
      <c r="S305" s="26" t="inlineStr">
        <is>
          <t>відкрити</t>
        </is>
      </c>
    </row>
    <row r="306">
      <c r="A306" s="20" t="inlineStr">
        <is>
          <t>В нормі</t>
        </is>
      </c>
      <c r="B306" s="21" t="inlineStr"/>
      <c r="C306" s="22" t="inlineStr">
        <is>
          <t>290213-32</t>
        </is>
      </c>
      <c r="D306" s="21" t="inlineStr">
        <is>
          <t>Мачете Фалчі / Falci GIUSTINA (290213-32) Італія</t>
        </is>
      </c>
      <c r="E306" s="23" t="n">
        <v>1310</v>
      </c>
      <c r="F306" s="27" t="inlineStr">
        <is>
          <t>ні</t>
        </is>
      </c>
      <c r="G306" s="24" t="n">
        <v>1310</v>
      </c>
      <c r="H306" s="27" t="inlineStr">
        <is>
          <t>ні</t>
        </is>
      </c>
      <c r="I306" s="23" t="n"/>
      <c r="J306" s="22" t="inlineStr"/>
      <c r="K306" s="22" t="inlineStr">
        <is>
          <t>Водоспад</t>
        </is>
      </c>
      <c r="L306" s="23" t="n">
        <v>1310</v>
      </c>
      <c r="M306" s="23">
        <f>IF(L306="","",E306-L306)</f>
        <v/>
      </c>
      <c r="N306" s="25">
        <f>IF(OR(L306="",L306=0),"",M306/L306)</f>
        <v/>
      </c>
      <c r="O306" s="23" t="n"/>
      <c r="P306" s="22" t="n">
        <v>0</v>
      </c>
      <c r="Q306" s="22" t="n">
        <v>0</v>
      </c>
      <c r="R306" s="22" t="inlineStr">
        <is>
          <t>код</t>
        </is>
      </c>
      <c r="S306" s="26" t="inlineStr">
        <is>
          <t>відкрити</t>
        </is>
      </c>
    </row>
    <row r="307">
      <c r="A307" s="20" t="inlineStr">
        <is>
          <t>В нормі</t>
        </is>
      </c>
      <c r="B307" s="21" t="inlineStr"/>
      <c r="C307" s="22" t="inlineStr">
        <is>
          <t>555-21</t>
        </is>
      </c>
      <c r="D307" s="21" t="inlineStr">
        <is>
          <t>Мачете-сокира Silky NATA 210 мм (555-21) Японія</t>
        </is>
      </c>
      <c r="E307" s="23" t="n">
        <v>4099</v>
      </c>
      <c r="F307" s="27" t="inlineStr">
        <is>
          <t>ні</t>
        </is>
      </c>
      <c r="G307" s="24" t="n">
        <v>4099</v>
      </c>
      <c r="H307" s="22" t="inlineStr">
        <is>
          <t>так</t>
        </is>
      </c>
      <c r="I307" s="23" t="n"/>
      <c r="J307" s="22" t="inlineStr"/>
      <c r="K307" s="22" t="inlineStr">
        <is>
          <t>Водоспад</t>
        </is>
      </c>
      <c r="L307" s="23" t="n">
        <v>4099</v>
      </c>
      <c r="M307" s="23">
        <f>IF(L307="","",E307-L307)</f>
        <v/>
      </c>
      <c r="N307" s="25">
        <f>IF(OR(L307="",L307=0),"",M307/L307)</f>
        <v/>
      </c>
      <c r="O307" s="23" t="n"/>
      <c r="P307" s="22" t="n">
        <v>0</v>
      </c>
      <c r="Q307" s="22" t="n">
        <v>0</v>
      </c>
      <c r="R307" s="22" t="inlineStr">
        <is>
          <t>код</t>
        </is>
      </c>
      <c r="S307" s="26" t="inlineStr">
        <is>
          <t>відкрити</t>
        </is>
      </c>
    </row>
    <row r="308">
      <c r="A308" s="20" t="inlineStr">
        <is>
          <t>В нормі</t>
        </is>
      </c>
      <c r="B308" s="21" t="inlineStr"/>
      <c r="C308" s="22" t="inlineStr">
        <is>
          <t>bag2321</t>
        </is>
      </c>
      <c r="D308" s="21" t="inlineStr">
        <is>
          <t>Мішечок на пояс для збору ягід 23х21 (bag2321)</t>
        </is>
      </c>
      <c r="E308" s="23" t="n">
        <v>260</v>
      </c>
      <c r="F308" s="22" t="inlineStr">
        <is>
          <t>так</t>
        </is>
      </c>
      <c r="G308" s="24" t="n">
        <v>260</v>
      </c>
      <c r="H308" s="22" t="inlineStr">
        <is>
          <t>так</t>
        </is>
      </c>
      <c r="I308" s="23" t="n"/>
      <c r="J308" s="22" t="inlineStr"/>
      <c r="K308" s="22" t="inlineStr">
        <is>
          <t>Водоспад</t>
        </is>
      </c>
      <c r="L308" s="23" t="n">
        <v>260</v>
      </c>
      <c r="M308" s="23">
        <f>IF(L308="","",E308-L308)</f>
        <v/>
      </c>
      <c r="N308" s="25">
        <f>IF(OR(L308="",L308=0),"",M308/L308)</f>
        <v/>
      </c>
      <c r="O308" s="23" t="n"/>
      <c r="P308" s="22" t="n">
        <v>0</v>
      </c>
      <c r="Q308" s="22" t="n">
        <v>0</v>
      </c>
      <c r="R308" s="22" t="inlineStr">
        <is>
          <t>код</t>
        </is>
      </c>
      <c r="S308" s="26" t="inlineStr">
        <is>
          <t>відкрити</t>
        </is>
      </c>
    </row>
    <row r="309">
      <c r="A309" s="20" t="inlineStr">
        <is>
          <t>В нормі</t>
        </is>
      </c>
      <c r="B309" s="21" t="inlineStr"/>
      <c r="C309" s="22" t="inlineStr">
        <is>
          <t>20012</t>
        </is>
      </c>
      <c r="D309" s="21" t="inlineStr">
        <is>
          <t>Набір гвинтів для сучкорізів Lowe 20012 Німеччина</t>
        </is>
      </c>
      <c r="E309" s="23" t="n">
        <v>280</v>
      </c>
      <c r="F309" s="22" t="inlineStr">
        <is>
          <t>так</t>
        </is>
      </c>
      <c r="G309" s="24" t="n">
        <v>280</v>
      </c>
      <c r="H309" s="22" t="inlineStr">
        <is>
          <t>так</t>
        </is>
      </c>
      <c r="I309" s="23" t="n">
        <v>280</v>
      </c>
      <c r="J309" s="22" t="inlineStr">
        <is>
          <t>так</t>
        </is>
      </c>
      <c r="K309" s="22" t="inlineStr">
        <is>
          <t>Водоспад</t>
        </is>
      </c>
      <c r="L309" s="23" t="n">
        <v>280</v>
      </c>
      <c r="M309" s="23">
        <f>IF(L309="","",E309-L309)</f>
        <v/>
      </c>
      <c r="N309" s="25">
        <f>IF(OR(L309="",L309=0),"",M309/L309)</f>
        <v/>
      </c>
      <c r="O309" s="23" t="n"/>
      <c r="P309" s="22" t="n">
        <v>0</v>
      </c>
      <c r="Q309" s="22" t="n">
        <v>0</v>
      </c>
      <c r="R309" s="22" t="inlineStr">
        <is>
          <t>код</t>
        </is>
      </c>
      <c r="S309" s="26" t="inlineStr">
        <is>
          <t>відкрити</t>
        </is>
      </c>
    </row>
    <row r="310">
      <c r="A310" s="20" t="inlineStr">
        <is>
          <t>В нормі</t>
        </is>
      </c>
      <c r="B310" s="21" t="inlineStr"/>
      <c r="C310" s="22" t="inlineStr">
        <is>
          <t>KR-1000-1</t>
        </is>
      </c>
      <c r="D310" s="21" t="inlineStr">
        <is>
          <t>Набір лез до садових ножиць ARS KR-1000 (KR-1000-1)</t>
        </is>
      </c>
      <c r="E310" s="23" t="n">
        <v>1460</v>
      </c>
      <c r="F310" s="22" t="inlineStr">
        <is>
          <t>так</t>
        </is>
      </c>
      <c r="G310" s="24" t="n">
        <v>1460</v>
      </c>
      <c r="H310" s="22" t="inlineStr">
        <is>
          <t>так</t>
        </is>
      </c>
      <c r="I310" s="23" t="n">
        <v>1460</v>
      </c>
      <c r="J310" s="22" t="inlineStr">
        <is>
          <t>так</t>
        </is>
      </c>
      <c r="K310" s="22" t="inlineStr">
        <is>
          <t>Водоспад</t>
        </is>
      </c>
      <c r="L310" s="23" t="n">
        <v>1460</v>
      </c>
      <c r="M310" s="23">
        <f>IF(L310="","",E310-L310)</f>
        <v/>
      </c>
      <c r="N310" s="25">
        <f>IF(OR(L310="",L310=0),"",M310/L310)</f>
        <v/>
      </c>
      <c r="O310" s="23" t="n"/>
      <c r="P310" s="22" t="n">
        <v>0</v>
      </c>
      <c r="Q310" s="22" t="n">
        <v>0</v>
      </c>
      <c r="R310" s="22" t="inlineStr">
        <is>
          <t>код</t>
        </is>
      </c>
      <c r="S310" s="26" t="inlineStr">
        <is>
          <t>відкрити</t>
        </is>
      </c>
    </row>
    <row r="311">
      <c r="A311" s="20" t="inlineStr">
        <is>
          <t>В нормі</t>
        </is>
      </c>
      <c r="B311" s="21" t="inlineStr"/>
      <c r="C311" s="22" t="inlineStr">
        <is>
          <t>20005</t>
        </is>
      </c>
      <c r="D311" s="21" t="inlineStr">
        <is>
          <t>Набір центрального кріплення Lowe 20005 Німеччина</t>
        </is>
      </c>
      <c r="E311" s="23" t="n">
        <v>695</v>
      </c>
      <c r="F311" s="22" t="inlineStr">
        <is>
          <t>так</t>
        </is>
      </c>
      <c r="G311" s="24" t="n">
        <v>695</v>
      </c>
      <c r="H311" s="22" t="inlineStr">
        <is>
          <t>так</t>
        </is>
      </c>
      <c r="I311" s="23" t="n">
        <v>695</v>
      </c>
      <c r="J311" s="22" t="inlineStr">
        <is>
          <t>так</t>
        </is>
      </c>
      <c r="K311" s="22" t="inlineStr">
        <is>
          <t>Водоспад</t>
        </is>
      </c>
      <c r="L311" s="23" t="n">
        <v>695</v>
      </c>
      <c r="M311" s="23">
        <f>IF(L311="","",E311-L311)</f>
        <v/>
      </c>
      <c r="N311" s="25">
        <f>IF(OR(L311="",L311=0),"",M311/L311)</f>
        <v/>
      </c>
      <c r="O311" s="23" t="n"/>
      <c r="P311" s="22" t="n">
        <v>0</v>
      </c>
      <c r="Q311" s="22" t="n">
        <v>0</v>
      </c>
      <c r="R311" s="22" t="inlineStr">
        <is>
          <t>код</t>
        </is>
      </c>
      <c r="S311" s="26" t="inlineStr">
        <is>
          <t>відкрити</t>
        </is>
      </c>
    </row>
    <row r="312">
      <c r="A312" s="20" t="inlineStr">
        <is>
          <t>В нормі</t>
        </is>
      </c>
      <c r="B312" s="21" t="inlineStr"/>
      <c r="C312" s="22" t="inlineStr">
        <is>
          <t>KZSI200000</t>
        </is>
      </c>
      <c r="D312" s="21" t="inlineStr">
        <is>
          <t>Напилок для заточування пилок Silky KZSI 950-02-64 (KZSI200000)</t>
        </is>
      </c>
      <c r="E312" s="23" t="n">
        <v>1590</v>
      </c>
      <c r="F312" s="22" t="inlineStr">
        <is>
          <t>так</t>
        </is>
      </c>
      <c r="G312" s="24" t="n">
        <v>1590</v>
      </c>
      <c r="H312" s="22" t="inlineStr">
        <is>
          <t>так</t>
        </is>
      </c>
      <c r="I312" s="23" t="n"/>
      <c r="J312" s="22" t="inlineStr"/>
      <c r="K312" s="22" t="inlineStr">
        <is>
          <t>Водоспад</t>
        </is>
      </c>
      <c r="L312" s="23" t="n">
        <v>1590</v>
      </c>
      <c r="M312" s="23">
        <f>IF(L312="","",E312-L312)</f>
        <v/>
      </c>
      <c r="N312" s="25">
        <f>IF(OR(L312="",L312=0),"",M312/L312)</f>
        <v/>
      </c>
      <c r="O312" s="23" t="n"/>
      <c r="P312" s="22" t="n">
        <v>0</v>
      </c>
      <c r="Q312" s="22" t="n">
        <v>0</v>
      </c>
      <c r="R312" s="22" t="inlineStr">
        <is>
          <t>код</t>
        </is>
      </c>
      <c r="S312" s="26" t="inlineStr">
        <is>
          <t>відкрити</t>
        </is>
      </c>
    </row>
    <row r="313">
      <c r="A313" s="20" t="inlineStr">
        <is>
          <t>В нормі</t>
        </is>
      </c>
      <c r="B313" s="21" t="inlineStr"/>
      <c r="C313" s="22" t="inlineStr">
        <is>
          <t>4580149746398</t>
        </is>
      </c>
      <c r="D313" s="21" t="inlineStr">
        <is>
          <t>Ножиці 170 мм Ханакумагава / Hanakumagawa (4580149746398) Японія</t>
        </is>
      </c>
      <c r="E313" s="23" t="n">
        <v>4390</v>
      </c>
      <c r="F313" s="27" t="inlineStr">
        <is>
          <t>ні</t>
        </is>
      </c>
      <c r="G313" s="24" t="n">
        <v>4390</v>
      </c>
      <c r="H313" s="22" t="inlineStr">
        <is>
          <t>так</t>
        </is>
      </c>
      <c r="I313" s="23" t="n"/>
      <c r="J313" s="22" t="inlineStr"/>
      <c r="K313" s="22" t="inlineStr">
        <is>
          <t>Водоспад</t>
        </is>
      </c>
      <c r="L313" s="23" t="n">
        <v>4390</v>
      </c>
      <c r="M313" s="23">
        <f>IF(L313="","",E313-L313)</f>
        <v/>
      </c>
      <c r="N313" s="25">
        <f>IF(OR(L313="",L313=0),"",M313/L313)</f>
        <v/>
      </c>
      <c r="O313" s="23" t="n"/>
      <c r="P313" s="22" t="n">
        <v>0</v>
      </c>
      <c r="Q313" s="22" t="n">
        <v>0</v>
      </c>
      <c r="R313" s="22" t="inlineStr">
        <is>
          <t>код</t>
        </is>
      </c>
      <c r="S313" s="26" t="inlineStr">
        <is>
          <t>відкрити</t>
        </is>
      </c>
    </row>
    <row r="314">
      <c r="A314" s="20" t="inlineStr">
        <is>
          <t>В нормі</t>
        </is>
      </c>
      <c r="B314" s="21" t="inlineStr"/>
      <c r="C314" s="22" t="inlineStr">
        <is>
          <t>4580149742093</t>
        </is>
      </c>
      <c r="D314" s="21" t="inlineStr">
        <is>
          <t>Ножиці 200 мм Ханакумагава / Hanakumagawa (4580149742093) Японія</t>
        </is>
      </c>
      <c r="E314" s="23" t="n">
        <v>4990</v>
      </c>
      <c r="F314" s="27" t="inlineStr">
        <is>
          <t>ні</t>
        </is>
      </c>
      <c r="G314" s="24" t="n">
        <v>4990</v>
      </c>
      <c r="H314" s="22" t="inlineStr">
        <is>
          <t>так</t>
        </is>
      </c>
      <c r="I314" s="23" t="n"/>
      <c r="J314" s="22" t="inlineStr"/>
      <c r="K314" s="22" t="inlineStr">
        <is>
          <t>Водоспад</t>
        </is>
      </c>
      <c r="L314" s="23" t="n">
        <v>4990</v>
      </c>
      <c r="M314" s="23">
        <f>IF(L314="","",E314-L314)</f>
        <v/>
      </c>
      <c r="N314" s="25">
        <f>IF(OR(L314="",L314=0),"",M314/L314)</f>
        <v/>
      </c>
      <c r="O314" s="23" t="n"/>
      <c r="P314" s="22" t="n">
        <v>0</v>
      </c>
      <c r="Q314" s="22" t="n">
        <v>0</v>
      </c>
      <c r="R314" s="22" t="inlineStr">
        <is>
          <t>код</t>
        </is>
      </c>
      <c r="S314" s="26" t="inlineStr">
        <is>
          <t>відкрити</t>
        </is>
      </c>
    </row>
    <row r="315">
      <c r="A315" s="20" t="inlineStr">
        <is>
          <t>В нормі</t>
        </is>
      </c>
      <c r="B315" s="21" t="inlineStr"/>
      <c r="C315" s="22" t="inlineStr">
        <is>
          <t>160/27</t>
        </is>
      </c>
      <c r="D315" s="21" t="inlineStr">
        <is>
          <t>Ножиці Due Buoi (160/27) Італія</t>
        </is>
      </c>
      <c r="E315" s="23" t="n">
        <v>790</v>
      </c>
      <c r="F315" s="22" t="inlineStr">
        <is>
          <t>так</t>
        </is>
      </c>
      <c r="G315" s="24" t="n">
        <v>790</v>
      </c>
      <c r="H315" s="22" t="inlineStr">
        <is>
          <t>так</t>
        </is>
      </c>
      <c r="I315" s="23" t="n"/>
      <c r="J315" s="22" t="inlineStr"/>
      <c r="K315" s="22" t="inlineStr">
        <is>
          <t>Водоспад</t>
        </is>
      </c>
      <c r="L315" s="23" t="n">
        <v>790</v>
      </c>
      <c r="M315" s="23">
        <f>IF(L315="","",E315-L315)</f>
        <v/>
      </c>
      <c r="N315" s="25">
        <f>IF(OR(L315="",L315=0),"",M315/L315)</f>
        <v/>
      </c>
      <c r="O315" s="23" t="n"/>
      <c r="P315" s="22" t="n">
        <v>0</v>
      </c>
      <c r="Q315" s="22" t="n">
        <v>0</v>
      </c>
      <c r="R315" s="22" t="inlineStr">
        <is>
          <t>код</t>
        </is>
      </c>
      <c r="S315" s="26" t="inlineStr">
        <is>
          <t>відкрити</t>
        </is>
      </c>
    </row>
    <row r="316">
      <c r="A316" s="20" t="inlineStr">
        <is>
          <t>В нормі</t>
        </is>
      </c>
      <c r="B316" s="21" t="inlineStr"/>
      <c r="C316" s="22" t="inlineStr">
        <is>
          <t>1148/18.5</t>
        </is>
      </c>
      <c r="D316" s="21" t="inlineStr">
        <is>
          <t>Ножиці Due Buoi 1148/18,5 INOX (1148/18.5) Італія</t>
        </is>
      </c>
      <c r="E316" s="23" t="n">
        <v>295</v>
      </c>
      <c r="F316" s="22" t="inlineStr">
        <is>
          <t>так</t>
        </is>
      </c>
      <c r="G316" s="24" t="n">
        <v>295</v>
      </c>
      <c r="H316" s="22" t="inlineStr">
        <is>
          <t>так</t>
        </is>
      </c>
      <c r="I316" s="23" t="n">
        <v>275</v>
      </c>
      <c r="J316" s="27" t="inlineStr">
        <is>
          <t>ні</t>
        </is>
      </c>
      <c r="K316" s="22" t="inlineStr">
        <is>
          <t>Водоспад</t>
        </is>
      </c>
      <c r="L316" s="23" t="n">
        <v>295</v>
      </c>
      <c r="M316" s="23">
        <f>IF(L316="","",E316-L316)</f>
        <v/>
      </c>
      <c r="N316" s="25">
        <f>IF(OR(L316="",L316=0),"",M316/L316)</f>
        <v/>
      </c>
      <c r="O316" s="23" t="n"/>
      <c r="P316" s="22" t="n">
        <v>0</v>
      </c>
      <c r="Q316" s="22" t="n">
        <v>0</v>
      </c>
      <c r="R316" s="22" t="inlineStr">
        <is>
          <t>код</t>
        </is>
      </c>
      <c r="S316" s="26" t="inlineStr">
        <is>
          <t>відкрити</t>
        </is>
      </c>
    </row>
    <row r="317">
      <c r="A317" s="20" t="inlineStr">
        <is>
          <t>В нормі</t>
        </is>
      </c>
      <c r="B317" s="21" t="inlineStr"/>
      <c r="C317" s="22" t="inlineStr">
        <is>
          <t>P128-19</t>
        </is>
      </c>
      <c r="D317" s="21" t="inlineStr">
        <is>
          <t>Ножиці для збирання винограду Р128-19 Bahco</t>
        </is>
      </c>
      <c r="E317" s="23" t="n">
        <v>570</v>
      </c>
      <c r="F317" s="22" t="inlineStr">
        <is>
          <t>так</t>
        </is>
      </c>
      <c r="G317" s="24" t="n">
        <v>570</v>
      </c>
      <c r="H317" s="22" t="inlineStr">
        <is>
          <t>так</t>
        </is>
      </c>
      <c r="I317" s="23" t="n">
        <v>570</v>
      </c>
      <c r="J317" s="22" t="inlineStr">
        <is>
          <t>так</t>
        </is>
      </c>
      <c r="K317" s="22" t="inlineStr">
        <is>
          <t>Водоспад</t>
        </is>
      </c>
      <c r="L317" s="23" t="n">
        <v>570</v>
      </c>
      <c r="M317" s="23">
        <f>IF(L317="","",E317-L317)</f>
        <v/>
      </c>
      <c r="N317" s="25">
        <f>IF(OR(L317="",L317=0),"",M317/L317)</f>
        <v/>
      </c>
      <c r="O317" s="23" t="n"/>
      <c r="P317" s="22" t="n">
        <v>0</v>
      </c>
      <c r="Q317" s="22" t="n">
        <v>0</v>
      </c>
      <c r="R317" s="22" t="inlineStr">
        <is>
          <t>код</t>
        </is>
      </c>
      <c r="S317" s="26" t="inlineStr">
        <is>
          <t>відкрити</t>
        </is>
      </c>
    </row>
    <row r="318">
      <c r="A318" s="20" t="inlineStr">
        <is>
          <t>В нормі</t>
        </is>
      </c>
      <c r="B318" s="21" t="inlineStr"/>
      <c r="C318" s="22" t="inlineStr">
        <is>
          <t>3461-R.B</t>
        </is>
      </c>
      <c r="D318" s="21" t="inlineStr">
        <is>
          <t>Ножиці для кущів (3461-R.B) Bellota Іспанія</t>
        </is>
      </c>
      <c r="E318" s="23" t="n">
        <v>2287</v>
      </c>
      <c r="F318" s="22" t="inlineStr">
        <is>
          <t>так</t>
        </is>
      </c>
      <c r="G318" s="23" t="n"/>
      <c r="H318" s="22" t="inlineStr"/>
      <c r="I318" s="24" t="n">
        <v>2287</v>
      </c>
      <c r="J318" s="22" t="inlineStr">
        <is>
          <t>так</t>
        </is>
      </c>
      <c r="K318" s="22" t="inlineStr">
        <is>
          <t>Клуб Рослин</t>
        </is>
      </c>
      <c r="L318" s="23" t="n">
        <v>2287</v>
      </c>
      <c r="M318" s="23">
        <f>IF(L318="","",E318-L318)</f>
        <v/>
      </c>
      <c r="N318" s="25">
        <f>IF(OR(L318="",L318=0),"",M318/L318)</f>
        <v/>
      </c>
      <c r="O318" s="23" t="n"/>
      <c r="P318" s="22" t="n">
        <v>0</v>
      </c>
      <c r="Q318" s="22" t="n">
        <v>0</v>
      </c>
      <c r="R318" s="22" t="inlineStr">
        <is>
          <t>схожа назва</t>
        </is>
      </c>
      <c r="S318" s="26" t="inlineStr">
        <is>
          <t>відкрити</t>
        </is>
      </c>
    </row>
    <row r="319">
      <c r="A319" s="20" t="inlineStr">
        <is>
          <t>В нормі</t>
        </is>
      </c>
      <c r="B319" s="21" t="inlineStr"/>
      <c r="C319" s="22" t="inlineStr">
        <is>
          <t>613/20</t>
        </is>
      </c>
      <c r="D319" s="21" t="inlineStr">
        <is>
          <t>Ножиці для кущів Due Buoi 613/20 Італія</t>
        </is>
      </c>
      <c r="E319" s="23" t="n">
        <v>1990</v>
      </c>
      <c r="F319" s="22" t="inlineStr">
        <is>
          <t>так</t>
        </is>
      </c>
      <c r="G319" s="24" t="n">
        <v>1990</v>
      </c>
      <c r="H319" s="22" t="inlineStr">
        <is>
          <t>так</t>
        </is>
      </c>
      <c r="I319" s="23" t="n"/>
      <c r="J319" s="22" t="inlineStr"/>
      <c r="K319" s="22" t="inlineStr">
        <is>
          <t>Водоспад</t>
        </is>
      </c>
      <c r="L319" s="23" t="n">
        <v>1990</v>
      </c>
      <c r="M319" s="23">
        <f>IF(L319="","",E319-L319)</f>
        <v/>
      </c>
      <c r="N319" s="25">
        <f>IF(OR(L319="",L319=0),"",M319/L319)</f>
        <v/>
      </c>
      <c r="O319" s="23" t="n"/>
      <c r="P319" s="22" t="n">
        <v>0</v>
      </c>
      <c r="Q319" s="22" t="n">
        <v>0</v>
      </c>
      <c r="R319" s="22" t="inlineStr">
        <is>
          <t>код</t>
        </is>
      </c>
      <c r="S319" s="26" t="inlineStr">
        <is>
          <t>відкрити</t>
        </is>
      </c>
    </row>
    <row r="320">
      <c r="A320" s="20" t="inlineStr">
        <is>
          <t>В нормі</t>
        </is>
      </c>
      <c r="B320" s="21" t="inlineStr">
        <is>
          <t>Немає в наявності в жодного постачальника</t>
        </is>
      </c>
      <c r="C320" s="22" t="inlineStr">
        <is>
          <t>K-800</t>
        </is>
      </c>
      <c r="D320" s="21" t="inlineStr">
        <is>
          <t>Ножиці для кущів АРС / ARS (K-800) Японія</t>
        </is>
      </c>
      <c r="E320" s="23" t="n">
        <v>2389</v>
      </c>
      <c r="F320" s="22" t="inlineStr">
        <is>
          <t>так</t>
        </is>
      </c>
      <c r="G320" s="23" t="n"/>
      <c r="H320" s="22" t="inlineStr"/>
      <c r="I320" s="24" t="n">
        <v>2389</v>
      </c>
      <c r="J320" s="27" t="inlineStr">
        <is>
          <t>ні</t>
        </is>
      </c>
      <c r="K320" s="22" t="inlineStr">
        <is>
          <t>Клуб Рослин</t>
        </is>
      </c>
      <c r="L320" s="23" t="n">
        <v>2389</v>
      </c>
      <c r="M320" s="23">
        <f>IF(L320="","",E320-L320)</f>
        <v/>
      </c>
      <c r="N320" s="25">
        <f>IF(OR(L320="",L320=0),"",M320/L320)</f>
        <v/>
      </c>
      <c r="O320" s="23" t="n"/>
      <c r="P320" s="22" t="n">
        <v>0</v>
      </c>
      <c r="Q320" s="22" t="n">
        <v>0</v>
      </c>
      <c r="R320" s="22" t="inlineStr">
        <is>
          <t>модель</t>
        </is>
      </c>
      <c r="S320" s="26" t="inlineStr">
        <is>
          <t>відкрити</t>
        </is>
      </c>
    </row>
    <row r="321">
      <c r="A321" s="20" t="inlineStr">
        <is>
          <t>В нормі</t>
        </is>
      </c>
      <c r="B321" s="21" t="inlineStr"/>
      <c r="C321" s="22" t="inlineStr">
        <is>
          <t>KR-1000</t>
        </is>
      </c>
      <c r="D321" s="21" t="inlineStr">
        <is>
          <t>Ножиці для кущів АРС / ARS (KR-1000) Японія</t>
        </is>
      </c>
      <c r="E321" s="23" t="n">
        <v>4460</v>
      </c>
      <c r="F321" s="22" t="inlineStr">
        <is>
          <t>так</t>
        </is>
      </c>
      <c r="G321" s="24" t="n">
        <v>4460</v>
      </c>
      <c r="H321" s="22" t="inlineStr">
        <is>
          <t>так</t>
        </is>
      </c>
      <c r="I321" s="23" t="n">
        <v>4460</v>
      </c>
      <c r="J321" s="22" t="inlineStr">
        <is>
          <t>так</t>
        </is>
      </c>
      <c r="K321" s="22" t="inlineStr">
        <is>
          <t>Водоспад</t>
        </is>
      </c>
      <c r="L321" s="23" t="n">
        <v>4460</v>
      </c>
      <c r="M321" s="23">
        <f>IF(L321="","",E321-L321)</f>
        <v/>
      </c>
      <c r="N321" s="25">
        <f>IF(OR(L321="",L321=0),"",M321/L321)</f>
        <v/>
      </c>
      <c r="O321" s="23" t="n"/>
      <c r="P321" s="22" t="n">
        <v>0</v>
      </c>
      <c r="Q321" s="22" t="n">
        <v>0</v>
      </c>
      <c r="R321" s="22" t="inlineStr">
        <is>
          <t>код</t>
        </is>
      </c>
      <c r="S321" s="26" t="inlineStr">
        <is>
          <t>відкрити</t>
        </is>
      </c>
    </row>
    <row r="322">
      <c r="A322" s="20" t="inlineStr">
        <is>
          <t>В нормі</t>
        </is>
      </c>
      <c r="B322" s="21" t="inlineStr"/>
      <c r="C322" s="22" t="inlineStr">
        <is>
          <t>KR-1000L</t>
        </is>
      </c>
      <c r="D322" s="21" t="inlineStr">
        <is>
          <t>Ножиці для кущів АРС / ARS (KR-1000L) Японія</t>
        </is>
      </c>
      <c r="E322" s="23" t="n">
        <v>4459</v>
      </c>
      <c r="F322" s="22" t="inlineStr">
        <is>
          <t>так</t>
        </is>
      </c>
      <c r="G322" s="24" t="n">
        <v>4459</v>
      </c>
      <c r="H322" s="22" t="inlineStr">
        <is>
          <t>так</t>
        </is>
      </c>
      <c r="I322" s="23" t="n">
        <v>4459</v>
      </c>
      <c r="J322" s="22" t="inlineStr">
        <is>
          <t>так</t>
        </is>
      </c>
      <c r="K322" s="22" t="inlineStr">
        <is>
          <t>Водоспад</t>
        </is>
      </c>
      <c r="L322" s="23" t="n">
        <v>4459</v>
      </c>
      <c r="M322" s="23">
        <f>IF(L322="","",E322-L322)</f>
        <v/>
      </c>
      <c r="N322" s="25">
        <f>IF(OR(L322="",L322=0),"",M322/L322)</f>
        <v/>
      </c>
      <c r="O322" s="23" t="n"/>
      <c r="P322" s="22" t="n">
        <v>0</v>
      </c>
      <c r="Q322" s="22" t="n">
        <v>0</v>
      </c>
      <c r="R322" s="22" t="inlineStr">
        <is>
          <t>код</t>
        </is>
      </c>
      <c r="S322" s="26" t="inlineStr">
        <is>
          <t>відкрити</t>
        </is>
      </c>
    </row>
    <row r="323">
      <c r="A323" s="20" t="inlineStr">
        <is>
          <t>В нормі</t>
        </is>
      </c>
      <c r="B323" s="21" t="inlineStr"/>
      <c r="C323" s="22" t="inlineStr">
        <is>
          <t>P52-SL-20</t>
        </is>
      </c>
      <c r="D323" s="21" t="inlineStr">
        <is>
          <t>Ножиці для топіарної стрижки P52-SL-20 Bahco</t>
        </is>
      </c>
      <c r="E323" s="23" t="n">
        <v>4299</v>
      </c>
      <c r="F323" s="27" t="inlineStr">
        <is>
          <t>ні</t>
        </is>
      </c>
      <c r="G323" s="24" t="n">
        <v>4299</v>
      </c>
      <c r="H323" s="22" t="inlineStr">
        <is>
          <t>так</t>
        </is>
      </c>
      <c r="I323" s="23" t="n">
        <v>4299</v>
      </c>
      <c r="J323" s="22" t="inlineStr">
        <is>
          <t>так</t>
        </is>
      </c>
      <c r="K323" s="22" t="inlineStr">
        <is>
          <t>Водоспад</t>
        </is>
      </c>
      <c r="L323" s="23" t="n">
        <v>4299</v>
      </c>
      <c r="M323" s="23">
        <f>IF(L323="","",E323-L323)</f>
        <v/>
      </c>
      <c r="N323" s="25">
        <f>IF(OR(L323="",L323=0),"",M323/L323)</f>
        <v/>
      </c>
      <c r="O323" s="23" t="n"/>
      <c r="P323" s="22" t="n">
        <v>0</v>
      </c>
      <c r="Q323" s="22" t="n">
        <v>0</v>
      </c>
      <c r="R323" s="22" t="inlineStr">
        <is>
          <t>код</t>
        </is>
      </c>
      <c r="S323" s="26" t="inlineStr">
        <is>
          <t>відкрити</t>
        </is>
      </c>
    </row>
    <row r="324">
      <c r="A324" s="20" t="inlineStr">
        <is>
          <t>В нормі</t>
        </is>
      </c>
      <c r="B324" s="21" t="inlineStr"/>
      <c r="C324" s="22" t="inlineStr">
        <is>
          <t>TBS270</t>
        </is>
      </c>
      <c r="D324" s="21" t="inlineStr">
        <is>
          <t>Ножиці для топінарної стрижки 270 мм Тобішо / Tobisho (TBS270) Японія</t>
        </is>
      </c>
      <c r="E324" s="23" t="n">
        <v>8999</v>
      </c>
      <c r="F324" s="27" t="inlineStr">
        <is>
          <t>ні</t>
        </is>
      </c>
      <c r="G324" s="24" t="n">
        <v>8999</v>
      </c>
      <c r="H324" s="27" t="inlineStr">
        <is>
          <t>ні</t>
        </is>
      </c>
      <c r="I324" s="23" t="n"/>
      <c r="J324" s="22" t="inlineStr"/>
      <c r="K324" s="22" t="inlineStr">
        <is>
          <t>Водоспад</t>
        </is>
      </c>
      <c r="L324" s="23" t="n">
        <v>8999</v>
      </c>
      <c r="M324" s="23">
        <f>IF(L324="","",E324-L324)</f>
        <v/>
      </c>
      <c r="N324" s="25">
        <f>IF(OR(L324="",L324=0),"",M324/L324)</f>
        <v/>
      </c>
      <c r="O324" s="23" t="n"/>
      <c r="P324" s="22" t="n">
        <v>0</v>
      </c>
      <c r="Q324" s="22" t="n">
        <v>0</v>
      </c>
      <c r="R324" s="22" t="inlineStr">
        <is>
          <t>код</t>
        </is>
      </c>
      <c r="S324" s="26" t="inlineStr">
        <is>
          <t>відкрити</t>
        </is>
      </c>
    </row>
    <row r="325">
      <c r="A325" s="20" t="inlineStr">
        <is>
          <t>В нормі</t>
        </is>
      </c>
      <c r="B325" s="21" t="inlineStr"/>
      <c r="C325" s="22" t="inlineStr">
        <is>
          <t>4587-13.В</t>
        </is>
      </c>
      <c r="D325" s="21" t="inlineStr">
        <is>
          <t>Ножівка садова з чохлом 330 мм Bellota (4587-13.В) Іспанія</t>
        </is>
      </c>
      <c r="E325" s="23" t="n">
        <v>1310</v>
      </c>
      <c r="F325" s="27" t="inlineStr">
        <is>
          <t>ні</t>
        </is>
      </c>
      <c r="G325" s="23" t="n"/>
      <c r="H325" s="22" t="inlineStr"/>
      <c r="I325" s="24" t="n">
        <v>1310</v>
      </c>
      <c r="J325" s="22" t="inlineStr">
        <is>
          <t>так</t>
        </is>
      </c>
      <c r="K325" s="22" t="inlineStr">
        <is>
          <t>Клуб Рослин</t>
        </is>
      </c>
      <c r="L325" s="23" t="n">
        <v>1310</v>
      </c>
      <c r="M325" s="23">
        <f>IF(L325="","",E325-L325)</f>
        <v/>
      </c>
      <c r="N325" s="25">
        <f>IF(OR(L325="",L325=0),"",M325/L325)</f>
        <v/>
      </c>
      <c r="O325" s="23" t="n"/>
      <c r="P325" s="22" t="n">
        <v>0</v>
      </c>
      <c r="Q325" s="22" t="n">
        <v>0</v>
      </c>
      <c r="R325" s="22" t="inlineStr">
        <is>
          <t>код</t>
        </is>
      </c>
      <c r="S325" s="26" t="inlineStr">
        <is>
          <t>відкрити</t>
        </is>
      </c>
    </row>
    <row r="326">
      <c r="A326" s="20" t="inlineStr">
        <is>
          <t>В нормі</t>
        </is>
      </c>
      <c r="B326" s="21" t="inlineStr"/>
      <c r="C326" s="22" t="inlineStr">
        <is>
          <t>4588-13.B</t>
        </is>
      </c>
      <c r="D326" s="21" t="inlineStr">
        <is>
          <t>Ножівка садова з чохлом 330 мм Bellota (4588-13.В) Іспанія</t>
        </is>
      </c>
      <c r="E326" s="23" t="n">
        <v>1638</v>
      </c>
      <c r="F326" s="22" t="inlineStr">
        <is>
          <t>так</t>
        </is>
      </c>
      <c r="G326" s="23" t="n"/>
      <c r="H326" s="22" t="inlineStr"/>
      <c r="I326" s="24" t="n">
        <v>1638</v>
      </c>
      <c r="J326" s="22" t="inlineStr">
        <is>
          <t>так</t>
        </is>
      </c>
      <c r="K326" s="22" t="inlineStr">
        <is>
          <t>Клуб Рослин</t>
        </is>
      </c>
      <c r="L326" s="23" t="n">
        <v>1638</v>
      </c>
      <c r="M326" s="23">
        <f>IF(L326="","",E326-L326)</f>
        <v/>
      </c>
      <c r="N326" s="25">
        <f>IF(OR(L326="",L326=0),"",M326/L326)</f>
        <v/>
      </c>
      <c r="O326" s="23" t="n"/>
      <c r="P326" s="22" t="n">
        <v>0</v>
      </c>
      <c r="Q326" s="22" t="n">
        <v>0</v>
      </c>
      <c r="R326" s="22" t="inlineStr">
        <is>
          <t>код</t>
        </is>
      </c>
      <c r="S326" s="26" t="inlineStr">
        <is>
          <t>відкрити</t>
        </is>
      </c>
    </row>
    <row r="327">
      <c r="A327" s="20" t="inlineStr">
        <is>
          <t>В нормі</t>
        </is>
      </c>
      <c r="B327" s="21" t="inlineStr"/>
      <c r="C327" s="22" t="inlineStr">
        <is>
          <t>5791/R</t>
        </is>
      </c>
      <c r="D327" s="21" t="inlineStr">
        <is>
          <t>Ніж Antonini 5791/R для щеплення Антоніні Італія</t>
        </is>
      </c>
      <c r="E327" s="23" t="n">
        <v>430</v>
      </c>
      <c r="F327" s="27" t="inlineStr">
        <is>
          <t>ні</t>
        </is>
      </c>
      <c r="G327" s="24" t="n">
        <v>430</v>
      </c>
      <c r="H327" s="22" t="inlineStr">
        <is>
          <t>так</t>
        </is>
      </c>
      <c r="I327" s="23" t="n"/>
      <c r="J327" s="22" t="inlineStr"/>
      <c r="K327" s="22" t="inlineStr">
        <is>
          <t>Водоспад</t>
        </is>
      </c>
      <c r="L327" s="23" t="n">
        <v>430</v>
      </c>
      <c r="M327" s="23">
        <f>IF(L327="","",E327-L327)</f>
        <v/>
      </c>
      <c r="N327" s="25">
        <f>IF(OR(L327="",L327=0),"",M327/L327)</f>
        <v/>
      </c>
      <c r="O327" s="23" t="n"/>
      <c r="P327" s="22" t="n">
        <v>0</v>
      </c>
      <c r="Q327" s="22" t="n">
        <v>0</v>
      </c>
      <c r="R327" s="22" t="inlineStr">
        <is>
          <t>код</t>
        </is>
      </c>
      <c r="S327" s="26" t="inlineStr">
        <is>
          <t>відкрити</t>
        </is>
      </c>
    </row>
    <row r="328">
      <c r="A328" s="20" t="inlineStr">
        <is>
          <t>В нормі</t>
        </is>
      </c>
      <c r="B328" s="21" t="inlineStr"/>
      <c r="C328" s="22" t="inlineStr">
        <is>
          <t>201AP</t>
        </is>
      </c>
      <c r="D328" s="21" t="inlineStr">
        <is>
          <t>Ніж Due Buoi 201AP для щеплення універсальний Італія</t>
        </is>
      </c>
      <c r="E328" s="23" t="n">
        <v>1990</v>
      </c>
      <c r="F328" s="27" t="inlineStr">
        <is>
          <t>ні</t>
        </is>
      </c>
      <c r="G328" s="23" t="n"/>
      <c r="H328" s="22" t="inlineStr"/>
      <c r="I328" s="24" t="n">
        <v>1990</v>
      </c>
      <c r="J328" s="22" t="inlineStr">
        <is>
          <t>так</t>
        </is>
      </c>
      <c r="K328" s="22" t="inlineStr">
        <is>
          <t>Клуб Рослин</t>
        </is>
      </c>
      <c r="L328" s="23" t="n">
        <v>1990</v>
      </c>
      <c r="M328" s="23">
        <f>IF(L328="","",E328-L328)</f>
        <v/>
      </c>
      <c r="N328" s="25">
        <f>IF(OR(L328="",L328=0),"",M328/L328)</f>
        <v/>
      </c>
      <c r="O328" s="23" t="n"/>
      <c r="P328" s="22" t="n">
        <v>0</v>
      </c>
      <c r="Q328" s="22" t="n">
        <v>0</v>
      </c>
      <c r="R328" s="22" t="inlineStr">
        <is>
          <t>модель</t>
        </is>
      </c>
      <c r="S328" s="26" t="inlineStr">
        <is>
          <t>відкрити</t>
        </is>
      </c>
    </row>
    <row r="329">
      <c r="A329" s="20" t="inlineStr">
        <is>
          <t>В нормі</t>
        </is>
      </c>
      <c r="B329" s="21" t="inlineStr"/>
      <c r="C329" s="22" t="inlineStr">
        <is>
          <t>12057</t>
        </is>
      </c>
      <c r="D329" s="21" t="inlineStr">
        <is>
          <t>Ніж Morakniv Outdoor Mora 2000 (S) Orange (12057) Швеція</t>
        </is>
      </c>
      <c r="E329" s="23" t="n">
        <v>1339</v>
      </c>
      <c r="F329" s="27" t="inlineStr">
        <is>
          <t>ні</t>
        </is>
      </c>
      <c r="G329" s="24" t="n">
        <v>1339</v>
      </c>
      <c r="H329" s="27" t="inlineStr">
        <is>
          <t>ні</t>
        </is>
      </c>
      <c r="I329" s="23" t="n"/>
      <c r="J329" s="22" t="inlineStr"/>
      <c r="K329" s="22" t="inlineStr">
        <is>
          <t>Водоспад</t>
        </is>
      </c>
      <c r="L329" s="23" t="n">
        <v>1339</v>
      </c>
      <c r="M329" s="23">
        <f>IF(L329="","",E329-L329)</f>
        <v/>
      </c>
      <c r="N329" s="25">
        <f>IF(OR(L329="",L329=0),"",M329/L329)</f>
        <v/>
      </c>
      <c r="O329" s="23" t="n"/>
      <c r="P329" s="22" t="n">
        <v>0</v>
      </c>
      <c r="Q329" s="22" t="n">
        <v>0</v>
      </c>
      <c r="R329" s="22" t="inlineStr">
        <is>
          <t>код</t>
        </is>
      </c>
      <c r="S329" s="26" t="inlineStr">
        <is>
          <t>відкрити</t>
        </is>
      </c>
    </row>
    <row r="330">
      <c r="A330" s="20" t="inlineStr">
        <is>
          <t>В нормі</t>
        </is>
      </c>
      <c r="B330" s="21" t="inlineStr"/>
      <c r="C330" s="22" t="inlineStr">
        <is>
          <t>12356</t>
        </is>
      </c>
      <c r="D330" s="21" t="inlineStr">
        <is>
          <t>Ніж Мора / Morakniv Bushcraft Forest Sandvik 12C27 (12356) Швеція</t>
        </is>
      </c>
      <c r="E330" s="23" t="n">
        <v>1799</v>
      </c>
      <c r="F330" s="27" t="inlineStr">
        <is>
          <t>ні</t>
        </is>
      </c>
      <c r="G330" s="24" t="n">
        <v>1799</v>
      </c>
      <c r="H330" s="27" t="inlineStr">
        <is>
          <t>ні</t>
        </is>
      </c>
      <c r="I330" s="23" t="n"/>
      <c r="J330" s="22" t="inlineStr"/>
      <c r="K330" s="22" t="inlineStr">
        <is>
          <t>Водоспад</t>
        </is>
      </c>
      <c r="L330" s="23" t="n">
        <v>1799</v>
      </c>
      <c r="M330" s="23">
        <f>IF(L330="","",E330-L330)</f>
        <v/>
      </c>
      <c r="N330" s="25">
        <f>IF(OR(L330="",L330=0),"",M330/L330)</f>
        <v/>
      </c>
      <c r="O330" s="23" t="n"/>
      <c r="P330" s="22" t="n">
        <v>0</v>
      </c>
      <c r="Q330" s="22" t="n">
        <v>0</v>
      </c>
      <c r="R330" s="22" t="inlineStr">
        <is>
          <t>код</t>
        </is>
      </c>
      <c r="S330" s="26" t="inlineStr">
        <is>
          <t>відкрити</t>
        </is>
      </c>
    </row>
    <row r="331">
      <c r="A331" s="20" t="inlineStr">
        <is>
          <t>В нормі</t>
        </is>
      </c>
      <c r="B331" s="21" t="inlineStr"/>
      <c r="C331" s="22" t="inlineStr">
        <is>
          <t>9387/19LU</t>
        </is>
      </c>
      <c r="D331" s="21" t="inlineStr">
        <is>
          <t>Ніж грибника Old Bear M 19 см Antonini (9387/19LU) Італія</t>
        </is>
      </c>
      <c r="E331" s="23" t="n">
        <v>1650</v>
      </c>
      <c r="F331" s="27" t="inlineStr">
        <is>
          <t>ні</t>
        </is>
      </c>
      <c r="G331" s="24" t="n">
        <v>1650</v>
      </c>
      <c r="H331" s="22" t="inlineStr">
        <is>
          <t>так</t>
        </is>
      </c>
      <c r="I331" s="23" t="n"/>
      <c r="J331" s="22" t="inlineStr"/>
      <c r="K331" s="22" t="inlineStr">
        <is>
          <t>Водоспад</t>
        </is>
      </c>
      <c r="L331" s="23" t="n">
        <v>1650</v>
      </c>
      <c r="M331" s="23">
        <f>IF(L331="","",E331-L331)</f>
        <v/>
      </c>
      <c r="N331" s="25">
        <f>IF(OR(L331="",L331=0),"",M331/L331)</f>
        <v/>
      </c>
      <c r="O331" s="23" t="n"/>
      <c r="P331" s="22" t="n">
        <v>0</v>
      </c>
      <c r="Q331" s="22" t="n">
        <v>0</v>
      </c>
      <c r="R331" s="22" t="inlineStr">
        <is>
          <t>код</t>
        </is>
      </c>
      <c r="S331" s="26" t="inlineStr">
        <is>
          <t>відкрити</t>
        </is>
      </c>
    </row>
    <row r="332">
      <c r="A332" s="20" t="inlineStr">
        <is>
          <t>В нормі</t>
        </is>
      </c>
      <c r="B332" s="21" t="inlineStr"/>
      <c r="C332" s="22" t="inlineStr">
        <is>
          <t>9500/L.A</t>
        </is>
      </c>
      <c r="D332" s="21" t="inlineStr">
        <is>
          <t>Ніж для обрізки і зачистки високовуглецева сталь Антоніні / Antonini (9500/L.A) Італія</t>
        </is>
      </c>
      <c r="E332" s="23" t="n">
        <v>535</v>
      </c>
      <c r="F332" s="27" t="inlineStr">
        <is>
          <t>ні</t>
        </is>
      </c>
      <c r="G332" s="23" t="n"/>
      <c r="H332" s="22" t="inlineStr"/>
      <c r="I332" s="24" t="n">
        <v>535</v>
      </c>
      <c r="J332" s="27" t="inlineStr">
        <is>
          <t>ні</t>
        </is>
      </c>
      <c r="K332" s="22" t="inlineStr">
        <is>
          <t>Клуб Рослин</t>
        </is>
      </c>
      <c r="L332" s="23" t="n">
        <v>535</v>
      </c>
      <c r="M332" s="23">
        <f>IF(L332="","",E332-L332)</f>
        <v/>
      </c>
      <c r="N332" s="25">
        <f>IF(OR(L332="",L332=0),"",M332/L332)</f>
        <v/>
      </c>
      <c r="O332" s="23" t="n"/>
      <c r="P332" s="22" t="n">
        <v>0</v>
      </c>
      <c r="Q332" s="22" t="n">
        <v>0</v>
      </c>
      <c r="R332" s="22" t="inlineStr">
        <is>
          <t>код</t>
        </is>
      </c>
      <c r="S332" s="26" t="inlineStr">
        <is>
          <t>відкрити</t>
        </is>
      </c>
    </row>
    <row r="333">
      <c r="A333" s="20" t="inlineStr">
        <is>
          <t>В нормі</t>
        </is>
      </c>
      <c r="B333" s="21" t="inlineStr"/>
      <c r="C333" s="22" t="inlineStr">
        <is>
          <t>TC90045</t>
        </is>
      </c>
      <c r="D333" s="21" t="inlineStr">
        <is>
          <t>Ніж для степлера (комплект) Tapener HT-R1 MAX (TC90045)</t>
        </is>
      </c>
      <c r="E333" s="23" t="n">
        <v>325</v>
      </c>
      <c r="F333" s="22" t="inlineStr">
        <is>
          <t>так</t>
        </is>
      </c>
      <c r="G333" s="24" t="n">
        <v>325</v>
      </c>
      <c r="H333" s="22" t="inlineStr">
        <is>
          <t>так</t>
        </is>
      </c>
      <c r="I333" s="23" t="n"/>
      <c r="J333" s="22" t="inlineStr"/>
      <c r="K333" s="22" t="inlineStr">
        <is>
          <t>Водоспад</t>
        </is>
      </c>
      <c r="L333" s="23" t="n">
        <v>325</v>
      </c>
      <c r="M333" s="23">
        <f>IF(L333="","",E333-L333)</f>
        <v/>
      </c>
      <c r="N333" s="25">
        <f>IF(OR(L333="",L333=0),"",M333/L333)</f>
        <v/>
      </c>
      <c r="O333" s="23" t="n"/>
      <c r="P333" s="22" t="n">
        <v>0</v>
      </c>
      <c r="Q333" s="22" t="n">
        <v>0</v>
      </c>
      <c r="R333" s="22" t="inlineStr">
        <is>
          <t>код</t>
        </is>
      </c>
      <c r="S333" s="26" t="inlineStr">
        <is>
          <t>відкрити</t>
        </is>
      </c>
    </row>
    <row r="334">
      <c r="A334" s="20" t="inlineStr">
        <is>
          <t>В нормі</t>
        </is>
      </c>
      <c r="B334" s="21" t="inlineStr"/>
      <c r="C334" s="22" t="inlineStr">
        <is>
          <t>202P-SIN</t>
        </is>
      </c>
      <c r="D334" s="21" t="inlineStr">
        <is>
          <t>Ніж для шульги прищепний Due Buoi 202P-SIN Італія</t>
        </is>
      </c>
      <c r="E334" s="23" t="n">
        <v>1100</v>
      </c>
      <c r="F334" s="27" t="inlineStr">
        <is>
          <t>ні</t>
        </is>
      </c>
      <c r="G334" s="24" t="n">
        <v>1100</v>
      </c>
      <c r="H334" s="27" t="inlineStr">
        <is>
          <t>ні</t>
        </is>
      </c>
      <c r="I334" s="23" t="n"/>
      <c r="J334" s="22" t="inlineStr"/>
      <c r="K334" s="22" t="inlineStr">
        <is>
          <t>Водоспад</t>
        </is>
      </c>
      <c r="L334" s="23" t="n">
        <v>1100</v>
      </c>
      <c r="M334" s="23">
        <f>IF(L334="","",E334-L334)</f>
        <v/>
      </c>
      <c r="N334" s="25">
        <f>IF(OR(L334="",L334=0),"",M334/L334)</f>
        <v/>
      </c>
      <c r="O334" s="23" t="n"/>
      <c r="P334" s="22" t="n">
        <v>0</v>
      </c>
      <c r="Q334" s="22" t="n">
        <v>0</v>
      </c>
      <c r="R334" s="22" t="inlineStr">
        <is>
          <t>код</t>
        </is>
      </c>
      <c r="S334" s="26" t="inlineStr">
        <is>
          <t>відкрити</t>
        </is>
      </c>
    </row>
    <row r="335">
      <c r="A335" s="20" t="inlineStr">
        <is>
          <t>В нормі</t>
        </is>
      </c>
      <c r="B335" s="21" t="inlineStr"/>
      <c r="C335" s="22" t="inlineStr">
        <is>
          <t>5037/L</t>
        </is>
      </c>
      <c r="D335" s="21" t="inlineStr">
        <is>
          <t>Ніж для щеплення Антоніні / Antonini (5037/L) Італія</t>
        </is>
      </c>
      <c r="E335" s="23" t="n">
        <v>1090</v>
      </c>
      <c r="F335" s="27" t="inlineStr">
        <is>
          <t>ні</t>
        </is>
      </c>
      <c r="G335" s="24" t="n">
        <v>1090</v>
      </c>
      <c r="H335" s="22" t="inlineStr">
        <is>
          <t>так</t>
        </is>
      </c>
      <c r="I335" s="23" t="n"/>
      <c r="J335" s="22" t="inlineStr"/>
      <c r="K335" s="22" t="inlineStr">
        <is>
          <t>Водоспад</t>
        </is>
      </c>
      <c r="L335" s="23" t="n">
        <v>1090</v>
      </c>
      <c r="M335" s="23">
        <f>IF(L335="","",E335-L335)</f>
        <v/>
      </c>
      <c r="N335" s="25">
        <f>IF(OR(L335="",L335=0),"",M335/L335)</f>
        <v/>
      </c>
      <c r="O335" s="23" t="n"/>
      <c r="P335" s="22" t="n">
        <v>0</v>
      </c>
      <c r="Q335" s="22" t="n">
        <v>0</v>
      </c>
      <c r="R335" s="22" t="inlineStr">
        <is>
          <t>код</t>
        </is>
      </c>
      <c r="S335" s="26" t="inlineStr">
        <is>
          <t>відкрити</t>
        </is>
      </c>
    </row>
    <row r="336">
      <c r="A336" s="20" t="inlineStr">
        <is>
          <t>В нормі</t>
        </is>
      </c>
      <c r="B336" s="21" t="inlineStr"/>
      <c r="C336" s="22" t="inlineStr">
        <is>
          <t>266L</t>
        </is>
      </c>
      <c r="D336" s="21" t="inlineStr">
        <is>
          <t>Ніж для щеплення горіха Due Buoi 266L Італія</t>
        </is>
      </c>
      <c r="E336" s="23" t="n">
        <v>1725</v>
      </c>
      <c r="F336" s="27" t="inlineStr">
        <is>
          <t>ні</t>
        </is>
      </c>
      <c r="G336" s="24" t="n">
        <v>1725</v>
      </c>
      <c r="H336" s="22" t="inlineStr">
        <is>
          <t>так</t>
        </is>
      </c>
      <c r="I336" s="23" t="n"/>
      <c r="J336" s="22" t="inlineStr"/>
      <c r="K336" s="22" t="inlineStr">
        <is>
          <t>Водоспад</t>
        </is>
      </c>
      <c r="L336" s="23" t="n">
        <v>1725</v>
      </c>
      <c r="M336" s="23">
        <f>IF(L336="","",E336-L336)</f>
        <v/>
      </c>
      <c r="N336" s="25">
        <f>IF(OR(L336="",L336=0),"",M336/L336)</f>
        <v/>
      </c>
      <c r="O336" s="23" t="n"/>
      <c r="P336" s="22" t="n">
        <v>0</v>
      </c>
      <c r="Q336" s="22" t="n">
        <v>0</v>
      </c>
      <c r="R336" s="22" t="inlineStr">
        <is>
          <t>назва</t>
        </is>
      </c>
      <c r="S336" s="26" t="inlineStr">
        <is>
          <t>відкрити</t>
        </is>
      </c>
    </row>
    <row r="337">
      <c r="A337" s="20" t="inlineStr">
        <is>
          <t>В нормі</t>
        </is>
      </c>
      <c r="B337" s="21" t="inlineStr"/>
      <c r="C337" s="22" t="inlineStr">
        <is>
          <t>5116/L</t>
        </is>
      </c>
      <c r="D337" s="21" t="inlineStr">
        <is>
          <t>Ніж для щеплення з відокремлювачем​​​​​​​ кори Антоніні / Antonini (5116/L) Італія</t>
        </is>
      </c>
      <c r="E337" s="23" t="n">
        <v>1490</v>
      </c>
      <c r="F337" s="22" t="inlineStr">
        <is>
          <t>так</t>
        </is>
      </c>
      <c r="G337" s="24" t="n">
        <v>1490</v>
      </c>
      <c r="H337" s="22" t="inlineStr">
        <is>
          <t>так</t>
        </is>
      </c>
      <c r="I337" s="23" t="n"/>
      <c r="J337" s="22" t="inlineStr"/>
      <c r="K337" s="22" t="inlineStr">
        <is>
          <t>Водоспад</t>
        </is>
      </c>
      <c r="L337" s="23" t="n">
        <v>1490</v>
      </c>
      <c r="M337" s="23">
        <f>IF(L337="","",E337-L337)</f>
        <v/>
      </c>
      <c r="N337" s="25">
        <f>IF(OR(L337="",L337=0),"",M337/L337)</f>
        <v/>
      </c>
      <c r="O337" s="23" t="n"/>
      <c r="P337" s="22" t="n">
        <v>0</v>
      </c>
      <c r="Q337" s="22" t="n">
        <v>0</v>
      </c>
      <c r="R337" s="22" t="inlineStr">
        <is>
          <t>код</t>
        </is>
      </c>
      <c r="S337" s="26" t="inlineStr">
        <is>
          <t>відкрити</t>
        </is>
      </c>
    </row>
    <row r="338">
      <c r="A338" s="20" t="inlineStr">
        <is>
          <t>В нормі</t>
        </is>
      </c>
      <c r="B338" s="21" t="inlineStr"/>
      <c r="C338" s="22" t="inlineStr">
        <is>
          <t>5016/AL.R</t>
        </is>
      </c>
      <c r="D338" s="21" t="inlineStr">
        <is>
          <t>Ніж для щеплення універсальний високовуглецева сталь Антоніні / Antonini (5016/AL.R) Італія</t>
        </is>
      </c>
      <c r="E338" s="23" t="n">
        <v>1900</v>
      </c>
      <c r="F338" s="27" t="inlineStr">
        <is>
          <t>ні</t>
        </is>
      </c>
      <c r="G338" s="23" t="n"/>
      <c r="H338" s="22" t="inlineStr"/>
      <c r="I338" s="24" t="n">
        <v>1900</v>
      </c>
      <c r="J338" s="27" t="inlineStr">
        <is>
          <t>ні</t>
        </is>
      </c>
      <c r="K338" s="22" t="inlineStr">
        <is>
          <t>Клуб Рослин</t>
        </is>
      </c>
      <c r="L338" s="23" t="n">
        <v>1900</v>
      </c>
      <c r="M338" s="23">
        <f>IF(L338="","",E338-L338)</f>
        <v/>
      </c>
      <c r="N338" s="25">
        <f>IF(OR(L338="",L338=0),"",M338/L338)</f>
        <v/>
      </c>
      <c r="O338" s="23" t="n"/>
      <c r="P338" s="22" t="n">
        <v>0</v>
      </c>
      <c r="Q338" s="22" t="n">
        <v>0</v>
      </c>
      <c r="R338" s="22" t="inlineStr">
        <is>
          <t>код</t>
        </is>
      </c>
      <c r="S338" s="26" t="inlineStr">
        <is>
          <t>відкрити</t>
        </is>
      </c>
    </row>
    <row r="339">
      <c r="A339" s="20" t="inlineStr">
        <is>
          <t>В нормі</t>
        </is>
      </c>
      <c r="B339" s="21" t="inlineStr"/>
      <c r="C339" s="22" t="inlineStr">
        <is>
          <t>9377/19_LN</t>
        </is>
      </c>
      <c r="D339" s="21" t="inlineStr">
        <is>
          <t>Ніж для щеплення універсальний нержавіюча сталь Антоніні / Antonini OLD BEAR (9377/19_LN) Італія</t>
        </is>
      </c>
      <c r="E339" s="23" t="n">
        <v>1290</v>
      </c>
      <c r="F339" s="27" t="inlineStr">
        <is>
          <t>ні</t>
        </is>
      </c>
      <c r="G339" s="24" t="n">
        <v>1290</v>
      </c>
      <c r="H339" s="22" t="inlineStr">
        <is>
          <t>так</t>
        </is>
      </c>
      <c r="I339" s="23" t="n">
        <v>1150</v>
      </c>
      <c r="J339" s="27" t="inlineStr">
        <is>
          <t>ні</t>
        </is>
      </c>
      <c r="K339" s="22" t="inlineStr">
        <is>
          <t>Водоспад</t>
        </is>
      </c>
      <c r="L339" s="23" t="n">
        <v>1290</v>
      </c>
      <c r="M339" s="23">
        <f>IF(L339="","",E339-L339)</f>
        <v/>
      </c>
      <c r="N339" s="25">
        <f>IF(OR(L339="",L339=0),"",M339/L339)</f>
        <v/>
      </c>
      <c r="O339" s="23" t="n"/>
      <c r="P339" s="22" t="n">
        <v>0</v>
      </c>
      <c r="Q339" s="22" t="n">
        <v>0</v>
      </c>
      <c r="R339" s="22" t="inlineStr">
        <is>
          <t>код</t>
        </is>
      </c>
      <c r="S339" s="26" t="inlineStr">
        <is>
          <t>відкрити</t>
        </is>
      </c>
    </row>
    <row r="340">
      <c r="A340" s="20" t="inlineStr">
        <is>
          <t>В нормі</t>
        </is>
      </c>
      <c r="B340" s="21" t="inlineStr"/>
      <c r="C340" s="22" t="inlineStr">
        <is>
          <t>5540/2N</t>
        </is>
      </c>
      <c r="D340" s="21" t="inlineStr">
        <is>
          <t>Ніж садовий 2 леза для щеплення Антоніні / Antonini 17 см сталь - C67 (5540/2N) Італія</t>
        </is>
      </c>
      <c r="E340" s="23" t="n">
        <v>710</v>
      </c>
      <c r="F340" s="22" t="inlineStr">
        <is>
          <t>так</t>
        </is>
      </c>
      <c r="G340" s="24" t="n">
        <v>710</v>
      </c>
      <c r="H340" s="22" t="inlineStr">
        <is>
          <t>так</t>
        </is>
      </c>
      <c r="I340" s="23" t="n">
        <v>650</v>
      </c>
      <c r="J340" s="27" t="inlineStr">
        <is>
          <t>ні</t>
        </is>
      </c>
      <c r="K340" s="22" t="inlineStr">
        <is>
          <t>Водоспад</t>
        </is>
      </c>
      <c r="L340" s="23" t="n">
        <v>710</v>
      </c>
      <c r="M340" s="23">
        <f>IF(L340="","",E340-L340)</f>
        <v/>
      </c>
      <c r="N340" s="25">
        <f>IF(OR(L340="",L340=0),"",M340/L340)</f>
        <v/>
      </c>
      <c r="O340" s="23" t="n"/>
      <c r="P340" s="22" t="n">
        <v>0</v>
      </c>
      <c r="Q340" s="22" t="n">
        <v>0</v>
      </c>
      <c r="R340" s="22" t="inlineStr">
        <is>
          <t>код</t>
        </is>
      </c>
      <c r="S340" s="26" t="inlineStr">
        <is>
          <t>відкрити</t>
        </is>
      </c>
    </row>
    <row r="341">
      <c r="A341" s="20" t="inlineStr">
        <is>
          <t>В нормі</t>
        </is>
      </c>
      <c r="B341" s="21" t="inlineStr"/>
      <c r="C341" s="22" t="inlineStr">
        <is>
          <t>626/11</t>
        </is>
      </c>
      <c r="D341" s="21" t="inlineStr">
        <is>
          <t>Ніж садовий для обрізки Тіна / Tina (626/11) Німеччина</t>
        </is>
      </c>
      <c r="E341" s="23" t="n">
        <v>6599</v>
      </c>
      <c r="F341" s="27" t="inlineStr">
        <is>
          <t>ні</t>
        </is>
      </c>
      <c r="G341" s="24" t="n">
        <v>6599</v>
      </c>
      <c r="H341" s="22" t="inlineStr">
        <is>
          <t>так</t>
        </is>
      </c>
      <c r="I341" s="23" t="n"/>
      <c r="J341" s="22" t="inlineStr"/>
      <c r="K341" s="22" t="inlineStr">
        <is>
          <t>Водоспад</t>
        </is>
      </c>
      <c r="L341" s="23" t="n">
        <v>6599</v>
      </c>
      <c r="M341" s="23">
        <f>IF(L341="","",E341-L341)</f>
        <v/>
      </c>
      <c r="N341" s="25">
        <f>IF(OR(L341="",L341=0),"",M341/L341)</f>
        <v/>
      </c>
      <c r="O341" s="23" t="n"/>
      <c r="P341" s="22" t="n">
        <v>0</v>
      </c>
      <c r="Q341" s="22" t="n">
        <v>0</v>
      </c>
      <c r="R341" s="22" t="inlineStr">
        <is>
          <t>код</t>
        </is>
      </c>
      <c r="S341" s="26" t="inlineStr">
        <is>
          <t>відкрити</t>
        </is>
      </c>
    </row>
    <row r="342">
      <c r="A342" s="20" t="inlineStr">
        <is>
          <t>В нормі</t>
        </is>
      </c>
      <c r="B342" s="21" t="inlineStr"/>
      <c r="C342" s="22" t="inlineStr">
        <is>
          <t>630/11</t>
        </is>
      </c>
      <c r="D342" s="21" t="inlineStr">
        <is>
          <t>Ніж садовий для обрізки Тіна / Tina (630/11) Німеччина</t>
        </is>
      </c>
      <c r="E342" s="23" t="n">
        <v>6999</v>
      </c>
      <c r="F342" s="27" t="inlineStr">
        <is>
          <t>ні</t>
        </is>
      </c>
      <c r="G342" s="24" t="n">
        <v>6999</v>
      </c>
      <c r="H342" s="27" t="inlineStr">
        <is>
          <t>ні</t>
        </is>
      </c>
      <c r="I342" s="23" t="n"/>
      <c r="J342" s="22" t="inlineStr"/>
      <c r="K342" s="22" t="inlineStr">
        <is>
          <t>Водоспад</t>
        </is>
      </c>
      <c r="L342" s="23" t="n">
        <v>6999</v>
      </c>
      <c r="M342" s="23">
        <f>IF(L342="","",E342-L342)</f>
        <v/>
      </c>
      <c r="N342" s="25">
        <f>IF(OR(L342="",L342=0),"",M342/L342)</f>
        <v/>
      </c>
      <c r="O342" s="23" t="n"/>
      <c r="P342" s="22" t="n">
        <v>0</v>
      </c>
      <c r="Q342" s="22" t="n">
        <v>0</v>
      </c>
      <c r="R342" s="22" t="inlineStr">
        <is>
          <t>код</t>
        </is>
      </c>
      <c r="S342" s="26" t="inlineStr">
        <is>
          <t>відкрити</t>
        </is>
      </c>
    </row>
    <row r="343">
      <c r="A343" s="20" t="inlineStr">
        <is>
          <t>В нормі</t>
        </is>
      </c>
      <c r="B343" s="21" t="inlineStr"/>
      <c r="C343" s="22" t="inlineStr">
        <is>
          <t>5540/L</t>
        </is>
      </c>
      <c r="D343" s="21" t="inlineStr">
        <is>
          <t>Ніж садовий для щеплення Антоніні / Antonini 17 см лезо - C67 (5540/L) Італія</t>
        </is>
      </c>
      <c r="E343" s="23" t="n">
        <v>750</v>
      </c>
      <c r="F343" s="22" t="inlineStr">
        <is>
          <t>так</t>
        </is>
      </c>
      <c r="G343" s="24" t="n">
        <v>750</v>
      </c>
      <c r="H343" s="22" t="inlineStr">
        <is>
          <t>так</t>
        </is>
      </c>
      <c r="I343" s="23" t="n"/>
      <c r="J343" s="22" t="inlineStr"/>
      <c r="K343" s="22" t="inlineStr">
        <is>
          <t>Водоспад</t>
        </is>
      </c>
      <c r="L343" s="23" t="n">
        <v>750</v>
      </c>
      <c r="M343" s="23">
        <f>IF(L343="","",E343-L343)</f>
        <v/>
      </c>
      <c r="N343" s="25">
        <f>IF(OR(L343="",L343=0),"",M343/L343)</f>
        <v/>
      </c>
      <c r="O343" s="23" t="n"/>
      <c r="P343" s="22" t="n">
        <v>0</v>
      </c>
      <c r="Q343" s="22" t="n">
        <v>0</v>
      </c>
      <c r="R343" s="22" t="inlineStr">
        <is>
          <t>код</t>
        </is>
      </c>
      <c r="S343" s="26" t="inlineStr">
        <is>
          <t>відкрити</t>
        </is>
      </c>
    </row>
    <row r="344">
      <c r="A344" s="20" t="inlineStr">
        <is>
          <t>В нормі</t>
        </is>
      </c>
      <c r="B344" s="21" t="inlineStr"/>
      <c r="C344" s="22" t="inlineStr">
        <is>
          <t>5540/N</t>
        </is>
      </c>
      <c r="D344" s="21" t="inlineStr">
        <is>
          <t>Ніж садовий для щеплення Антоніні / Antonini 17 см лезо - C67 (5540/N) Італія</t>
        </is>
      </c>
      <c r="E344" s="23" t="n">
        <v>410</v>
      </c>
      <c r="F344" s="22" t="inlineStr">
        <is>
          <t>так</t>
        </is>
      </c>
      <c r="G344" s="24" t="n">
        <v>410</v>
      </c>
      <c r="H344" s="22" t="inlineStr">
        <is>
          <t>так</t>
        </is>
      </c>
      <c r="I344" s="23" t="n"/>
      <c r="J344" s="22" t="inlineStr"/>
      <c r="K344" s="22" t="inlineStr">
        <is>
          <t>Водоспад</t>
        </is>
      </c>
      <c r="L344" s="23" t="n">
        <v>410</v>
      </c>
      <c r="M344" s="23">
        <f>IF(L344="","",E344-L344)</f>
        <v/>
      </c>
      <c r="N344" s="25">
        <f>IF(OR(L344="",L344=0),"",M344/L344)</f>
        <v/>
      </c>
      <c r="O344" s="23" t="n"/>
      <c r="P344" s="22" t="n">
        <v>0</v>
      </c>
      <c r="Q344" s="22" t="n">
        <v>0</v>
      </c>
      <c r="R344" s="22" t="inlineStr">
        <is>
          <t>код</t>
        </is>
      </c>
      <c r="S344" s="26" t="inlineStr">
        <is>
          <t>відкрити</t>
        </is>
      </c>
    </row>
    <row r="345">
      <c r="A345" s="20" t="inlineStr">
        <is>
          <t>В нормі</t>
        </is>
      </c>
      <c r="B345" s="21" t="inlineStr"/>
      <c r="C345" s="22" t="inlineStr">
        <is>
          <t>SR-LIM-255</t>
        </is>
      </c>
      <c r="D345" s="21" t="inlineStr">
        <is>
          <t>Обмежувач для тримера на ніж 255 мм Smart Rain (SR-LIM-255) Україна</t>
        </is>
      </c>
      <c r="E345" s="23" t="n">
        <v>1450</v>
      </c>
      <c r="F345" s="22" t="inlineStr">
        <is>
          <t>так</t>
        </is>
      </c>
      <c r="G345" s="23" t="n"/>
      <c r="H345" s="22" t="inlineStr"/>
      <c r="I345" s="24" t="n">
        <v>1450</v>
      </c>
      <c r="J345" s="22" t="inlineStr">
        <is>
          <t>так</t>
        </is>
      </c>
      <c r="K345" s="22" t="inlineStr">
        <is>
          <t>Клуб Рослин</t>
        </is>
      </c>
      <c r="L345" s="23" t="n">
        <v>1450</v>
      </c>
      <c r="M345" s="23">
        <f>IF(L345="","",E345-L345)</f>
        <v/>
      </c>
      <c r="N345" s="25">
        <f>IF(OR(L345="",L345=0),"",M345/L345)</f>
        <v/>
      </c>
      <c r="O345" s="23" t="n"/>
      <c r="P345" s="22" t="n">
        <v>0</v>
      </c>
      <c r="Q345" s="22" t="n">
        <v>0</v>
      </c>
      <c r="R345" s="22" t="inlineStr">
        <is>
          <t>код</t>
        </is>
      </c>
      <c r="S345" s="26" t="inlineStr">
        <is>
          <t>відкрити</t>
        </is>
      </c>
    </row>
    <row r="346">
      <c r="A346" s="20" t="inlineStr">
        <is>
          <t>В нормі</t>
        </is>
      </c>
      <c r="B346" s="21" t="inlineStr"/>
      <c r="C346" s="22" t="inlineStr">
        <is>
          <t>21002</t>
        </is>
      </c>
      <c r="D346" s="21" t="inlineStr">
        <is>
          <t>Опорне лезо для сучкоріза LOWE 21 Lowe 21002 Німеччина</t>
        </is>
      </c>
      <c r="E346" s="23" t="n">
        <v>1430</v>
      </c>
      <c r="F346" s="22" t="inlineStr">
        <is>
          <t>так</t>
        </is>
      </c>
      <c r="G346" s="24" t="n">
        <v>1430</v>
      </c>
      <c r="H346" s="22" t="inlineStr">
        <is>
          <t>так</t>
        </is>
      </c>
      <c r="I346" s="23" t="n"/>
      <c r="J346" s="22" t="inlineStr"/>
      <c r="K346" s="22" t="inlineStr">
        <is>
          <t>Водоспад</t>
        </is>
      </c>
      <c r="L346" s="23" t="n">
        <v>1430</v>
      </c>
      <c r="M346" s="23">
        <f>IF(L346="","",E346-L346)</f>
        <v/>
      </c>
      <c r="N346" s="25">
        <f>IF(OR(L346="",L346=0),"",M346/L346)</f>
        <v/>
      </c>
      <c r="O346" s="23" t="n"/>
      <c r="P346" s="22" t="n">
        <v>0</v>
      </c>
      <c r="Q346" s="22" t="n">
        <v>0</v>
      </c>
      <c r="R346" s="22" t="inlineStr">
        <is>
          <t>код</t>
        </is>
      </c>
      <c r="S346" s="26" t="inlineStr">
        <is>
          <t>відкрити</t>
        </is>
      </c>
    </row>
    <row r="347">
      <c r="A347" s="20" t="inlineStr">
        <is>
          <t>В нормі</t>
        </is>
      </c>
      <c r="B347" s="21" t="inlineStr"/>
      <c r="C347" s="22" t="inlineStr">
        <is>
          <t>20013</t>
        </is>
      </c>
      <c r="D347" s="21" t="inlineStr">
        <is>
          <t>Опорний важіль для гілкоріза Lowe 20013 Німеччина</t>
        </is>
      </c>
      <c r="E347" s="23" t="n">
        <v>1235</v>
      </c>
      <c r="F347" s="22" t="inlineStr">
        <is>
          <t>так</t>
        </is>
      </c>
      <c r="G347" s="24" t="n">
        <v>1235</v>
      </c>
      <c r="H347" s="22" t="inlineStr">
        <is>
          <t>так</t>
        </is>
      </c>
      <c r="I347" s="23" t="n">
        <v>1235</v>
      </c>
      <c r="J347" s="22" t="inlineStr">
        <is>
          <t>так</t>
        </is>
      </c>
      <c r="K347" s="22" t="inlineStr">
        <is>
          <t>Водоспад</t>
        </is>
      </c>
      <c r="L347" s="23" t="n">
        <v>1235</v>
      </c>
      <c r="M347" s="23">
        <f>IF(L347="","",E347-L347)</f>
        <v/>
      </c>
      <c r="N347" s="25">
        <f>IF(OR(L347="",L347=0),"",M347/L347)</f>
        <v/>
      </c>
      <c r="O347" s="23" t="n"/>
      <c r="P347" s="22" t="n">
        <v>0</v>
      </c>
      <c r="Q347" s="22" t="n">
        <v>0</v>
      </c>
      <c r="R347" s="22" t="inlineStr">
        <is>
          <t>код</t>
        </is>
      </c>
      <c r="S347" s="26" t="inlineStr">
        <is>
          <t>відкрити</t>
        </is>
      </c>
    </row>
    <row r="348">
      <c r="A348" s="20" t="inlineStr">
        <is>
          <t>В нормі</t>
        </is>
      </c>
      <c r="B348" s="21" t="inlineStr"/>
      <c r="C348" s="22" t="inlineStr">
        <is>
          <t>22013</t>
        </is>
      </c>
      <c r="D348" s="21" t="inlineStr">
        <is>
          <t>Опорний важіль для гілкоріза Lowe 22013 Німеччина</t>
        </is>
      </c>
      <c r="E348" s="23" t="n">
        <v>1250</v>
      </c>
      <c r="F348" s="22" t="inlineStr">
        <is>
          <t>так</t>
        </is>
      </c>
      <c r="G348" s="24" t="n">
        <v>1250</v>
      </c>
      <c r="H348" s="22" t="inlineStr">
        <is>
          <t>так</t>
        </is>
      </c>
      <c r="I348" s="23" t="n"/>
      <c r="J348" s="22" t="inlineStr"/>
      <c r="K348" s="22" t="inlineStr">
        <is>
          <t>Водоспад</t>
        </is>
      </c>
      <c r="L348" s="23" t="n">
        <v>1250</v>
      </c>
      <c r="M348" s="23">
        <f>IF(L348="","",E348-L348)</f>
        <v/>
      </c>
      <c r="N348" s="25">
        <f>IF(OR(L348="",L348=0),"",M348/L348)</f>
        <v/>
      </c>
      <c r="O348" s="23" t="n"/>
      <c r="P348" s="22" t="n">
        <v>0</v>
      </c>
      <c r="Q348" s="22" t="n">
        <v>0</v>
      </c>
      <c r="R348" s="22" t="inlineStr">
        <is>
          <t>код</t>
        </is>
      </c>
      <c r="S348" s="26" t="inlineStr">
        <is>
          <t>відкрити</t>
        </is>
      </c>
    </row>
    <row r="349">
      <c r="A349" s="20" t="inlineStr">
        <is>
          <t>В нормі</t>
        </is>
      </c>
      <c r="B349" s="21" t="inlineStr"/>
      <c r="C349" s="22" t="inlineStr">
        <is>
          <t>5020003N</t>
        </is>
      </c>
      <c r="D349" s="21" t="inlineStr">
        <is>
          <t>Паста Потабен / Potaben Ci 1 кг AgriChem Італія</t>
        </is>
      </c>
      <c r="E349" s="23" t="n">
        <v>1295</v>
      </c>
      <c r="F349" s="22" t="inlineStr">
        <is>
          <t>так</t>
        </is>
      </c>
      <c r="G349" s="24" t="n">
        <v>1295</v>
      </c>
      <c r="H349" s="22" t="inlineStr">
        <is>
          <t>так</t>
        </is>
      </c>
      <c r="I349" s="23" t="n"/>
      <c r="J349" s="22" t="inlineStr"/>
      <c r="K349" s="22" t="inlineStr">
        <is>
          <t>Водоспад</t>
        </is>
      </c>
      <c r="L349" s="23" t="n">
        <v>1295</v>
      </c>
      <c r="M349" s="23">
        <f>IF(L349="","",E349-L349)</f>
        <v/>
      </c>
      <c r="N349" s="25">
        <f>IF(OR(L349="",L349=0),"",M349/L349)</f>
        <v/>
      </c>
      <c r="O349" s="23" t="n"/>
      <c r="P349" s="22" t="n">
        <v>0</v>
      </c>
      <c r="Q349" s="22" t="n">
        <v>0</v>
      </c>
      <c r="R349" s="22" t="inlineStr">
        <is>
          <t>код</t>
        </is>
      </c>
      <c r="S349" s="26" t="inlineStr">
        <is>
          <t>відкрити</t>
        </is>
      </c>
    </row>
    <row r="350">
      <c r="A350" s="20" t="inlineStr">
        <is>
          <t>В нормі</t>
        </is>
      </c>
      <c r="B350" s="21" t="inlineStr"/>
      <c r="C350" s="22" t="inlineStr">
        <is>
          <t>5020001N</t>
        </is>
      </c>
      <c r="D350" s="21" t="inlineStr">
        <is>
          <t>Паста Потабен / Potaben Ci 500 г AgriChem Італія</t>
        </is>
      </c>
      <c r="E350" s="23" t="n">
        <v>750</v>
      </c>
      <c r="F350" s="27" t="inlineStr">
        <is>
          <t>ні</t>
        </is>
      </c>
      <c r="G350" s="24" t="n">
        <v>750</v>
      </c>
      <c r="H350" s="22" t="inlineStr">
        <is>
          <t>так</t>
        </is>
      </c>
      <c r="I350" s="23" t="n"/>
      <c r="J350" s="22" t="inlineStr"/>
      <c r="K350" s="22" t="inlineStr">
        <is>
          <t>Водоспад</t>
        </is>
      </c>
      <c r="L350" s="23" t="n">
        <v>750</v>
      </c>
      <c r="M350" s="23">
        <f>IF(L350="","",E350-L350)</f>
        <v/>
      </c>
      <c r="N350" s="25">
        <f>IF(OR(L350="",L350=0),"",M350/L350)</f>
        <v/>
      </c>
      <c r="O350" s="23" t="n"/>
      <c r="P350" s="22" t="n">
        <v>0</v>
      </c>
      <c r="Q350" s="22" t="n">
        <v>0</v>
      </c>
      <c r="R350" s="22" t="inlineStr">
        <is>
          <t>код</t>
        </is>
      </c>
      <c r="S350" s="26" t="inlineStr">
        <is>
          <t>відкрити</t>
        </is>
      </c>
    </row>
    <row r="351">
      <c r="A351" s="20" t="inlineStr">
        <is>
          <t>В нормі</t>
        </is>
      </c>
      <c r="B351" s="21" t="inlineStr"/>
      <c r="C351" s="22" t="inlineStr">
        <is>
          <t>210DX</t>
        </is>
      </c>
      <c r="D351" s="21" t="inlineStr">
        <is>
          <t>Пила АРС / ARS (210DX) складна Японія</t>
        </is>
      </c>
      <c r="E351" s="23" t="n">
        <v>939</v>
      </c>
      <c r="F351" s="27" t="inlineStr">
        <is>
          <t>ні</t>
        </is>
      </c>
      <c r="G351" s="23" t="n"/>
      <c r="H351" s="22" t="inlineStr"/>
      <c r="I351" s="24" t="n">
        <v>939</v>
      </c>
      <c r="J351" s="22" t="inlineStr">
        <is>
          <t>так</t>
        </is>
      </c>
      <c r="K351" s="22" t="inlineStr">
        <is>
          <t>Клуб Рослин</t>
        </is>
      </c>
      <c r="L351" s="23" t="n">
        <v>939</v>
      </c>
      <c r="M351" s="23">
        <f>IF(L351="","",E351-L351)</f>
        <v/>
      </c>
      <c r="N351" s="25">
        <f>IF(OR(L351="",L351=0),"",M351/L351)</f>
        <v/>
      </c>
      <c r="O351" s="23" t="n"/>
      <c r="P351" s="22" t="n">
        <v>0</v>
      </c>
      <c r="Q351" s="22" t="n">
        <v>0</v>
      </c>
      <c r="R351" s="22" t="inlineStr">
        <is>
          <t>схожа назва</t>
        </is>
      </c>
      <c r="S351" s="26" t="inlineStr">
        <is>
          <t>відкрити</t>
        </is>
      </c>
    </row>
    <row r="352">
      <c r="A352" s="20" t="inlineStr">
        <is>
          <t>В нормі</t>
        </is>
      </c>
      <c r="B352" s="21" t="inlineStr"/>
      <c r="C352" s="22" t="inlineStr">
        <is>
          <t>CAM-24LN</t>
        </is>
      </c>
      <c r="D352" s="21" t="inlineStr">
        <is>
          <t>Пила АРС / ARS (CAM-24LN) з кобурою Японія</t>
        </is>
      </c>
      <c r="E352" s="23" t="n">
        <v>1459</v>
      </c>
      <c r="F352" s="22" t="inlineStr">
        <is>
          <t>так</t>
        </is>
      </c>
      <c r="G352" s="24" t="n">
        <v>1459</v>
      </c>
      <c r="H352" s="22" t="inlineStr">
        <is>
          <t>так</t>
        </is>
      </c>
      <c r="I352" s="23" t="n"/>
      <c r="J352" s="22" t="inlineStr"/>
      <c r="K352" s="22" t="inlineStr">
        <is>
          <t>Водоспад</t>
        </is>
      </c>
      <c r="L352" s="23" t="n">
        <v>1459</v>
      </c>
      <c r="M352" s="23">
        <f>IF(L352="","",E352-L352)</f>
        <v/>
      </c>
      <c r="N352" s="25">
        <f>IF(OR(L352="",L352=0),"",M352/L352)</f>
        <v/>
      </c>
      <c r="O352" s="23" t="n"/>
      <c r="P352" s="22" t="n">
        <v>0</v>
      </c>
      <c r="Q352" s="22" t="n">
        <v>0</v>
      </c>
      <c r="R352" s="22" t="inlineStr">
        <is>
          <t>код</t>
        </is>
      </c>
      <c r="S352" s="26" t="inlineStr">
        <is>
          <t>відкрити</t>
        </is>
      </c>
    </row>
    <row r="353">
      <c r="A353" s="20" t="inlineStr">
        <is>
          <t>В нормі</t>
        </is>
      </c>
      <c r="B353" s="21" t="inlineStr">
        <is>
          <t>Немає в наявності в жодного постачальника</t>
        </is>
      </c>
      <c r="C353" s="22" t="inlineStr">
        <is>
          <t>CAM-24PRO</t>
        </is>
      </c>
      <c r="D353" s="21" t="inlineStr">
        <is>
          <t>Пила АРС / ARS (CAM-24PRO) з кобурою Японія</t>
        </is>
      </c>
      <c r="E353" s="23" t="n">
        <v>1999</v>
      </c>
      <c r="F353" s="22" t="inlineStr">
        <is>
          <t>так</t>
        </is>
      </c>
      <c r="G353" s="24" t="n">
        <v>1999</v>
      </c>
      <c r="H353" s="27" t="inlineStr">
        <is>
          <t>ні</t>
        </is>
      </c>
      <c r="I353" s="23" t="n">
        <v>1999</v>
      </c>
      <c r="J353" s="27" t="inlineStr">
        <is>
          <t>ні</t>
        </is>
      </c>
      <c r="K353" s="22" t="inlineStr">
        <is>
          <t>Водоспад</t>
        </is>
      </c>
      <c r="L353" s="23" t="n">
        <v>1999</v>
      </c>
      <c r="M353" s="23">
        <f>IF(L353="","",E353-L353)</f>
        <v/>
      </c>
      <c r="N353" s="25">
        <f>IF(OR(L353="",L353=0),"",M353/L353)</f>
        <v/>
      </c>
      <c r="O353" s="23" t="n"/>
      <c r="P353" s="22" t="n">
        <v>0</v>
      </c>
      <c r="Q353" s="22" t="n">
        <v>0</v>
      </c>
      <c r="R353" s="22" t="inlineStr">
        <is>
          <t>код</t>
        </is>
      </c>
      <c r="S353" s="26" t="inlineStr">
        <is>
          <t>відкрити</t>
        </is>
      </c>
    </row>
    <row r="354">
      <c r="A354" s="20" t="inlineStr">
        <is>
          <t>В нормі</t>
        </is>
      </c>
      <c r="B354" s="21" t="inlineStr"/>
      <c r="C354" s="22" t="inlineStr">
        <is>
          <t>CT-32E</t>
        </is>
      </c>
      <c r="D354" s="21" t="inlineStr">
        <is>
          <t>Пила АРС / ARS (CT-32E) серповидна з кобурою Японія</t>
        </is>
      </c>
      <c r="E354" s="23" t="n">
        <v>1690</v>
      </c>
      <c r="F354" s="22" t="inlineStr">
        <is>
          <t>так</t>
        </is>
      </c>
      <c r="G354" s="24" t="n">
        <v>1690</v>
      </c>
      <c r="H354" s="22" t="inlineStr">
        <is>
          <t>так</t>
        </is>
      </c>
      <c r="I354" s="23" t="n"/>
      <c r="J354" s="22" t="inlineStr"/>
      <c r="K354" s="22" t="inlineStr">
        <is>
          <t>Водоспад</t>
        </is>
      </c>
      <c r="L354" s="23" t="n">
        <v>1690</v>
      </c>
      <c r="M354" s="23">
        <f>IF(L354="","",E354-L354)</f>
        <v/>
      </c>
      <c r="N354" s="25">
        <f>IF(OR(L354="",L354=0),"",M354/L354)</f>
        <v/>
      </c>
      <c r="O354" s="23" t="n"/>
      <c r="P354" s="22" t="n">
        <v>0</v>
      </c>
      <c r="Q354" s="22" t="n">
        <v>0</v>
      </c>
      <c r="R354" s="22" t="inlineStr">
        <is>
          <t>код</t>
        </is>
      </c>
      <c r="S354" s="26" t="inlineStr">
        <is>
          <t>відкрити</t>
        </is>
      </c>
    </row>
    <row r="355">
      <c r="A355" s="20" t="inlineStr">
        <is>
          <t>В нормі</t>
        </is>
      </c>
      <c r="B355" s="21" t="inlineStr"/>
      <c r="C355" s="22" t="inlineStr">
        <is>
          <t>G-18L</t>
        </is>
      </c>
      <c r="D355" s="21" t="inlineStr">
        <is>
          <t>Пила АРС / ARS (G-18L) складна Японія</t>
        </is>
      </c>
      <c r="E355" s="23" t="n">
        <v>1199</v>
      </c>
      <c r="F355" s="22" t="inlineStr">
        <is>
          <t>так</t>
        </is>
      </c>
      <c r="G355" s="23" t="n"/>
      <c r="H355" s="22" t="inlineStr"/>
      <c r="I355" s="24" t="n">
        <v>1199</v>
      </c>
      <c r="J355" s="22" t="inlineStr">
        <is>
          <t>так</t>
        </is>
      </c>
      <c r="K355" s="22" t="inlineStr">
        <is>
          <t>Клуб Рослин</t>
        </is>
      </c>
      <c r="L355" s="23" t="n">
        <v>1199</v>
      </c>
      <c r="M355" s="23">
        <f>IF(L355="","",E355-L355)</f>
        <v/>
      </c>
      <c r="N355" s="25">
        <f>IF(OR(L355="",L355=0),"",M355/L355)</f>
        <v/>
      </c>
      <c r="O355" s="23" t="n"/>
      <c r="P355" s="22" t="n">
        <v>0</v>
      </c>
      <c r="Q355" s="22" t="n">
        <v>0</v>
      </c>
      <c r="R355" s="22" t="inlineStr">
        <is>
          <t>схожа назва</t>
        </is>
      </c>
      <c r="S355" s="26" t="inlineStr">
        <is>
          <t>відкрити</t>
        </is>
      </c>
    </row>
    <row r="356">
      <c r="A356" s="20" t="inlineStr">
        <is>
          <t>В нормі</t>
        </is>
      </c>
      <c r="B356" s="21" t="inlineStr"/>
      <c r="C356" s="22" t="inlineStr">
        <is>
          <t>GR-18L</t>
        </is>
      </c>
      <c r="D356" s="21" t="inlineStr">
        <is>
          <t>Пила АРС / ARS (GR-18L) складна Японія</t>
        </is>
      </c>
      <c r="E356" s="23" t="n">
        <v>1449</v>
      </c>
      <c r="F356" s="27" t="inlineStr">
        <is>
          <t>ні</t>
        </is>
      </c>
      <c r="G356" s="24" t="n">
        <v>1449</v>
      </c>
      <c r="H356" s="22" t="inlineStr">
        <is>
          <t>так</t>
        </is>
      </c>
      <c r="I356" s="23" t="n"/>
      <c r="J356" s="22" t="inlineStr"/>
      <c r="K356" s="22" t="inlineStr">
        <is>
          <t>Водоспад</t>
        </is>
      </c>
      <c r="L356" s="23" t="n">
        <v>1449</v>
      </c>
      <c r="M356" s="23">
        <f>IF(L356="","",E356-L356)</f>
        <v/>
      </c>
      <c r="N356" s="25">
        <f>IF(OR(L356="",L356=0),"",M356/L356)</f>
        <v/>
      </c>
      <c r="O356" s="23" t="n"/>
      <c r="P356" s="22" t="n">
        <v>0</v>
      </c>
      <c r="Q356" s="22" t="n">
        <v>0</v>
      </c>
      <c r="R356" s="22" t="inlineStr">
        <is>
          <t>код</t>
        </is>
      </c>
      <c r="S356" s="26" t="inlineStr">
        <is>
          <t>відкрити</t>
        </is>
      </c>
    </row>
    <row r="357">
      <c r="A357" s="20" t="inlineStr">
        <is>
          <t>В нормі</t>
        </is>
      </c>
      <c r="B357" s="21" t="inlineStr"/>
      <c r="C357" s="22" t="inlineStr">
        <is>
          <t>PM-24</t>
        </is>
      </c>
      <c r="D357" s="21" t="inlineStr">
        <is>
          <t>Пила АРС / ARS (PM-24) складна Японія</t>
        </is>
      </c>
      <c r="E357" s="23" t="n">
        <v>1920</v>
      </c>
      <c r="F357" s="22" t="inlineStr">
        <is>
          <t>так</t>
        </is>
      </c>
      <c r="G357" s="23" t="n"/>
      <c r="H357" s="22" t="inlineStr"/>
      <c r="I357" s="24" t="n">
        <v>1920</v>
      </c>
      <c r="J357" s="22" t="inlineStr">
        <is>
          <t>так</t>
        </is>
      </c>
      <c r="K357" s="22" t="inlineStr">
        <is>
          <t>Клуб Рослин</t>
        </is>
      </c>
      <c r="L357" s="23" t="n">
        <v>1920</v>
      </c>
      <c r="M357" s="23">
        <f>IF(L357="","",E357-L357)</f>
        <v/>
      </c>
      <c r="N357" s="25">
        <f>IF(OR(L357="",L357=0),"",M357/L357)</f>
        <v/>
      </c>
      <c r="O357" s="23" t="n"/>
      <c r="P357" s="22" t="n">
        <v>0</v>
      </c>
      <c r="Q357" s="22" t="n">
        <v>0</v>
      </c>
      <c r="R357" s="22" t="inlineStr">
        <is>
          <t>схожа назва</t>
        </is>
      </c>
      <c r="S357" s="26" t="inlineStr">
        <is>
          <t>відкрити</t>
        </is>
      </c>
    </row>
    <row r="358">
      <c r="A358" s="20" t="inlineStr">
        <is>
          <t>В нормі</t>
        </is>
      </c>
      <c r="B358" s="21" t="inlineStr"/>
      <c r="C358" s="22" t="inlineStr">
        <is>
          <t>PM-24L</t>
        </is>
      </c>
      <c r="D358" s="21" t="inlineStr">
        <is>
          <t>Пила АРС / ARS (PM-24L) складна Японія</t>
        </is>
      </c>
      <c r="E358" s="23" t="n">
        <v>1920</v>
      </c>
      <c r="F358" s="22" t="inlineStr">
        <is>
          <t>так</t>
        </is>
      </c>
      <c r="G358" s="24" t="n">
        <v>1920</v>
      </c>
      <c r="H358" s="22" t="inlineStr">
        <is>
          <t>так</t>
        </is>
      </c>
      <c r="I358" s="23" t="n"/>
      <c r="J358" s="22" t="inlineStr"/>
      <c r="K358" s="22" t="inlineStr">
        <is>
          <t>Водоспад</t>
        </is>
      </c>
      <c r="L358" s="23" t="n">
        <v>1920</v>
      </c>
      <c r="M358" s="23">
        <f>IF(L358="","",E358-L358)</f>
        <v/>
      </c>
      <c r="N358" s="25">
        <f>IF(OR(L358="",L358=0),"",M358/L358)</f>
        <v/>
      </c>
      <c r="O358" s="23" t="n"/>
      <c r="P358" s="22" t="n">
        <v>0</v>
      </c>
      <c r="Q358" s="22" t="n">
        <v>0</v>
      </c>
      <c r="R358" s="22" t="inlineStr">
        <is>
          <t>код</t>
        </is>
      </c>
      <c r="S358" s="26" t="inlineStr">
        <is>
          <t>відкрити</t>
        </is>
      </c>
    </row>
    <row r="359">
      <c r="A359" s="20" t="inlineStr">
        <is>
          <t>В нормі</t>
        </is>
      </c>
      <c r="B359" s="21" t="inlineStr"/>
      <c r="C359" s="22" t="inlineStr">
        <is>
          <t>UV-32E</t>
        </is>
      </c>
      <c r="D359" s="21" t="inlineStr">
        <is>
          <t>Пила АРС / ARS (UV-32E) серповидна з кобурою Японія</t>
        </is>
      </c>
      <c r="E359" s="23" t="n">
        <v>1690</v>
      </c>
      <c r="F359" s="27" t="inlineStr">
        <is>
          <t>ні</t>
        </is>
      </c>
      <c r="G359" s="24" t="n">
        <v>1690</v>
      </c>
      <c r="H359" s="22" t="inlineStr">
        <is>
          <t>так</t>
        </is>
      </c>
      <c r="I359" s="23" t="n"/>
      <c r="J359" s="22" t="inlineStr"/>
      <c r="K359" s="22" t="inlineStr">
        <is>
          <t>Водоспад</t>
        </is>
      </c>
      <c r="L359" s="23" t="n">
        <v>1690</v>
      </c>
      <c r="M359" s="23">
        <f>IF(L359="","",E359-L359)</f>
        <v/>
      </c>
      <c r="N359" s="25">
        <f>IF(OR(L359="",L359=0),"",M359/L359)</f>
        <v/>
      </c>
      <c r="O359" s="23" t="n"/>
      <c r="P359" s="22" t="n">
        <v>0</v>
      </c>
      <c r="Q359" s="22" t="n">
        <v>0</v>
      </c>
      <c r="R359" s="22" t="inlineStr">
        <is>
          <t>код</t>
        </is>
      </c>
      <c r="S359" s="26" t="inlineStr">
        <is>
          <t>відкрити</t>
        </is>
      </c>
    </row>
    <row r="360">
      <c r="A360" s="20" t="inlineStr">
        <is>
          <t>В нормі</t>
        </is>
      </c>
      <c r="B360" s="21" t="inlineStr"/>
      <c r="C360" s="22" t="inlineStr">
        <is>
          <t>UVR-32PRO</t>
        </is>
      </c>
      <c r="D360" s="21" t="inlineStr">
        <is>
          <t>Пила АРС Супер Турбокат / ARS Super Turbocut (UVR-32PRO) з кобурою Японія</t>
        </is>
      </c>
      <c r="E360" s="23" t="n">
        <v>3590</v>
      </c>
      <c r="F360" s="27" t="inlineStr">
        <is>
          <t>ні</t>
        </is>
      </c>
      <c r="G360" s="24" t="n">
        <v>3590</v>
      </c>
      <c r="H360" s="27" t="inlineStr">
        <is>
          <t>ні</t>
        </is>
      </c>
      <c r="I360" s="23" t="n"/>
      <c r="J360" s="22" t="inlineStr"/>
      <c r="K360" s="22" t="inlineStr">
        <is>
          <t>Водоспад</t>
        </is>
      </c>
      <c r="L360" s="23" t="n">
        <v>3590</v>
      </c>
      <c r="M360" s="23">
        <f>IF(L360="","",E360-L360)</f>
        <v/>
      </c>
      <c r="N360" s="25">
        <f>IF(OR(L360="",L360=0),"",M360/L360)</f>
        <v/>
      </c>
      <c r="O360" s="23" t="n"/>
      <c r="P360" s="22" t="n">
        <v>0</v>
      </c>
      <c r="Q360" s="22" t="n">
        <v>0</v>
      </c>
      <c r="R360" s="22" t="inlineStr">
        <is>
          <t>код</t>
        </is>
      </c>
      <c r="S360" s="26" t="inlineStr">
        <is>
          <t>відкрити</t>
        </is>
      </c>
    </row>
    <row r="361">
      <c r="A361" s="20" t="inlineStr">
        <is>
          <t>В нормі</t>
        </is>
      </c>
      <c r="B361" s="21" t="inlineStr"/>
      <c r="C361" s="22" t="inlineStr">
        <is>
          <t>CTR-32PRO</t>
        </is>
      </c>
      <c r="D361" s="21" t="inlineStr">
        <is>
          <t>Пила АРС Турбокат / ARS Turbocut (CTR-32PRO) серповидна з кобурою Японія</t>
        </is>
      </c>
      <c r="E361" s="23" t="n">
        <v>3590</v>
      </c>
      <c r="F361" s="22" t="inlineStr">
        <is>
          <t>так</t>
        </is>
      </c>
      <c r="G361" s="23" t="n">
        <v>3590</v>
      </c>
      <c r="H361" s="27" t="inlineStr">
        <is>
          <t>ні</t>
        </is>
      </c>
      <c r="I361" s="24" t="n">
        <v>3590</v>
      </c>
      <c r="J361" s="22" t="inlineStr">
        <is>
          <t>так</t>
        </is>
      </c>
      <c r="K361" s="22" t="inlineStr">
        <is>
          <t>Клуб Рослин</t>
        </is>
      </c>
      <c r="L361" s="23" t="n">
        <v>3590</v>
      </c>
      <c r="M361" s="23">
        <f>IF(L361="","",E361-L361)</f>
        <v/>
      </c>
      <c r="N361" s="25">
        <f>IF(OR(L361="",L361=0),"",M361/L361)</f>
        <v/>
      </c>
      <c r="O361" s="23" t="n"/>
      <c r="P361" s="22" t="n">
        <v>0</v>
      </c>
      <c r="Q361" s="22" t="n">
        <v>0</v>
      </c>
      <c r="R361" s="22" t="inlineStr">
        <is>
          <t>модель</t>
        </is>
      </c>
      <c r="S361" s="26" t="inlineStr">
        <is>
          <t>відкрити</t>
        </is>
      </c>
    </row>
    <row r="362">
      <c r="A362" s="20" t="inlineStr">
        <is>
          <t>В нормі</t>
        </is>
      </c>
      <c r="B362" s="21" t="inlineStr"/>
      <c r="C362" s="22" t="inlineStr">
        <is>
          <t>6350</t>
        </is>
      </c>
      <c r="D362" s="21" t="inlineStr">
        <is>
          <t>Пила з вигнутим лезом Альпен Берніна / Alpen Bernina (6350) Швейцарія</t>
        </is>
      </c>
      <c r="E362" s="23" t="n">
        <v>1520</v>
      </c>
      <c r="F362" s="22" t="inlineStr">
        <is>
          <t>так</t>
        </is>
      </c>
      <c r="G362" s="23" t="n"/>
      <c r="H362" s="22" t="inlineStr"/>
      <c r="I362" s="24" t="n">
        <v>1520</v>
      </c>
      <c r="J362" s="22" t="inlineStr">
        <is>
          <t>так</t>
        </is>
      </c>
      <c r="K362" s="22" t="inlineStr">
        <is>
          <t>Клуб Рослин</t>
        </is>
      </c>
      <c r="L362" s="23" t="n">
        <v>1520</v>
      </c>
      <c r="M362" s="23">
        <f>IF(L362="","",E362-L362)</f>
        <v/>
      </c>
      <c r="N362" s="25">
        <f>IF(OR(L362="",L362=0),"",M362/L362)</f>
        <v/>
      </c>
      <c r="O362" s="23" t="n"/>
      <c r="P362" s="22" t="n">
        <v>0</v>
      </c>
      <c r="Q362" s="22" t="n">
        <v>0</v>
      </c>
      <c r="R362" s="22" t="inlineStr">
        <is>
          <t>схожа назва</t>
        </is>
      </c>
      <c r="S362" s="26" t="inlineStr">
        <is>
          <t>відкрити</t>
        </is>
      </c>
    </row>
    <row r="363">
      <c r="A363" s="20" t="inlineStr">
        <is>
          <t>В нормі</t>
        </is>
      </c>
      <c r="B363" s="21" t="inlineStr"/>
      <c r="C363" s="22" t="inlineStr">
        <is>
          <t>DUKE-25</t>
        </is>
      </c>
      <c r="D363" s="21" t="inlineStr">
        <is>
          <t>Пила с кобурой АРС / ARS ( DUKE-25) Японія</t>
        </is>
      </c>
      <c r="E363" s="23" t="n">
        <v>1470</v>
      </c>
      <c r="F363" s="22" t="inlineStr">
        <is>
          <t>так</t>
        </is>
      </c>
      <c r="G363" s="24" t="n">
        <v>1470</v>
      </c>
      <c r="H363" s="22" t="inlineStr">
        <is>
          <t>так</t>
        </is>
      </c>
      <c r="I363" s="23" t="n"/>
      <c r="J363" s="22" t="inlineStr"/>
      <c r="K363" s="22" t="inlineStr">
        <is>
          <t>Водоспад</t>
        </is>
      </c>
      <c r="L363" s="23" t="n">
        <v>1470</v>
      </c>
      <c r="M363" s="23">
        <f>IF(L363="","",E363-L363)</f>
        <v/>
      </c>
      <c r="N363" s="25">
        <f>IF(OR(L363="",L363=0),"",M363/L363)</f>
        <v/>
      </c>
      <c r="O363" s="23" t="n"/>
      <c r="P363" s="22" t="n">
        <v>0</v>
      </c>
      <c r="Q363" s="22" t="n">
        <v>0</v>
      </c>
      <c r="R363" s="22" t="inlineStr">
        <is>
          <t>код</t>
        </is>
      </c>
      <c r="S363" s="26" t="inlineStr">
        <is>
          <t>відкрити</t>
        </is>
      </c>
    </row>
    <row r="364">
      <c r="A364" s="20" t="inlineStr">
        <is>
          <t>В нормі</t>
        </is>
      </c>
      <c r="B364" s="21" t="inlineStr"/>
      <c r="C364" s="22" t="inlineStr">
        <is>
          <t>390-33</t>
        </is>
      </c>
      <c r="D364" s="21" t="inlineStr">
        <is>
          <t>Пила садова Silky Sugoi 330-6.5-5.5 (390-33) Японія</t>
        </is>
      </c>
      <c r="E364" s="23" t="n">
        <v>5290</v>
      </c>
      <c r="F364" s="27" t="inlineStr">
        <is>
          <t>ні</t>
        </is>
      </c>
      <c r="G364" s="24" t="n">
        <v>5290</v>
      </c>
      <c r="H364" s="22" t="inlineStr">
        <is>
          <t>так</t>
        </is>
      </c>
      <c r="I364" s="23" t="n"/>
      <c r="J364" s="22" t="inlineStr"/>
      <c r="K364" s="22" t="inlineStr">
        <is>
          <t>Водоспад</t>
        </is>
      </c>
      <c r="L364" s="23" t="n">
        <v>5290</v>
      </c>
      <c r="M364" s="23">
        <f>IF(L364="","",E364-L364)</f>
        <v/>
      </c>
      <c r="N364" s="25">
        <f>IF(OR(L364="",L364=0),"",M364/L364)</f>
        <v/>
      </c>
      <c r="O364" s="23" t="n"/>
      <c r="P364" s="22" t="n">
        <v>0</v>
      </c>
      <c r="Q364" s="22" t="n">
        <v>0</v>
      </c>
      <c r="R364" s="22" t="inlineStr">
        <is>
          <t>код</t>
        </is>
      </c>
      <c r="S364" s="26" t="inlineStr">
        <is>
          <t>відкрити</t>
        </is>
      </c>
    </row>
    <row r="365">
      <c r="A365" s="20" t="inlineStr">
        <is>
          <t>В нормі</t>
        </is>
      </c>
      <c r="B365" s="21" t="inlineStr"/>
      <c r="C365" s="22" t="inlineStr">
        <is>
          <t>340-17</t>
        </is>
      </c>
      <c r="D365" s="21" t="inlineStr">
        <is>
          <t>Пила садова розкладна Silky Pocketboy 170-10 (340-17) Японія</t>
        </is>
      </c>
      <c r="E365" s="23" t="n">
        <v>2190</v>
      </c>
      <c r="F365" s="27" t="inlineStr">
        <is>
          <t>ні</t>
        </is>
      </c>
      <c r="G365" s="24" t="n">
        <v>2190</v>
      </c>
      <c r="H365" s="22" t="inlineStr">
        <is>
          <t>так</t>
        </is>
      </c>
      <c r="I365" s="23" t="n"/>
      <c r="J365" s="22" t="inlineStr"/>
      <c r="K365" s="22" t="inlineStr">
        <is>
          <t>Водоспад</t>
        </is>
      </c>
      <c r="L365" s="23" t="n">
        <v>2190</v>
      </c>
      <c r="M365" s="23">
        <f>IF(L365="","",E365-L365)</f>
        <v/>
      </c>
      <c r="N365" s="25">
        <f>IF(OR(L365="",L365=0),"",M365/L365)</f>
        <v/>
      </c>
      <c r="O365" s="23" t="n"/>
      <c r="P365" s="22" t="n">
        <v>0</v>
      </c>
      <c r="Q365" s="22" t="n">
        <v>0</v>
      </c>
      <c r="R365" s="22" t="inlineStr">
        <is>
          <t>код</t>
        </is>
      </c>
      <c r="S365" s="26" t="inlineStr">
        <is>
          <t>відкрити</t>
        </is>
      </c>
    </row>
    <row r="366">
      <c r="A366" s="20" t="inlineStr">
        <is>
          <t>В нормі</t>
        </is>
      </c>
      <c r="B366" s="21" t="inlineStr"/>
      <c r="C366" s="22" t="inlineStr">
        <is>
          <t>356-36</t>
        </is>
      </c>
      <c r="D366" s="21" t="inlineStr">
        <is>
          <t>Пила садова складна Silky Bigboy 360-6.5 (356-36) Японія</t>
        </is>
      </c>
      <c r="E366" s="23" t="n">
        <v>4495</v>
      </c>
      <c r="F366" s="22" t="inlineStr">
        <is>
          <t>так</t>
        </is>
      </c>
      <c r="G366" s="24" t="n">
        <v>4495</v>
      </c>
      <c r="H366" s="22" t="inlineStr">
        <is>
          <t>так</t>
        </is>
      </c>
      <c r="I366" s="23" t="n"/>
      <c r="J366" s="22" t="inlineStr"/>
      <c r="K366" s="22" t="inlineStr">
        <is>
          <t>Водоспад</t>
        </is>
      </c>
      <c r="L366" s="23" t="n">
        <v>4495</v>
      </c>
      <c r="M366" s="23">
        <f>IF(L366="","",E366-L366)</f>
        <v/>
      </c>
      <c r="N366" s="25">
        <f>IF(OR(L366="",L366=0),"",M366/L366)</f>
        <v/>
      </c>
      <c r="O366" s="23" t="n"/>
      <c r="P366" s="22" t="n">
        <v>0</v>
      </c>
      <c r="Q366" s="22" t="n">
        <v>0</v>
      </c>
      <c r="R366" s="22" t="inlineStr">
        <is>
          <t>код</t>
        </is>
      </c>
      <c r="S366" s="26" t="inlineStr">
        <is>
          <t>відкрити</t>
        </is>
      </c>
    </row>
    <row r="367">
      <c r="A367" s="20" t="inlineStr">
        <is>
          <t>В нормі</t>
        </is>
      </c>
      <c r="B367" s="21" t="inlineStr"/>
      <c r="C367" s="22" t="inlineStr">
        <is>
          <t>354-36</t>
        </is>
      </c>
      <c r="D367" s="21" t="inlineStr">
        <is>
          <t>Пила садова складна Silky Bigboy 360-7 (354-36) Японія</t>
        </is>
      </c>
      <c r="E367" s="23" t="n">
        <v>3995</v>
      </c>
      <c r="F367" s="22" t="inlineStr">
        <is>
          <t>так</t>
        </is>
      </c>
      <c r="G367" s="24" t="n">
        <v>3995</v>
      </c>
      <c r="H367" s="22" t="inlineStr">
        <is>
          <t>так</t>
        </is>
      </c>
      <c r="I367" s="23" t="n"/>
      <c r="J367" s="22" t="inlineStr"/>
      <c r="K367" s="22" t="inlineStr">
        <is>
          <t>Водоспад</t>
        </is>
      </c>
      <c r="L367" s="23" t="n">
        <v>3995</v>
      </c>
      <c r="M367" s="23">
        <f>IF(L367="","",E367-L367)</f>
        <v/>
      </c>
      <c r="N367" s="25">
        <f>IF(OR(L367="",L367=0),"",M367/L367)</f>
        <v/>
      </c>
      <c r="O367" s="23" t="n"/>
      <c r="P367" s="22" t="n">
        <v>0</v>
      </c>
      <c r="Q367" s="22" t="n">
        <v>0</v>
      </c>
      <c r="R367" s="22" t="inlineStr">
        <is>
          <t>код</t>
        </is>
      </c>
      <c r="S367" s="26" t="inlineStr">
        <is>
          <t>відкрити</t>
        </is>
      </c>
    </row>
    <row r="368">
      <c r="A368" s="20" t="inlineStr">
        <is>
          <t>В нормі</t>
        </is>
      </c>
      <c r="B368" s="21" t="inlineStr"/>
      <c r="C368" s="22" t="inlineStr">
        <is>
          <t>141-18</t>
        </is>
      </c>
      <c r="D368" s="21" t="inlineStr">
        <is>
          <t>Пила садова складна Silky F-180-14 (141-18) Японія</t>
        </is>
      </c>
      <c r="E368" s="23" t="n">
        <v>1490</v>
      </c>
      <c r="F368" s="22" t="inlineStr">
        <is>
          <t>так</t>
        </is>
      </c>
      <c r="G368" s="24" t="n">
        <v>1490</v>
      </c>
      <c r="H368" s="22" t="inlineStr">
        <is>
          <t>так</t>
        </is>
      </c>
      <c r="I368" s="23" t="n">
        <v>1490</v>
      </c>
      <c r="J368" s="22" t="inlineStr">
        <is>
          <t>так</t>
        </is>
      </c>
      <c r="K368" s="22" t="inlineStr">
        <is>
          <t>Водоспад</t>
        </is>
      </c>
      <c r="L368" s="23" t="n">
        <v>1490</v>
      </c>
      <c r="M368" s="23">
        <f>IF(L368="","",E368-L368)</f>
        <v/>
      </c>
      <c r="N368" s="25">
        <f>IF(OR(L368="",L368=0),"",M368/L368)</f>
        <v/>
      </c>
      <c r="O368" s="23" t="n"/>
      <c r="P368" s="22" t="n">
        <v>0</v>
      </c>
      <c r="Q368" s="22" t="n">
        <v>0</v>
      </c>
      <c r="R368" s="22" t="inlineStr">
        <is>
          <t>код</t>
        </is>
      </c>
      <c r="S368" s="26" t="inlineStr">
        <is>
          <t>відкрити</t>
        </is>
      </c>
    </row>
    <row r="369">
      <c r="A369" s="20" t="inlineStr">
        <is>
          <t>В нормі</t>
        </is>
      </c>
      <c r="B369" s="21" t="inlineStr"/>
      <c r="C369" s="22" t="inlineStr">
        <is>
          <t>403-50</t>
        </is>
      </c>
      <c r="D369" s="21" t="inlineStr">
        <is>
          <t>Пила садова складна Silky Katanaboy 500-5 (403-50) Японія</t>
        </is>
      </c>
      <c r="E369" s="23" t="n">
        <v>8990</v>
      </c>
      <c r="F369" s="27" t="inlineStr">
        <is>
          <t>ні</t>
        </is>
      </c>
      <c r="G369" s="24" t="n">
        <v>8990</v>
      </c>
      <c r="H369" s="27" t="inlineStr">
        <is>
          <t>ні</t>
        </is>
      </c>
      <c r="I369" s="23" t="n"/>
      <c r="J369" s="22" t="inlineStr"/>
      <c r="K369" s="22" t="inlineStr">
        <is>
          <t>Водоспад</t>
        </is>
      </c>
      <c r="L369" s="23" t="n">
        <v>8990</v>
      </c>
      <c r="M369" s="23">
        <f>IF(L369="","",E369-L369)</f>
        <v/>
      </c>
      <c r="N369" s="25">
        <f>IF(OR(L369="",L369=0),"",M369/L369)</f>
        <v/>
      </c>
      <c r="O369" s="23" t="n"/>
      <c r="P369" s="22" t="n">
        <v>0</v>
      </c>
      <c r="Q369" s="22" t="n">
        <v>0</v>
      </c>
      <c r="R369" s="22" t="inlineStr">
        <is>
          <t>код</t>
        </is>
      </c>
      <c r="S369" s="26" t="inlineStr">
        <is>
          <t>відкрити</t>
        </is>
      </c>
    </row>
    <row r="370">
      <c r="A370" s="20" t="inlineStr">
        <is>
          <t>В нормі</t>
        </is>
      </c>
      <c r="B370" s="21" t="inlineStr"/>
      <c r="C370" s="22" t="inlineStr">
        <is>
          <t>104-27</t>
        </is>
      </c>
      <c r="D370" s="21" t="inlineStr">
        <is>
          <t>Пила садова із чохлом Silky Gomtaro 270-13 (104-27) Японія</t>
        </is>
      </c>
      <c r="E370" s="23" t="n">
        <v>2950</v>
      </c>
      <c r="F370" s="27" t="inlineStr">
        <is>
          <t>ні</t>
        </is>
      </c>
      <c r="G370" s="24" t="n">
        <v>2950</v>
      </c>
      <c r="H370" s="22" t="inlineStr">
        <is>
          <t>так</t>
        </is>
      </c>
      <c r="I370" s="23" t="n"/>
      <c r="J370" s="22" t="inlineStr"/>
      <c r="K370" s="22" t="inlineStr">
        <is>
          <t>Водоспад</t>
        </is>
      </c>
      <c r="L370" s="23" t="n">
        <v>2950</v>
      </c>
      <c r="M370" s="23">
        <f>IF(L370="","",E370-L370)</f>
        <v/>
      </c>
      <c r="N370" s="25">
        <f>IF(OR(L370="",L370=0),"",M370/L370)</f>
        <v/>
      </c>
      <c r="O370" s="23" t="n"/>
      <c r="P370" s="22" t="n">
        <v>0</v>
      </c>
      <c r="Q370" s="22" t="n">
        <v>0</v>
      </c>
      <c r="R370" s="22" t="inlineStr">
        <is>
          <t>код</t>
        </is>
      </c>
      <c r="S370" s="26" t="inlineStr">
        <is>
          <t>відкрити</t>
        </is>
      </c>
    </row>
    <row r="371">
      <c r="A371" s="20" t="inlineStr">
        <is>
          <t>В нормі</t>
        </is>
      </c>
      <c r="B371" s="21" t="inlineStr"/>
      <c r="C371" s="22" t="inlineStr">
        <is>
          <t>102-30</t>
        </is>
      </c>
      <c r="D371" s="21" t="inlineStr">
        <is>
          <t>Пила садова із чохлом Silky Gomtaro 300-8 (102-30) Японія</t>
        </is>
      </c>
      <c r="E371" s="23" t="n">
        <v>3290</v>
      </c>
      <c r="F371" s="27" t="inlineStr">
        <is>
          <t>ні</t>
        </is>
      </c>
      <c r="G371" s="24" t="n">
        <v>3290</v>
      </c>
      <c r="H371" s="22" t="inlineStr">
        <is>
          <t>так</t>
        </is>
      </c>
      <c r="I371" s="23" t="n"/>
      <c r="J371" s="22" t="inlineStr"/>
      <c r="K371" s="22" t="inlineStr">
        <is>
          <t>Водоспад</t>
        </is>
      </c>
      <c r="L371" s="23" t="n">
        <v>3290</v>
      </c>
      <c r="M371" s="23">
        <f>IF(L371="","",E371-L371)</f>
        <v/>
      </c>
      <c r="N371" s="25">
        <f>IF(OR(L371="",L371=0),"",M371/L371)</f>
        <v/>
      </c>
      <c r="O371" s="23" t="n"/>
      <c r="P371" s="22" t="n">
        <v>0</v>
      </c>
      <c r="Q371" s="22" t="n">
        <v>0</v>
      </c>
      <c r="R371" s="22" t="inlineStr">
        <is>
          <t>код</t>
        </is>
      </c>
      <c r="S371" s="26" t="inlineStr">
        <is>
          <t>відкрити</t>
        </is>
      </c>
    </row>
    <row r="372">
      <c r="A372" s="20" t="inlineStr">
        <is>
          <t>В нормі</t>
        </is>
      </c>
      <c r="B372" s="21" t="inlineStr"/>
      <c r="C372" s="22" t="inlineStr">
        <is>
          <t>275-39</t>
        </is>
      </c>
      <c r="D372" s="21" t="inlineStr">
        <is>
          <t>Пила садова із чохлом Silky Ibuki 390-5.5 (275-39) Японія</t>
        </is>
      </c>
      <c r="E372" s="23" t="n">
        <v>5490</v>
      </c>
      <c r="F372" s="27" t="inlineStr">
        <is>
          <t>ні</t>
        </is>
      </c>
      <c r="G372" s="24" t="n">
        <v>5490</v>
      </c>
      <c r="H372" s="22" t="inlineStr">
        <is>
          <t>так</t>
        </is>
      </c>
      <c r="I372" s="23" t="n"/>
      <c r="J372" s="22" t="inlineStr"/>
      <c r="K372" s="22" t="inlineStr">
        <is>
          <t>Водоспад</t>
        </is>
      </c>
      <c r="L372" s="23" t="n">
        <v>5490</v>
      </c>
      <c r="M372" s="23">
        <f>IF(L372="","",E372-L372)</f>
        <v/>
      </c>
      <c r="N372" s="25">
        <f>IF(OR(L372="",L372=0),"",M372/L372)</f>
        <v/>
      </c>
      <c r="O372" s="23" t="n"/>
      <c r="P372" s="22" t="n">
        <v>0</v>
      </c>
      <c r="Q372" s="22" t="n">
        <v>0</v>
      </c>
      <c r="R372" s="22" t="inlineStr">
        <is>
          <t>код</t>
        </is>
      </c>
      <c r="S372" s="26" t="inlineStr">
        <is>
          <t>відкрити</t>
        </is>
      </c>
    </row>
    <row r="373">
      <c r="A373" s="20" t="inlineStr">
        <is>
          <t>В нормі</t>
        </is>
      </c>
      <c r="B373" s="21" t="inlineStr"/>
      <c r="C373" s="22" t="inlineStr">
        <is>
          <t>390-36</t>
        </is>
      </c>
      <c r="D373" s="21" t="inlineStr">
        <is>
          <t>Пила садова із чохлом Silky Sugoi 360-6.5 (390-36) Японія</t>
        </is>
      </c>
      <c r="E373" s="23" t="n">
        <v>5690</v>
      </c>
      <c r="F373" s="27" t="inlineStr">
        <is>
          <t>ні</t>
        </is>
      </c>
      <c r="G373" s="24" t="n">
        <v>5690</v>
      </c>
      <c r="H373" s="22" t="inlineStr">
        <is>
          <t>так</t>
        </is>
      </c>
      <c r="I373" s="23" t="n"/>
      <c r="J373" s="22" t="inlineStr"/>
      <c r="K373" s="22" t="inlineStr">
        <is>
          <t>Водоспад</t>
        </is>
      </c>
      <c r="L373" s="23" t="n">
        <v>5690</v>
      </c>
      <c r="M373" s="23">
        <f>IF(L373="","",E373-L373)</f>
        <v/>
      </c>
      <c r="N373" s="25">
        <f>IF(OR(L373="",L373=0),"",M373/L373)</f>
        <v/>
      </c>
      <c r="O373" s="23" t="n"/>
      <c r="P373" s="22" t="n">
        <v>0</v>
      </c>
      <c r="Q373" s="22" t="n">
        <v>0</v>
      </c>
      <c r="R373" s="22" t="inlineStr">
        <is>
          <t>код</t>
        </is>
      </c>
      <c r="S373" s="26" t="inlineStr">
        <is>
          <t>відкрити</t>
        </is>
      </c>
    </row>
    <row r="374">
      <c r="A374" s="20" t="inlineStr">
        <is>
          <t>В нормі</t>
        </is>
      </c>
      <c r="B374" s="21" t="inlineStr"/>
      <c r="C374" s="22" t="inlineStr">
        <is>
          <t>390-42</t>
        </is>
      </c>
      <c r="D374" s="21" t="inlineStr">
        <is>
          <t>Пила садова із чохлом Silky Sugoi 420-6.5 (390-42) Японія</t>
        </is>
      </c>
      <c r="E374" s="23" t="n">
        <v>5990</v>
      </c>
      <c r="F374" s="27" t="inlineStr">
        <is>
          <t>ні</t>
        </is>
      </c>
      <c r="G374" s="24" t="n">
        <v>5990</v>
      </c>
      <c r="H374" s="22" t="inlineStr">
        <is>
          <t>так</t>
        </is>
      </c>
      <c r="I374" s="23" t="n"/>
      <c r="J374" s="22" t="inlineStr"/>
      <c r="K374" s="22" t="inlineStr">
        <is>
          <t>Водоспад</t>
        </is>
      </c>
      <c r="L374" s="23" t="n">
        <v>5990</v>
      </c>
      <c r="M374" s="23">
        <f>IF(L374="","",E374-L374)</f>
        <v/>
      </c>
      <c r="N374" s="25">
        <f>IF(OR(L374="",L374=0),"",M374/L374)</f>
        <v/>
      </c>
      <c r="O374" s="23" t="n"/>
      <c r="P374" s="22" t="n">
        <v>0</v>
      </c>
      <c r="Q374" s="22" t="n">
        <v>0</v>
      </c>
      <c r="R374" s="22" t="inlineStr">
        <is>
          <t>код</t>
        </is>
      </c>
      <c r="S374" s="26" t="inlineStr">
        <is>
          <t>відкрити</t>
        </is>
      </c>
    </row>
    <row r="375">
      <c r="A375" s="20" t="inlineStr">
        <is>
          <t>В нормі</t>
        </is>
      </c>
      <c r="B375" s="21" t="inlineStr"/>
      <c r="C375" s="22" t="inlineStr">
        <is>
          <t>419-42</t>
        </is>
      </c>
      <c r="D375" s="21" t="inlineStr">
        <is>
          <t>Пила садова із чохлом Silky Sugowaza 420-6.5 (419-42) Японія</t>
        </is>
      </c>
      <c r="E375" s="23" t="n">
        <v>5890</v>
      </c>
      <c r="F375" s="27" t="inlineStr">
        <is>
          <t>ні</t>
        </is>
      </c>
      <c r="G375" s="24" t="n">
        <v>5890</v>
      </c>
      <c r="H375" s="22" t="inlineStr">
        <is>
          <t>так</t>
        </is>
      </c>
      <c r="I375" s="23" t="n"/>
      <c r="J375" s="22" t="inlineStr"/>
      <c r="K375" s="22" t="inlineStr">
        <is>
          <t>Водоспад</t>
        </is>
      </c>
      <c r="L375" s="23" t="n">
        <v>5890</v>
      </c>
      <c r="M375" s="23">
        <f>IF(L375="","",E375-L375)</f>
        <v/>
      </c>
      <c r="N375" s="25">
        <f>IF(OR(L375="",L375=0),"",M375/L375)</f>
        <v/>
      </c>
      <c r="O375" s="23" t="n"/>
      <c r="P375" s="22" t="n">
        <v>0</v>
      </c>
      <c r="Q375" s="22" t="n">
        <v>0</v>
      </c>
      <c r="R375" s="22" t="inlineStr">
        <is>
          <t>код</t>
        </is>
      </c>
      <c r="S375" s="26" t="inlineStr">
        <is>
          <t>відкрити</t>
        </is>
      </c>
    </row>
    <row r="376">
      <c r="A376" s="20" t="inlineStr">
        <is>
          <t>В нормі</t>
        </is>
      </c>
      <c r="B376" s="21" t="inlineStr"/>
      <c r="C376" s="22" t="inlineStr">
        <is>
          <t>270-30</t>
        </is>
      </c>
      <c r="D376" s="21" t="inlineStr">
        <is>
          <t>Пила садова із чохлом Silky Zubat 300-7.5 (270-30) Японія</t>
        </is>
      </c>
      <c r="E376" s="23" t="n">
        <v>3690</v>
      </c>
      <c r="F376" s="27" t="inlineStr">
        <is>
          <t>ні</t>
        </is>
      </c>
      <c r="G376" s="24" t="n">
        <v>3690</v>
      </c>
      <c r="H376" s="22" t="inlineStr">
        <is>
          <t>так</t>
        </is>
      </c>
      <c r="I376" s="23" t="n"/>
      <c r="J376" s="22" t="inlineStr"/>
      <c r="K376" s="22" t="inlineStr">
        <is>
          <t>Водоспад</t>
        </is>
      </c>
      <c r="L376" s="23" t="n">
        <v>3690</v>
      </c>
      <c r="M376" s="23">
        <f>IF(L376="","",E376-L376)</f>
        <v/>
      </c>
      <c r="N376" s="25">
        <f>IF(OR(L376="",L376=0),"",M376/L376)</f>
        <v/>
      </c>
      <c r="O376" s="23" t="n"/>
      <c r="P376" s="22" t="n">
        <v>0</v>
      </c>
      <c r="Q376" s="22" t="n">
        <v>0</v>
      </c>
      <c r="R376" s="22" t="inlineStr">
        <is>
          <t>код</t>
        </is>
      </c>
      <c r="S376" s="26" t="inlineStr">
        <is>
          <t>відкрити</t>
        </is>
      </c>
    </row>
    <row r="377">
      <c r="A377" s="20" t="inlineStr">
        <is>
          <t>В нормі</t>
        </is>
      </c>
      <c r="B377" s="21" t="inlineStr"/>
      <c r="C377" s="22" t="inlineStr">
        <is>
          <t>278-33</t>
        </is>
      </c>
      <c r="D377" s="21" t="inlineStr">
        <is>
          <t>Пила садова із чохлом Silky Zubat 330-10 (278-33) Японія</t>
        </is>
      </c>
      <c r="E377" s="23" t="n">
        <v>3890</v>
      </c>
      <c r="F377" s="27" t="inlineStr">
        <is>
          <t>ні</t>
        </is>
      </c>
      <c r="G377" s="24" t="n">
        <v>3890</v>
      </c>
      <c r="H377" s="22" t="inlineStr">
        <is>
          <t>так</t>
        </is>
      </c>
      <c r="I377" s="23" t="n"/>
      <c r="J377" s="22" t="inlineStr"/>
      <c r="K377" s="22" t="inlineStr">
        <is>
          <t>Водоспад</t>
        </is>
      </c>
      <c r="L377" s="23" t="n">
        <v>3890</v>
      </c>
      <c r="M377" s="23">
        <f>IF(L377="","",E377-L377)</f>
        <v/>
      </c>
      <c r="N377" s="25">
        <f>IF(OR(L377="",L377=0),"",M377/L377)</f>
        <v/>
      </c>
      <c r="O377" s="23" t="n"/>
      <c r="P377" s="22" t="n">
        <v>0</v>
      </c>
      <c r="Q377" s="22" t="n">
        <v>0</v>
      </c>
      <c r="R377" s="22" t="inlineStr">
        <is>
          <t>код</t>
        </is>
      </c>
      <c r="S377" s="26" t="inlineStr">
        <is>
          <t>відкрити</t>
        </is>
      </c>
    </row>
    <row r="378">
      <c r="A378" s="20" t="inlineStr">
        <is>
          <t>В нормі</t>
        </is>
      </c>
      <c r="B378" s="21" t="inlineStr"/>
      <c r="C378" s="22" t="inlineStr">
        <is>
          <t>270-39</t>
        </is>
      </c>
      <c r="D378" s="21" t="inlineStr">
        <is>
          <t>Пила садова із чохлом Silky Zubat 390-7.5 (270-39) Японія</t>
        </is>
      </c>
      <c r="E378" s="23" t="n">
        <v>4290</v>
      </c>
      <c r="F378" s="27" t="inlineStr">
        <is>
          <t>ні</t>
        </is>
      </c>
      <c r="G378" s="24" t="n">
        <v>4290</v>
      </c>
      <c r="H378" s="22" t="inlineStr">
        <is>
          <t>так</t>
        </is>
      </c>
      <c r="I378" s="23" t="n"/>
      <c r="J378" s="22" t="inlineStr"/>
      <c r="K378" s="22" t="inlineStr">
        <is>
          <t>Водоспад</t>
        </is>
      </c>
      <c r="L378" s="23" t="n">
        <v>4290</v>
      </c>
      <c r="M378" s="23">
        <f>IF(L378="","",E378-L378)</f>
        <v/>
      </c>
      <c r="N378" s="25">
        <f>IF(OR(L378="",L378=0),"",M378/L378)</f>
        <v/>
      </c>
      <c r="O378" s="23" t="n"/>
      <c r="P378" s="22" t="n">
        <v>0</v>
      </c>
      <c r="Q378" s="22" t="n">
        <v>0</v>
      </c>
      <c r="R378" s="22" t="inlineStr">
        <is>
          <t>код</t>
        </is>
      </c>
      <c r="S378" s="26" t="inlineStr">
        <is>
          <t>відкрити</t>
        </is>
      </c>
    </row>
    <row r="379">
      <c r="A379" s="20" t="inlineStr">
        <is>
          <t>В нормі</t>
        </is>
      </c>
      <c r="B379" s="21" t="inlineStr"/>
      <c r="C379" s="22" t="inlineStr">
        <is>
          <t>752-24</t>
        </is>
      </c>
      <c r="D379" s="21" t="inlineStr">
        <is>
          <t>Пила складна Silky Gomboy 240-8 Curve Outback Edition (752-24) Японія</t>
        </is>
      </c>
      <c r="E379" s="23" t="n">
        <v>3490</v>
      </c>
      <c r="F379" s="22" t="inlineStr">
        <is>
          <t>так</t>
        </is>
      </c>
      <c r="G379" s="24" t="n">
        <v>3490</v>
      </c>
      <c r="H379" s="22" t="inlineStr">
        <is>
          <t>так</t>
        </is>
      </c>
      <c r="I379" s="23" t="n"/>
      <c r="J379" s="22" t="inlineStr"/>
      <c r="K379" s="22" t="inlineStr">
        <is>
          <t>Водоспад</t>
        </is>
      </c>
      <c r="L379" s="23" t="n">
        <v>3490</v>
      </c>
      <c r="M379" s="23">
        <f>IF(L379="","",E379-L379)</f>
        <v/>
      </c>
      <c r="N379" s="25">
        <f>IF(OR(L379="",L379=0),"",M379/L379)</f>
        <v/>
      </c>
      <c r="O379" s="23" t="n"/>
      <c r="P379" s="22" t="n">
        <v>0</v>
      </c>
      <c r="Q379" s="22" t="n">
        <v>0</v>
      </c>
      <c r="R379" s="22" t="inlineStr">
        <is>
          <t>код</t>
        </is>
      </c>
      <c r="S379" s="26" t="inlineStr">
        <is>
          <t>відкрити</t>
        </is>
      </c>
    </row>
    <row r="380">
      <c r="A380" s="20" t="inlineStr">
        <is>
          <t>В нормі</t>
        </is>
      </c>
      <c r="B380" s="21" t="inlineStr"/>
      <c r="C380" s="22" t="inlineStr">
        <is>
          <t>717-30</t>
        </is>
      </c>
      <c r="D380" s="21" t="inlineStr">
        <is>
          <t>Пила складна Silky Gomboy 300 мм (717-30) Японія</t>
        </is>
      </c>
      <c r="E380" s="23" t="n">
        <v>3790</v>
      </c>
      <c r="F380" s="27" t="inlineStr">
        <is>
          <t>ні</t>
        </is>
      </c>
      <c r="G380" s="24" t="n">
        <v>3790</v>
      </c>
      <c r="H380" s="22" t="inlineStr">
        <is>
          <t>так</t>
        </is>
      </c>
      <c r="I380" s="23" t="n"/>
      <c r="J380" s="22" t="inlineStr"/>
      <c r="K380" s="22" t="inlineStr">
        <is>
          <t>Водоспад</t>
        </is>
      </c>
      <c r="L380" s="23" t="n">
        <v>3790</v>
      </c>
      <c r="M380" s="23">
        <f>IF(L380="","",E380-L380)</f>
        <v/>
      </c>
      <c r="N380" s="25">
        <f>IF(OR(L380="",L380=0),"",M380/L380)</f>
        <v/>
      </c>
      <c r="O380" s="23" t="n"/>
      <c r="P380" s="22" t="n">
        <v>0</v>
      </c>
      <c r="Q380" s="22" t="n">
        <v>0</v>
      </c>
      <c r="R380" s="22" t="inlineStr">
        <is>
          <t>код</t>
        </is>
      </c>
      <c r="S380" s="26" t="inlineStr">
        <is>
          <t>відкрити</t>
        </is>
      </c>
    </row>
    <row r="381">
      <c r="A381" s="20" t="inlineStr">
        <is>
          <t>В нормі</t>
        </is>
      </c>
      <c r="B381" s="21" t="inlineStr"/>
      <c r="C381" s="22" t="inlineStr">
        <is>
          <t>352-36</t>
        </is>
      </c>
      <c r="D381" s="21" t="inlineStr">
        <is>
          <t>Пила складна Silky Professional Bigboy Fine Teeth (352-36) Японія</t>
        </is>
      </c>
      <c r="E381" s="23" t="n">
        <v>3995</v>
      </c>
      <c r="F381" s="22" t="inlineStr">
        <is>
          <t>так</t>
        </is>
      </c>
      <c r="G381" s="24" t="n">
        <v>3995</v>
      </c>
      <c r="H381" s="22" t="inlineStr">
        <is>
          <t>так</t>
        </is>
      </c>
      <c r="I381" s="23" t="n"/>
      <c r="J381" s="22" t="inlineStr"/>
      <c r="K381" s="22" t="inlineStr">
        <is>
          <t>Водоспад</t>
        </is>
      </c>
      <c r="L381" s="23" t="n">
        <v>3995</v>
      </c>
      <c r="M381" s="23">
        <f>IF(L381="","",E381-L381)</f>
        <v/>
      </c>
      <c r="N381" s="25">
        <f>IF(OR(L381="",L381=0),"",M381/L381)</f>
        <v/>
      </c>
      <c r="O381" s="23" t="n"/>
      <c r="P381" s="22" t="n">
        <v>0</v>
      </c>
      <c r="Q381" s="22" t="n">
        <v>0</v>
      </c>
      <c r="R381" s="22" t="inlineStr">
        <is>
          <t>код</t>
        </is>
      </c>
      <c r="S381" s="26" t="inlineStr">
        <is>
          <t>відкрити</t>
        </is>
      </c>
    </row>
    <row r="382">
      <c r="A382" s="20" t="inlineStr">
        <is>
          <t>В нормі</t>
        </is>
      </c>
      <c r="B382" s="21" t="inlineStr"/>
      <c r="C382" s="22" t="inlineStr">
        <is>
          <t>726-13</t>
        </is>
      </c>
      <c r="D382" s="21" t="inlineStr">
        <is>
          <t>Пилка складана Silky Professional Series PocketBoy (726-13) Японія</t>
        </is>
      </c>
      <c r="E382" s="23" t="n">
        <v>2090</v>
      </c>
      <c r="F382" s="22" t="inlineStr">
        <is>
          <t>так</t>
        </is>
      </c>
      <c r="G382" s="24" t="n">
        <v>2090</v>
      </c>
      <c r="H382" s="22" t="inlineStr">
        <is>
          <t>так</t>
        </is>
      </c>
      <c r="I382" s="23" t="n"/>
      <c r="J382" s="22" t="inlineStr"/>
      <c r="K382" s="22" t="inlineStr">
        <is>
          <t>Водоспад</t>
        </is>
      </c>
      <c r="L382" s="23" t="n">
        <v>2090</v>
      </c>
      <c r="M382" s="23">
        <f>IF(L382="","",E382-L382)</f>
        <v/>
      </c>
      <c r="N382" s="25">
        <f>IF(OR(L382="",L382=0),"",M382/L382)</f>
        <v/>
      </c>
      <c r="O382" s="23" t="n"/>
      <c r="P382" s="22" t="n">
        <v>0</v>
      </c>
      <c r="Q382" s="22" t="n">
        <v>0</v>
      </c>
      <c r="R382" s="22" t="inlineStr">
        <is>
          <t>код</t>
        </is>
      </c>
      <c r="S382" s="26" t="inlineStr">
        <is>
          <t>відкрити</t>
        </is>
      </c>
    </row>
    <row r="383">
      <c r="A383" s="20" t="inlineStr">
        <is>
          <t>В нормі</t>
        </is>
      </c>
      <c r="B383" s="21" t="inlineStr"/>
      <c r="C383" s="22" t="inlineStr">
        <is>
          <t>754-36</t>
        </is>
      </c>
      <c r="D383" s="21" t="inlineStr">
        <is>
          <t>Пилка складна Silky Bigboy 2000 Outback edition (754-36) Японія</t>
        </is>
      </c>
      <c r="E383" s="23" t="n">
        <v>5990</v>
      </c>
      <c r="F383" s="27" t="inlineStr">
        <is>
          <t>ні</t>
        </is>
      </c>
      <c r="G383" s="24" t="n">
        <v>5990</v>
      </c>
      <c r="H383" s="22" t="inlineStr">
        <is>
          <t>так</t>
        </is>
      </c>
      <c r="I383" s="23" t="n"/>
      <c r="J383" s="22" t="inlineStr"/>
      <c r="K383" s="22" t="inlineStr">
        <is>
          <t>Водоспад</t>
        </is>
      </c>
      <c r="L383" s="23" t="n">
        <v>5990</v>
      </c>
      <c r="M383" s="23">
        <f>IF(L383="","",E383-L383)</f>
        <v/>
      </c>
      <c r="N383" s="25">
        <f>IF(OR(L383="",L383=0),"",M383/L383)</f>
        <v/>
      </c>
      <c r="O383" s="23" t="n"/>
      <c r="P383" s="22" t="n">
        <v>0</v>
      </c>
      <c r="Q383" s="22" t="n">
        <v>0</v>
      </c>
      <c r="R383" s="22" t="inlineStr">
        <is>
          <t>код</t>
        </is>
      </c>
      <c r="S383" s="26" t="inlineStr">
        <is>
          <t>відкрити</t>
        </is>
      </c>
    </row>
    <row r="384">
      <c r="A384" s="20" t="inlineStr">
        <is>
          <t>В нормі</t>
        </is>
      </c>
      <c r="B384" s="21" t="inlineStr"/>
      <c r="C384" s="22" t="inlineStr">
        <is>
          <t>350-36</t>
        </is>
      </c>
      <c r="D384" s="21" t="inlineStr">
        <is>
          <t>Пилка складна Silky Bigboy 360-10 (350-36) Японія</t>
        </is>
      </c>
      <c r="E384" s="23" t="n">
        <v>3995</v>
      </c>
      <c r="F384" s="22" t="inlineStr">
        <is>
          <t>так</t>
        </is>
      </c>
      <c r="G384" s="24" t="n">
        <v>3995</v>
      </c>
      <c r="H384" s="22" t="inlineStr">
        <is>
          <t>так</t>
        </is>
      </c>
      <c r="I384" s="23" t="n"/>
      <c r="J384" s="22" t="inlineStr"/>
      <c r="K384" s="22" t="inlineStr">
        <is>
          <t>Водоспад</t>
        </is>
      </c>
      <c r="L384" s="23" t="n">
        <v>3995</v>
      </c>
      <c r="M384" s="23">
        <f>IF(L384="","",E384-L384)</f>
        <v/>
      </c>
      <c r="N384" s="25">
        <f>IF(OR(L384="",L384=0),"",M384/L384)</f>
        <v/>
      </c>
      <c r="O384" s="23" t="n"/>
      <c r="P384" s="22" t="n">
        <v>0</v>
      </c>
      <c r="Q384" s="22" t="n">
        <v>0</v>
      </c>
      <c r="R384" s="22" t="inlineStr">
        <is>
          <t>код</t>
        </is>
      </c>
      <c r="S384" s="26" t="inlineStr">
        <is>
          <t>відкрити</t>
        </is>
      </c>
    </row>
    <row r="385">
      <c r="A385" s="20" t="inlineStr">
        <is>
          <t>В нормі</t>
        </is>
      </c>
      <c r="B385" s="21" t="inlineStr"/>
      <c r="C385" s="22" t="inlineStr">
        <is>
          <t>SR-L-1190</t>
        </is>
      </c>
      <c r="D385" s="21" t="inlineStr">
        <is>
          <t>Планувальник грунту ручний без держака Смарт Рейн / Smart Rain (SR-L-1190) Україна</t>
        </is>
      </c>
      <c r="E385" s="23" t="n">
        <v>2950</v>
      </c>
      <c r="F385" s="22" t="inlineStr">
        <is>
          <t>так</t>
        </is>
      </c>
      <c r="G385" s="23" t="n"/>
      <c r="H385" s="22" t="inlineStr"/>
      <c r="I385" s="24" t="n">
        <v>2950</v>
      </c>
      <c r="J385" s="22" t="inlineStr">
        <is>
          <t>так</t>
        </is>
      </c>
      <c r="K385" s="22" t="inlineStr">
        <is>
          <t>Клуб Рослин</t>
        </is>
      </c>
      <c r="L385" s="23" t="n">
        <v>2950</v>
      </c>
      <c r="M385" s="23">
        <f>IF(L385="","",E385-L385)</f>
        <v/>
      </c>
      <c r="N385" s="25">
        <f>IF(OR(L385="",L385=0),"",M385/L385)</f>
        <v/>
      </c>
      <c r="O385" s="23" t="n"/>
      <c r="P385" s="22" t="n">
        <v>0</v>
      </c>
      <c r="Q385" s="22" t="n">
        <v>0</v>
      </c>
      <c r="R385" s="22" t="inlineStr">
        <is>
          <t>код</t>
        </is>
      </c>
      <c r="S385" s="26" t="inlineStr">
        <is>
          <t>відкрити</t>
        </is>
      </c>
    </row>
    <row r="386">
      <c r="A386" s="20" t="inlineStr">
        <is>
          <t>В нормі</t>
        </is>
      </c>
      <c r="B386" s="21" t="inlineStr">
        <is>
          <t>Немає в наявності в жодного постачальника</t>
        </is>
      </c>
      <c r="C386" s="22" t="inlineStr">
        <is>
          <t>SR-L-890</t>
        </is>
      </c>
      <c r="D386" s="21" t="inlineStr">
        <is>
          <t>Планувальник грунту ручний без держака Смарт Рейн / Smart Rain (SR-L-890)</t>
        </is>
      </c>
      <c r="E386" s="23" t="n">
        <v>2650</v>
      </c>
      <c r="F386" s="22" t="inlineStr">
        <is>
          <t>так</t>
        </is>
      </c>
      <c r="G386" s="23" t="n"/>
      <c r="H386" s="22" t="inlineStr"/>
      <c r="I386" s="24" t="n">
        <v>2650</v>
      </c>
      <c r="J386" s="27" t="inlineStr">
        <is>
          <t>ні</t>
        </is>
      </c>
      <c r="K386" s="22" t="inlineStr">
        <is>
          <t>Клуб Рослин</t>
        </is>
      </c>
      <c r="L386" s="23" t="n">
        <v>2650</v>
      </c>
      <c r="M386" s="23">
        <f>IF(L386="","",E386-L386)</f>
        <v/>
      </c>
      <c r="N386" s="25">
        <f>IF(OR(L386="",L386=0),"",M386/L386)</f>
        <v/>
      </c>
      <c r="O386" s="23" t="n"/>
      <c r="P386" s="22" t="n">
        <v>0</v>
      </c>
      <c r="Q386" s="22" t="n">
        <v>0</v>
      </c>
      <c r="R386" s="22" t="inlineStr">
        <is>
          <t>код</t>
        </is>
      </c>
      <c r="S386" s="26" t="inlineStr">
        <is>
          <t>відкрити</t>
        </is>
      </c>
    </row>
    <row r="387">
      <c r="A387" s="20" t="inlineStr">
        <is>
          <t>В нормі</t>
        </is>
      </c>
      <c r="B387" s="21" t="inlineStr"/>
      <c r="C387" s="22" t="inlineStr">
        <is>
          <t>121001004985</t>
        </is>
      </c>
      <c r="D387" s="21" t="inlineStr">
        <is>
          <t>Подарунковий набір Felco (Секатор Фелко 2 + Фірмова Шапка) Швейцарія</t>
        </is>
      </c>
      <c r="E387" s="23" t="n">
        <v>3090</v>
      </c>
      <c r="F387" s="27" t="inlineStr">
        <is>
          <t>ні</t>
        </is>
      </c>
      <c r="G387" s="23" t="n"/>
      <c r="H387" s="22" t="inlineStr"/>
      <c r="I387" s="24" t="n">
        <v>3090</v>
      </c>
      <c r="J387" s="22" t="inlineStr">
        <is>
          <t>так</t>
        </is>
      </c>
      <c r="K387" s="22" t="inlineStr">
        <is>
          <t>Клуб Рослин</t>
        </is>
      </c>
      <c r="L387" s="23" t="n">
        <v>3090</v>
      </c>
      <c r="M387" s="23">
        <f>IF(L387="","",E387-L387)</f>
        <v/>
      </c>
      <c r="N387" s="25">
        <f>IF(OR(L387="",L387=0),"",M387/L387)</f>
        <v/>
      </c>
      <c r="O387" s="23" t="n"/>
      <c r="P387" s="22" t="n">
        <v>0</v>
      </c>
      <c r="Q387" s="22" t="n">
        <v>0</v>
      </c>
      <c r="R387" s="22" t="inlineStr">
        <is>
          <t>код</t>
        </is>
      </c>
      <c r="S387" s="26" t="inlineStr">
        <is>
          <t>відкрити</t>
        </is>
      </c>
    </row>
    <row r="388">
      <c r="A388" s="20" t="inlineStr">
        <is>
          <t>В нормі</t>
        </is>
      </c>
      <c r="B388" s="21" t="inlineStr"/>
      <c r="C388" s="22" t="inlineStr">
        <is>
          <t>4420-11</t>
        </is>
      </c>
      <c r="D388" s="21" t="inlineStr">
        <is>
          <t>Полотно для обрізних пил Bahco (4420-11) Швеція</t>
        </is>
      </c>
      <c r="E388" s="23" t="n">
        <v>570</v>
      </c>
      <c r="F388" s="27" t="inlineStr">
        <is>
          <t>ні</t>
        </is>
      </c>
      <c r="G388" s="24" t="n">
        <v>570</v>
      </c>
      <c r="H388" s="27" t="inlineStr">
        <is>
          <t>ні</t>
        </is>
      </c>
      <c r="I388" s="23" t="n"/>
      <c r="J388" s="22" t="inlineStr"/>
      <c r="K388" s="22" t="inlineStr">
        <is>
          <t>Водоспад</t>
        </is>
      </c>
      <c r="L388" s="23" t="n">
        <v>570</v>
      </c>
      <c r="M388" s="23">
        <f>IF(L388="","",E388-L388)</f>
        <v/>
      </c>
      <c r="N388" s="25">
        <f>IF(OR(L388="",L388=0),"",M388/L388)</f>
        <v/>
      </c>
      <c r="O388" s="23" t="n"/>
      <c r="P388" s="22" t="n">
        <v>0</v>
      </c>
      <c r="Q388" s="22" t="n">
        <v>0</v>
      </c>
      <c r="R388" s="22" t="inlineStr">
        <is>
          <t>код</t>
        </is>
      </c>
      <c r="S388" s="26" t="inlineStr">
        <is>
          <t>відкрити</t>
        </is>
      </c>
    </row>
    <row r="389">
      <c r="A389" s="20" t="inlineStr">
        <is>
          <t>В нормі</t>
        </is>
      </c>
      <c r="B389" s="21" t="inlineStr"/>
      <c r="C389" s="22" t="inlineStr">
        <is>
          <t>23FASPE10</t>
        </is>
      </c>
      <c r="D389" s="21" t="inlineStr">
        <is>
          <t>Підв`язка для рослин 10 см Х 1000 шт гнучкий сталевий дріт Cordioli (23FASPE10) Італія</t>
        </is>
      </c>
      <c r="E389" s="23" t="n">
        <v>130</v>
      </c>
      <c r="F389" s="22" t="inlineStr">
        <is>
          <t>так</t>
        </is>
      </c>
      <c r="G389" s="24" t="n">
        <v>130</v>
      </c>
      <c r="H389" s="22" t="inlineStr">
        <is>
          <t>так</t>
        </is>
      </c>
      <c r="I389" s="23" t="n"/>
      <c r="J389" s="22" t="inlineStr"/>
      <c r="K389" s="22" t="inlineStr">
        <is>
          <t>Водоспад</t>
        </is>
      </c>
      <c r="L389" s="23" t="n">
        <v>130</v>
      </c>
      <c r="M389" s="23">
        <f>IF(L389="","",E389-L389)</f>
        <v/>
      </c>
      <c r="N389" s="25">
        <f>IF(OR(L389="",L389=0),"",M389/L389)</f>
        <v/>
      </c>
      <c r="O389" s="23" t="n"/>
      <c r="P389" s="22" t="n">
        <v>0</v>
      </c>
      <c r="Q389" s="22" t="n">
        <v>0</v>
      </c>
      <c r="R389" s="22" t="inlineStr">
        <is>
          <t>код</t>
        </is>
      </c>
      <c r="S389" s="26" t="inlineStr">
        <is>
          <t>відкрити</t>
        </is>
      </c>
    </row>
    <row r="390">
      <c r="A390" s="20" t="inlineStr">
        <is>
          <t>В нормі</t>
        </is>
      </c>
      <c r="B390" s="21" t="inlineStr"/>
      <c r="C390" s="22" t="inlineStr">
        <is>
          <t>23FCSPE10</t>
        </is>
      </c>
      <c r="D390" s="21" t="inlineStr">
        <is>
          <t>Підв`язка для рослин 10 см х 1000 шт гнучкий сталевий дріт у паперовій оболонці (23FCSPE10) Італія</t>
        </is>
      </c>
      <c r="E390" s="23" t="n">
        <v>90</v>
      </c>
      <c r="F390" s="22" t="inlineStr">
        <is>
          <t>так</t>
        </is>
      </c>
      <c r="G390" s="24" t="n">
        <v>90</v>
      </c>
      <c r="H390" s="22" t="inlineStr">
        <is>
          <t>так</t>
        </is>
      </c>
      <c r="I390" s="23" t="n"/>
      <c r="J390" s="22" t="inlineStr"/>
      <c r="K390" s="22" t="inlineStr">
        <is>
          <t>Водоспад</t>
        </is>
      </c>
      <c r="L390" s="23" t="n">
        <v>90</v>
      </c>
      <c r="M390" s="23">
        <f>IF(L390="","",E390-L390)</f>
        <v/>
      </c>
      <c r="N390" s="25">
        <f>IF(OR(L390="",L390=0),"",M390/L390)</f>
        <v/>
      </c>
      <c r="O390" s="23" t="n"/>
      <c r="P390" s="22" t="n">
        <v>0</v>
      </c>
      <c r="Q390" s="22" t="n">
        <v>0</v>
      </c>
      <c r="R390" s="22" t="inlineStr">
        <is>
          <t>код</t>
        </is>
      </c>
      <c r="S390" s="26" t="inlineStr">
        <is>
          <t>відкрити</t>
        </is>
      </c>
    </row>
    <row r="391">
      <c r="A391" s="20" t="inlineStr">
        <is>
          <t>В нормі</t>
        </is>
      </c>
      <c r="B391" s="21" t="inlineStr"/>
      <c r="C391" s="22" t="inlineStr">
        <is>
          <t>23FCSPE15</t>
        </is>
      </c>
      <c r="D391" s="21" t="inlineStr">
        <is>
          <t>Підв`язка для рослин 15 см Х 1000 шт сталевий дріт у паперовій оболонці (23FCSPE15) Cordioli Італія</t>
        </is>
      </c>
      <c r="E391" s="23" t="n">
        <v>130</v>
      </c>
      <c r="F391" s="27" t="inlineStr">
        <is>
          <t>ні</t>
        </is>
      </c>
      <c r="G391" s="24" t="n">
        <v>130</v>
      </c>
      <c r="H391" s="22" t="inlineStr">
        <is>
          <t>так</t>
        </is>
      </c>
      <c r="I391" s="23" t="n"/>
      <c r="J391" s="22" t="inlineStr"/>
      <c r="K391" s="22" t="inlineStr">
        <is>
          <t>Водоспад</t>
        </is>
      </c>
      <c r="L391" s="23" t="n">
        <v>130</v>
      </c>
      <c r="M391" s="23">
        <f>IF(L391="","",E391-L391)</f>
        <v/>
      </c>
      <c r="N391" s="25">
        <f>IF(OR(L391="",L391=0),"",M391/L391)</f>
        <v/>
      </c>
      <c r="O391" s="23" t="n"/>
      <c r="P391" s="22" t="n">
        <v>0</v>
      </c>
      <c r="Q391" s="22" t="n">
        <v>0</v>
      </c>
      <c r="R391" s="22" t="inlineStr">
        <is>
          <t>код</t>
        </is>
      </c>
      <c r="S391" s="26" t="inlineStr">
        <is>
          <t>відкрити</t>
        </is>
      </c>
    </row>
    <row r="392">
      <c r="A392" s="20" t="inlineStr">
        <is>
          <t>В нормі</t>
        </is>
      </c>
      <c r="B392" s="21" t="inlineStr"/>
      <c r="C392" s="22" t="inlineStr">
        <is>
          <t>23FA150</t>
        </is>
      </c>
      <c r="D392" s="21" t="inlineStr">
        <is>
          <t>Підв`язка для рослин 150 м 0.45 см сталевий дріт у пластикові оболонці (23FA150) Cordioli Італія</t>
        </is>
      </c>
      <c r="E392" s="23" t="n">
        <v>160</v>
      </c>
      <c r="F392" s="22" t="inlineStr">
        <is>
          <t>так</t>
        </is>
      </c>
      <c r="G392" s="24" t="n">
        <v>160</v>
      </c>
      <c r="H392" s="22" t="inlineStr">
        <is>
          <t>так</t>
        </is>
      </c>
      <c r="I392" s="23" t="n"/>
      <c r="J392" s="22" t="inlineStr"/>
      <c r="K392" s="22" t="inlineStr">
        <is>
          <t>Водоспад</t>
        </is>
      </c>
      <c r="L392" s="23" t="n">
        <v>160</v>
      </c>
      <c r="M392" s="23">
        <f>IF(L392="","",E392-L392)</f>
        <v/>
      </c>
      <c r="N392" s="25">
        <f>IF(OR(L392="",L392=0),"",M392/L392)</f>
        <v/>
      </c>
      <c r="O392" s="23" t="n"/>
      <c r="P392" s="22" t="n">
        <v>0</v>
      </c>
      <c r="Q392" s="22" t="n">
        <v>0</v>
      </c>
      <c r="R392" s="22" t="inlineStr">
        <is>
          <t>код</t>
        </is>
      </c>
      <c r="S392" s="26" t="inlineStr">
        <is>
          <t>відкрити</t>
        </is>
      </c>
    </row>
    <row r="393">
      <c r="A393" s="20" t="inlineStr">
        <is>
          <t>В нормі</t>
        </is>
      </c>
      <c r="B393" s="21" t="inlineStr"/>
      <c r="C393" s="22" t="inlineStr">
        <is>
          <t>23FC250</t>
        </is>
      </c>
      <c r="D393" s="21" t="inlineStr">
        <is>
          <t>Підв`язка для рослин 250 м сталевий дріт у паперовій оболонці (23FC250) Cordioli Італія</t>
        </is>
      </c>
      <c r="E393" s="23" t="n">
        <v>235</v>
      </c>
      <c r="F393" s="27" t="inlineStr">
        <is>
          <t>ні</t>
        </is>
      </c>
      <c r="G393" s="24" t="n">
        <v>235</v>
      </c>
      <c r="H393" s="22" t="inlineStr">
        <is>
          <t>так</t>
        </is>
      </c>
      <c r="I393" s="23" t="n"/>
      <c r="J393" s="22" t="inlineStr"/>
      <c r="K393" s="22" t="inlineStr">
        <is>
          <t>Водоспад</t>
        </is>
      </c>
      <c r="L393" s="23" t="n">
        <v>235</v>
      </c>
      <c r="M393" s="23">
        <f>IF(L393="","",E393-L393)</f>
        <v/>
      </c>
      <c r="N393" s="25">
        <f>IF(OR(L393="",L393=0),"",M393/L393)</f>
        <v/>
      </c>
      <c r="O393" s="23" t="n"/>
      <c r="P393" s="22" t="n">
        <v>0</v>
      </c>
      <c r="Q393" s="22" t="n">
        <v>0</v>
      </c>
      <c r="R393" s="22" t="inlineStr">
        <is>
          <t>код</t>
        </is>
      </c>
      <c r="S393" s="26" t="inlineStr">
        <is>
          <t>відкрити</t>
        </is>
      </c>
    </row>
    <row r="394">
      <c r="A394" s="20" t="inlineStr">
        <is>
          <t>В нормі</t>
        </is>
      </c>
      <c r="B394" s="21" t="inlineStr">
        <is>
          <t>Немає в наявності в жодного постачальника</t>
        </is>
      </c>
      <c r="C394" s="22" t="inlineStr">
        <is>
          <t>23FCTO</t>
        </is>
      </c>
      <c r="D394" s="21" t="inlineStr">
        <is>
          <t>Підв`язка для рослин 250м сталевий дріт у паперовій оболонці (23FCTO) Cordioli Італія</t>
        </is>
      </c>
      <c r="E394" s="23" t="n">
        <v>285</v>
      </c>
      <c r="F394" s="22" t="inlineStr">
        <is>
          <t>так</t>
        </is>
      </c>
      <c r="G394" s="24" t="n">
        <v>285</v>
      </c>
      <c r="H394" s="27" t="inlineStr">
        <is>
          <t>ні</t>
        </is>
      </c>
      <c r="I394" s="23" t="n"/>
      <c r="J394" s="22" t="inlineStr"/>
      <c r="K394" s="22" t="inlineStr">
        <is>
          <t>Водоспад</t>
        </is>
      </c>
      <c r="L394" s="23" t="n">
        <v>285</v>
      </c>
      <c r="M394" s="23">
        <f>IF(L394="","",E394-L394)</f>
        <v/>
      </c>
      <c r="N394" s="25">
        <f>IF(OR(L394="",L394=0),"",M394/L394)</f>
        <v/>
      </c>
      <c r="O394" s="23" t="n"/>
      <c r="P394" s="22" t="n">
        <v>0</v>
      </c>
      <c r="Q394" s="22" t="n">
        <v>0</v>
      </c>
      <c r="R394" s="22" t="inlineStr">
        <is>
          <t>модель</t>
        </is>
      </c>
      <c r="S394" s="26" t="inlineStr">
        <is>
          <t>відкрити</t>
        </is>
      </c>
    </row>
    <row r="395">
      <c r="A395" s="20" t="inlineStr">
        <is>
          <t>В нормі</t>
        </is>
      </c>
      <c r="B395" s="21" t="inlineStr"/>
      <c r="C395" s="22" t="inlineStr">
        <is>
          <t>23FASPE15</t>
        </is>
      </c>
      <c r="D395" s="21" t="inlineStr">
        <is>
          <t>Підв`язка для рослин Tie_15 ~1000 шт 15 см (23FASPE15) Cordioli Італія</t>
        </is>
      </c>
      <c r="E395" s="23" t="n">
        <v>180</v>
      </c>
      <c r="F395" s="22" t="inlineStr">
        <is>
          <t>так</t>
        </is>
      </c>
      <c r="G395" s="24" t="n">
        <v>180</v>
      </c>
      <c r="H395" s="22" t="inlineStr">
        <is>
          <t>так</t>
        </is>
      </c>
      <c r="I395" s="23" t="n"/>
      <c r="J395" s="22" t="inlineStr"/>
      <c r="K395" s="22" t="inlineStr">
        <is>
          <t>Водоспад</t>
        </is>
      </c>
      <c r="L395" s="23" t="n">
        <v>180</v>
      </c>
      <c r="M395" s="23">
        <f>IF(L395="","",E395-L395)</f>
        <v/>
      </c>
      <c r="N395" s="25">
        <f>IF(OR(L395="",L395=0),"",M395/L395)</f>
        <v/>
      </c>
      <c r="O395" s="23" t="n"/>
      <c r="P395" s="22" t="n">
        <v>0</v>
      </c>
      <c r="Q395" s="22" t="n">
        <v>0</v>
      </c>
      <c r="R395" s="22" t="inlineStr">
        <is>
          <t>код</t>
        </is>
      </c>
      <c r="S395" s="26" t="inlineStr">
        <is>
          <t>відкрити</t>
        </is>
      </c>
    </row>
    <row r="396">
      <c r="A396" s="20" t="inlineStr">
        <is>
          <t>В нормі</t>
        </is>
      </c>
      <c r="B396" s="21" t="inlineStr"/>
      <c r="C396" s="22" t="inlineStr">
        <is>
          <t>21001</t>
        </is>
      </c>
      <c r="D396" s="21" t="inlineStr">
        <is>
          <t>Робоче лезо для сучкорізу LOWE 21 Lowe 21001 Німеччина</t>
        </is>
      </c>
      <c r="E396" s="23" t="n">
        <v>1750</v>
      </c>
      <c r="F396" s="27" t="inlineStr">
        <is>
          <t>ні</t>
        </is>
      </c>
      <c r="G396" s="24" t="n">
        <v>1750</v>
      </c>
      <c r="H396" s="22" t="inlineStr">
        <is>
          <t>так</t>
        </is>
      </c>
      <c r="I396" s="23" t="n"/>
      <c r="J396" s="22" t="inlineStr"/>
      <c r="K396" s="22" t="inlineStr">
        <is>
          <t>Водоспад</t>
        </is>
      </c>
      <c r="L396" s="23" t="n">
        <v>1750</v>
      </c>
      <c r="M396" s="23">
        <f>IF(L396="","",E396-L396)</f>
        <v/>
      </c>
      <c r="N396" s="25">
        <f>IF(OR(L396="",L396=0),"",M396/L396)</f>
        <v/>
      </c>
      <c r="O396" s="23" t="n"/>
      <c r="P396" s="22" t="n">
        <v>0</v>
      </c>
      <c r="Q396" s="22" t="n">
        <v>0</v>
      </c>
      <c r="R396" s="22" t="inlineStr">
        <is>
          <t>код</t>
        </is>
      </c>
      <c r="S396" s="26" t="inlineStr">
        <is>
          <t>відкрити</t>
        </is>
      </c>
    </row>
    <row r="397">
      <c r="A397" s="20" t="inlineStr">
        <is>
          <t>В нормі</t>
        </is>
      </c>
      <c r="B397" s="21" t="inlineStr"/>
      <c r="C397" s="22" t="inlineStr">
        <is>
          <t>20011/100</t>
        </is>
      </c>
      <c r="D397" s="21" t="inlineStr">
        <is>
          <t>Ручки для сучкоріза Lowe 20/22 (20011/100) Німеччина</t>
        </is>
      </c>
      <c r="E397" s="23" t="n">
        <v>2190</v>
      </c>
      <c r="F397" s="27" t="inlineStr">
        <is>
          <t>ні</t>
        </is>
      </c>
      <c r="G397" s="24" t="n">
        <v>2190</v>
      </c>
      <c r="H397" s="22" t="inlineStr">
        <is>
          <t>так</t>
        </is>
      </c>
      <c r="I397" s="23" t="n">
        <v>1990</v>
      </c>
      <c r="J397" s="27" t="inlineStr">
        <is>
          <t>ні</t>
        </is>
      </c>
      <c r="K397" s="22" t="inlineStr">
        <is>
          <t>Водоспад</t>
        </is>
      </c>
      <c r="L397" s="23" t="n">
        <v>2190</v>
      </c>
      <c r="M397" s="23">
        <f>IF(L397="","",E397-L397)</f>
        <v/>
      </c>
      <c r="N397" s="25">
        <f>IF(OR(L397="",L397=0),"",M397/L397)</f>
        <v/>
      </c>
      <c r="O397" s="23" t="n"/>
      <c r="P397" s="22" t="n">
        <v>0</v>
      </c>
      <c r="Q397" s="22" t="n">
        <v>0</v>
      </c>
      <c r="R397" s="22" t="inlineStr">
        <is>
          <t>код</t>
        </is>
      </c>
      <c r="S397" s="26" t="inlineStr">
        <is>
          <t>відкрити</t>
        </is>
      </c>
    </row>
    <row r="398">
      <c r="A398" s="20" t="inlineStr">
        <is>
          <t>В нормі</t>
        </is>
      </c>
      <c r="B398" s="21" t="inlineStr"/>
      <c r="C398" s="22" t="inlineStr">
        <is>
          <t>SR-AR-2</t>
        </is>
      </c>
      <c r="D398" s="21" t="inlineStr">
        <is>
          <t>Ручний аератор Смарт Рейн / Smart Rain (SR-AR-2) Україна</t>
        </is>
      </c>
      <c r="E398" s="23" t="n">
        <v>3450</v>
      </c>
      <c r="F398" s="22" t="inlineStr">
        <is>
          <t>так</t>
        </is>
      </c>
      <c r="G398" s="23" t="n"/>
      <c r="H398" s="22" t="inlineStr"/>
      <c r="I398" s="24" t="n">
        <v>3450</v>
      </c>
      <c r="J398" s="22" t="inlineStr">
        <is>
          <t>так</t>
        </is>
      </c>
      <c r="K398" s="22" t="inlineStr">
        <is>
          <t>Клуб Рослин</t>
        </is>
      </c>
      <c r="L398" s="23" t="n">
        <v>3450</v>
      </c>
      <c r="M398" s="23">
        <f>IF(L398="","",E398-L398)</f>
        <v/>
      </c>
      <c r="N398" s="25">
        <f>IF(OR(L398="",L398=0),"",M398/L398)</f>
        <v/>
      </c>
      <c r="O398" s="23" t="n"/>
      <c r="P398" s="22" t="n">
        <v>0</v>
      </c>
      <c r="Q398" s="22" t="n">
        <v>0</v>
      </c>
      <c r="R398" s="22" t="inlineStr">
        <is>
          <t>модель</t>
        </is>
      </c>
      <c r="S398" s="26" t="inlineStr">
        <is>
          <t>відкрити</t>
        </is>
      </c>
    </row>
    <row r="399">
      <c r="A399" s="20" t="inlineStr">
        <is>
          <t>В нормі</t>
        </is>
      </c>
      <c r="B399" s="21" t="inlineStr"/>
      <c r="C399" s="22" t="inlineStr">
        <is>
          <t>4211-11-6T</t>
        </is>
      </c>
      <c r="D399" s="21" t="inlineStr">
        <is>
          <t>Садова обрізна пила Bahco 4211-11-6T (із загартованими зубами ) 280 мм</t>
        </is>
      </c>
      <c r="E399" s="23" t="n">
        <v>950</v>
      </c>
      <c r="F399" s="22" t="inlineStr">
        <is>
          <t>так</t>
        </is>
      </c>
      <c r="G399" s="24" t="n">
        <v>950</v>
      </c>
      <c r="H399" s="22" t="inlineStr">
        <is>
          <t>так</t>
        </is>
      </c>
      <c r="I399" s="23" t="n">
        <v>950</v>
      </c>
      <c r="J399" s="22" t="inlineStr">
        <is>
          <t>так</t>
        </is>
      </c>
      <c r="K399" s="22" t="inlineStr">
        <is>
          <t>Водоспад</t>
        </is>
      </c>
      <c r="L399" s="23" t="n">
        <v>950</v>
      </c>
      <c r="M399" s="23">
        <f>IF(L399="","",E399-L399)</f>
        <v/>
      </c>
      <c r="N399" s="25">
        <f>IF(OR(L399="",L399=0),"",M399/L399)</f>
        <v/>
      </c>
      <c r="O399" s="23" t="n"/>
      <c r="P399" s="22" t="n">
        <v>0</v>
      </c>
      <c r="Q399" s="22" t="n">
        <v>0</v>
      </c>
      <c r="R399" s="22" t="inlineStr">
        <is>
          <t>код</t>
        </is>
      </c>
      <c r="S399" s="26" t="inlineStr">
        <is>
          <t>відкрити</t>
        </is>
      </c>
    </row>
    <row r="400">
      <c r="A400" s="20" t="inlineStr">
        <is>
          <t>В нормі</t>
        </is>
      </c>
      <c r="B400" s="21" t="inlineStr"/>
      <c r="C400" s="22" t="inlineStr">
        <is>
          <t>4212-11-6T</t>
        </is>
      </c>
      <c r="D400" s="21" t="inlineStr">
        <is>
          <t>Садова обрізна пила Bahco 4212-11-6T (з переточуваними зубами) 280 мм</t>
        </is>
      </c>
      <c r="E400" s="23" t="n">
        <v>890</v>
      </c>
      <c r="F400" s="22" t="inlineStr">
        <is>
          <t>так</t>
        </is>
      </c>
      <c r="G400" s="24" t="n">
        <v>890</v>
      </c>
      <c r="H400" s="22" t="inlineStr">
        <is>
          <t>так</t>
        </is>
      </c>
      <c r="I400" s="23" t="n">
        <v>890</v>
      </c>
      <c r="J400" s="22" t="inlineStr">
        <is>
          <t>так</t>
        </is>
      </c>
      <c r="K400" s="22" t="inlineStr">
        <is>
          <t>Водоспад</t>
        </is>
      </c>
      <c r="L400" s="23" t="n">
        <v>890</v>
      </c>
      <c r="M400" s="23">
        <f>IF(L400="","",E400-L400)</f>
        <v/>
      </c>
      <c r="N400" s="25">
        <f>IF(OR(L400="",L400=0),"",M400/L400)</f>
        <v/>
      </c>
      <c r="O400" s="23" t="n"/>
      <c r="P400" s="22" t="n">
        <v>0</v>
      </c>
      <c r="Q400" s="22" t="n">
        <v>0</v>
      </c>
      <c r="R400" s="22" t="inlineStr">
        <is>
          <t>код</t>
        </is>
      </c>
      <c r="S400" s="26" t="inlineStr">
        <is>
          <t>відкрити</t>
        </is>
      </c>
    </row>
    <row r="401">
      <c r="A401" s="20" t="inlineStr">
        <is>
          <t>В нормі</t>
        </is>
      </c>
      <c r="B401" s="21" t="inlineStr"/>
      <c r="C401" s="22" t="inlineStr">
        <is>
          <t>121-21</t>
        </is>
      </c>
      <c r="D401" s="21" t="inlineStr">
        <is>
          <t>Садова пила складна Silky Gomboy 210-10 (121-21) Японія</t>
        </is>
      </c>
      <c r="E401" s="23" t="n">
        <v>2590</v>
      </c>
      <c r="F401" s="27" t="inlineStr">
        <is>
          <t>ні</t>
        </is>
      </c>
      <c r="G401" s="24" t="n">
        <v>2590</v>
      </c>
      <c r="H401" s="22" t="inlineStr">
        <is>
          <t>так</t>
        </is>
      </c>
      <c r="I401" s="23" t="n"/>
      <c r="J401" s="22" t="inlineStr"/>
      <c r="K401" s="22" t="inlineStr">
        <is>
          <t>Водоспад</t>
        </is>
      </c>
      <c r="L401" s="23" t="n">
        <v>2590</v>
      </c>
      <c r="M401" s="23">
        <f>IF(L401="","",E401-L401)</f>
        <v/>
      </c>
      <c r="N401" s="25">
        <f>IF(OR(L401="",L401=0),"",M401/L401)</f>
        <v/>
      </c>
      <c r="O401" s="23" t="n"/>
      <c r="P401" s="22" t="n">
        <v>0</v>
      </c>
      <c r="Q401" s="22" t="n">
        <v>0</v>
      </c>
      <c r="R401" s="22" t="inlineStr">
        <is>
          <t>код</t>
        </is>
      </c>
      <c r="S401" s="26" t="inlineStr">
        <is>
          <t>відкрити</t>
        </is>
      </c>
    </row>
    <row r="402">
      <c r="A402" s="20" t="inlineStr">
        <is>
          <t>В нормі</t>
        </is>
      </c>
      <c r="B402" s="21" t="inlineStr"/>
      <c r="C402" s="22" t="inlineStr">
        <is>
          <t>121-30</t>
        </is>
      </c>
      <c r="D402" s="21" t="inlineStr">
        <is>
          <t>Садова пила складна Silky Gomboy 300-10 (121-30) Японія</t>
        </is>
      </c>
      <c r="E402" s="23" t="n">
        <v>3590</v>
      </c>
      <c r="F402" s="22" t="inlineStr">
        <is>
          <t>так</t>
        </is>
      </c>
      <c r="G402" s="24" t="n">
        <v>3590</v>
      </c>
      <c r="H402" s="22" t="inlineStr">
        <is>
          <t>так</t>
        </is>
      </c>
      <c r="I402" s="23" t="n"/>
      <c r="J402" s="22" t="inlineStr"/>
      <c r="K402" s="22" t="inlineStr">
        <is>
          <t>Водоспад</t>
        </is>
      </c>
      <c r="L402" s="23" t="n">
        <v>3590</v>
      </c>
      <c r="M402" s="23">
        <f>IF(L402="","",E402-L402)</f>
        <v/>
      </c>
      <c r="N402" s="25">
        <f>IF(OR(L402="",L402=0),"",M402/L402)</f>
        <v/>
      </c>
      <c r="O402" s="23" t="n"/>
      <c r="P402" s="22" t="n">
        <v>0</v>
      </c>
      <c r="Q402" s="22" t="n">
        <v>0</v>
      </c>
      <c r="R402" s="22" t="inlineStr">
        <is>
          <t>код</t>
        </is>
      </c>
      <c r="S402" s="26" t="inlineStr">
        <is>
          <t>відкрити</t>
        </is>
      </c>
    </row>
    <row r="403">
      <c r="A403" s="20" t="inlineStr">
        <is>
          <t>В нормі</t>
        </is>
      </c>
      <c r="B403" s="21" t="inlineStr"/>
      <c r="C403" s="22" t="inlineStr">
        <is>
          <t>717-24</t>
        </is>
      </c>
      <c r="D403" s="21" t="inlineStr">
        <is>
          <t>Садова пила складна Silky Gomboy Curve 240-8 (717-24) Японія</t>
        </is>
      </c>
      <c r="E403" s="23" t="n">
        <v>3000</v>
      </c>
      <c r="F403" s="27" t="inlineStr">
        <is>
          <t>ні</t>
        </is>
      </c>
      <c r="G403" s="24" t="n">
        <v>3000</v>
      </c>
      <c r="H403" s="22" t="inlineStr">
        <is>
          <t>так</t>
        </is>
      </c>
      <c r="I403" s="23" t="n"/>
      <c r="J403" s="22" t="inlineStr"/>
      <c r="K403" s="22" t="inlineStr">
        <is>
          <t>Водоспад</t>
        </is>
      </c>
      <c r="L403" s="23" t="n">
        <v>3000</v>
      </c>
      <c r="M403" s="23">
        <f>IF(L403="","",E403-L403)</f>
        <v/>
      </c>
      <c r="N403" s="25">
        <f>IF(OR(L403="",L403=0),"",M403/L403)</f>
        <v/>
      </c>
      <c r="O403" s="23" t="n"/>
      <c r="P403" s="22" t="n">
        <v>0</v>
      </c>
      <c r="Q403" s="22" t="n">
        <v>0</v>
      </c>
      <c r="R403" s="22" t="inlineStr">
        <is>
          <t>код</t>
        </is>
      </c>
      <c r="S403" s="26" t="inlineStr">
        <is>
          <t>відкрити</t>
        </is>
      </c>
    </row>
    <row r="404">
      <c r="A404" s="20" t="inlineStr">
        <is>
          <t>В нормі</t>
        </is>
      </c>
      <c r="B404" s="21" t="inlineStr"/>
      <c r="C404" s="22" t="inlineStr">
        <is>
          <t>717-27</t>
        </is>
      </c>
      <c r="D404" s="21" t="inlineStr">
        <is>
          <t>Садова пила складна Silky Gomboy Curve 270-8 (717-27) Японія</t>
        </is>
      </c>
      <c r="E404" s="23" t="n">
        <v>3290</v>
      </c>
      <c r="F404" s="27" t="inlineStr">
        <is>
          <t>ні</t>
        </is>
      </c>
      <c r="G404" s="24" t="n">
        <v>3290</v>
      </c>
      <c r="H404" s="22" t="inlineStr">
        <is>
          <t>так</t>
        </is>
      </c>
      <c r="I404" s="23" t="n"/>
      <c r="J404" s="22" t="inlineStr"/>
      <c r="K404" s="22" t="inlineStr">
        <is>
          <t>Водоспад</t>
        </is>
      </c>
      <c r="L404" s="23" t="n">
        <v>3290</v>
      </c>
      <c r="M404" s="23">
        <f>IF(L404="","",E404-L404)</f>
        <v/>
      </c>
      <c r="N404" s="25">
        <f>IF(OR(L404="",L404=0),"",M404/L404)</f>
        <v/>
      </c>
      <c r="O404" s="23" t="n"/>
      <c r="P404" s="22" t="n">
        <v>0</v>
      </c>
      <c r="Q404" s="22" t="n">
        <v>0</v>
      </c>
      <c r="R404" s="22" t="inlineStr">
        <is>
          <t>код</t>
        </is>
      </c>
      <c r="S404" s="26" t="inlineStr">
        <is>
          <t>відкрити</t>
        </is>
      </c>
    </row>
    <row r="405">
      <c r="A405" s="20" t="inlineStr">
        <is>
          <t>В нормі</t>
        </is>
      </c>
      <c r="B405" s="21" t="inlineStr"/>
      <c r="C405" s="22" t="inlineStr">
        <is>
          <t>760-55</t>
        </is>
      </c>
      <c r="D405" s="21" t="inlineStr">
        <is>
          <t>Садова пила складна Silky Katanaboy 550-5 (760-55) Японія</t>
        </is>
      </c>
      <c r="E405" s="23" t="n">
        <v>11990</v>
      </c>
      <c r="F405" s="22" t="inlineStr">
        <is>
          <t>так</t>
        </is>
      </c>
      <c r="G405" s="24" t="n">
        <v>11990</v>
      </c>
      <c r="H405" s="22" t="inlineStr">
        <is>
          <t>так</t>
        </is>
      </c>
      <c r="I405" s="23" t="n"/>
      <c r="J405" s="22" t="inlineStr"/>
      <c r="K405" s="22" t="inlineStr">
        <is>
          <t>Водоспад</t>
        </is>
      </c>
      <c r="L405" s="23" t="n">
        <v>11990</v>
      </c>
      <c r="M405" s="23">
        <f>IF(L405="","",E405-L405)</f>
        <v/>
      </c>
      <c r="N405" s="25">
        <f>IF(OR(L405="",L405=0),"",M405/L405)</f>
        <v/>
      </c>
      <c r="O405" s="23" t="n"/>
      <c r="P405" s="22" t="n">
        <v>0</v>
      </c>
      <c r="Q405" s="22" t="n">
        <v>0</v>
      </c>
      <c r="R405" s="22" t="inlineStr">
        <is>
          <t>код</t>
        </is>
      </c>
      <c r="S405" s="26" t="inlineStr">
        <is>
          <t>відкрити</t>
        </is>
      </c>
    </row>
    <row r="406">
      <c r="A406" s="20" t="inlineStr">
        <is>
          <t>В нормі</t>
        </is>
      </c>
      <c r="B406" s="21" t="inlineStr"/>
      <c r="C406" s="22" t="inlineStr">
        <is>
          <t>710-65</t>
        </is>
      </c>
      <c r="D406" s="21" t="inlineStr">
        <is>
          <t>Садова пила складна Silky Katanaboy 650-4 (710-65) Японія</t>
        </is>
      </c>
      <c r="E406" s="23" t="n">
        <v>13990</v>
      </c>
      <c r="F406" s="27" t="inlineStr">
        <is>
          <t>ні</t>
        </is>
      </c>
      <c r="G406" s="24" t="n">
        <v>13990</v>
      </c>
      <c r="H406" s="27" t="inlineStr">
        <is>
          <t>ні</t>
        </is>
      </c>
      <c r="I406" s="23" t="n"/>
      <c r="J406" s="22" t="inlineStr"/>
      <c r="K406" s="22" t="inlineStr">
        <is>
          <t>Водоспад</t>
        </is>
      </c>
      <c r="L406" s="23" t="n">
        <v>13990</v>
      </c>
      <c r="M406" s="23">
        <f>IF(L406="","",E406-L406)</f>
        <v/>
      </c>
      <c r="N406" s="25">
        <f>IF(OR(L406="",L406=0),"",M406/L406)</f>
        <v/>
      </c>
      <c r="O406" s="23" t="n"/>
      <c r="P406" s="22" t="n">
        <v>0</v>
      </c>
      <c r="Q406" s="22" t="n">
        <v>0</v>
      </c>
      <c r="R406" s="22" t="inlineStr">
        <is>
          <t>код</t>
        </is>
      </c>
      <c r="S406" s="26" t="inlineStr">
        <is>
          <t>відкрити</t>
        </is>
      </c>
    </row>
    <row r="407">
      <c r="A407" s="20" t="inlineStr">
        <is>
          <t>В нормі</t>
        </is>
      </c>
      <c r="B407" s="21" t="inlineStr"/>
      <c r="C407" s="22" t="inlineStr">
        <is>
          <t>143-18</t>
        </is>
      </c>
      <c r="D407" s="21" t="inlineStr">
        <is>
          <t>Садова складна пилка Silky F-180-7,5 (143-18) Японія</t>
        </is>
      </c>
      <c r="E407" s="23" t="n">
        <v>1490</v>
      </c>
      <c r="F407" s="22" t="inlineStr">
        <is>
          <t>так</t>
        </is>
      </c>
      <c r="G407" s="24" t="n">
        <v>1490</v>
      </c>
      <c r="H407" s="22" t="inlineStr">
        <is>
          <t>так</t>
        </is>
      </c>
      <c r="I407" s="23" t="n"/>
      <c r="J407" s="22" t="inlineStr"/>
      <c r="K407" s="22" t="inlineStr">
        <is>
          <t>Водоспад</t>
        </is>
      </c>
      <c r="L407" s="23" t="n">
        <v>1490</v>
      </c>
      <c r="M407" s="23">
        <f>IF(L407="","",E407-L407)</f>
        <v/>
      </c>
      <c r="N407" s="25">
        <f>IF(OR(L407="",L407=0),"",M407/L407)</f>
        <v/>
      </c>
      <c r="O407" s="23" t="n"/>
      <c r="P407" s="22" t="n">
        <v>0</v>
      </c>
      <c r="Q407" s="22" t="n">
        <v>0</v>
      </c>
      <c r="R407" s="22" t="inlineStr">
        <is>
          <t>код</t>
        </is>
      </c>
      <c r="S407" s="26" t="inlineStr">
        <is>
          <t>відкрити</t>
        </is>
      </c>
    </row>
    <row r="408">
      <c r="A408" s="20" t="inlineStr">
        <is>
          <t>В нормі</t>
        </is>
      </c>
      <c r="B408" s="21" t="inlineStr"/>
      <c r="C408" s="22" t="inlineStr">
        <is>
          <t>5771/R</t>
        </is>
      </c>
      <c r="D408" s="21" t="inlineStr">
        <is>
          <t>Садовий ніж для щеплення Антоніні / Antonini 17 см сталь - AISI 420 (5771/R) Італія</t>
        </is>
      </c>
      <c r="E408" s="23" t="n">
        <v>490</v>
      </c>
      <c r="F408" s="22" t="inlineStr">
        <is>
          <t>так</t>
        </is>
      </c>
      <c r="G408" s="24" t="n">
        <v>490</v>
      </c>
      <c r="H408" s="22" t="inlineStr">
        <is>
          <t>так</t>
        </is>
      </c>
      <c r="I408" s="23" t="n"/>
      <c r="J408" s="22" t="inlineStr"/>
      <c r="K408" s="22" t="inlineStr">
        <is>
          <t>Водоспад</t>
        </is>
      </c>
      <c r="L408" s="23" t="n">
        <v>490</v>
      </c>
      <c r="M408" s="23">
        <f>IF(L408="","",E408-L408)</f>
        <v/>
      </c>
      <c r="N408" s="25">
        <f>IF(OR(L408="",L408=0),"",M408/L408)</f>
        <v/>
      </c>
      <c r="O408" s="23" t="n"/>
      <c r="P408" s="22" t="n">
        <v>0</v>
      </c>
      <c r="Q408" s="22" t="n">
        <v>0</v>
      </c>
      <c r="R408" s="22" t="inlineStr">
        <is>
          <t>код</t>
        </is>
      </c>
      <c r="S408" s="26" t="inlineStr">
        <is>
          <t>відкрити</t>
        </is>
      </c>
    </row>
    <row r="409">
      <c r="A409" s="20" t="inlineStr">
        <is>
          <t>В нормі</t>
        </is>
      </c>
      <c r="B409" s="21" t="inlineStr"/>
      <c r="C409" s="22" t="inlineStr">
        <is>
          <t>5776/N</t>
        </is>
      </c>
      <c r="D409" s="21" t="inlineStr">
        <is>
          <t>Садовий ніж для щеплення Антоніні / Antonini 17 см сталь - C67 (5776/N) Італія</t>
        </is>
      </c>
      <c r="E409" s="23" t="n">
        <v>550</v>
      </c>
      <c r="F409" s="27" t="inlineStr">
        <is>
          <t>ні</t>
        </is>
      </c>
      <c r="G409" s="24" t="n">
        <v>550</v>
      </c>
      <c r="H409" s="22" t="inlineStr">
        <is>
          <t>так</t>
        </is>
      </c>
      <c r="I409" s="23" t="n"/>
      <c r="J409" s="22" t="inlineStr"/>
      <c r="K409" s="22" t="inlineStr">
        <is>
          <t>Водоспад</t>
        </is>
      </c>
      <c r="L409" s="23" t="n">
        <v>550</v>
      </c>
      <c r="M409" s="23">
        <f>IF(L409="","",E409-L409)</f>
        <v/>
      </c>
      <c r="N409" s="25">
        <f>IF(OR(L409="",L409=0),"",M409/L409)</f>
        <v/>
      </c>
      <c r="O409" s="23" t="n"/>
      <c r="P409" s="22" t="n">
        <v>0</v>
      </c>
      <c r="Q409" s="22" t="n">
        <v>0</v>
      </c>
      <c r="R409" s="22" t="inlineStr">
        <is>
          <t>код</t>
        </is>
      </c>
      <c r="S409" s="26" t="inlineStr">
        <is>
          <t>відкрити</t>
        </is>
      </c>
    </row>
    <row r="410">
      <c r="A410" s="20" t="inlineStr">
        <is>
          <t>В нормі</t>
        </is>
      </c>
      <c r="B410" s="21" t="inlineStr"/>
      <c r="C410" s="22" t="inlineStr">
        <is>
          <t>11.107</t>
        </is>
      </c>
      <c r="D410" s="21" t="inlineStr">
        <is>
          <t>Садовий секатор LOWE Original 11.107 Німеччина</t>
        </is>
      </c>
      <c r="E410" s="23" t="n">
        <v>2490</v>
      </c>
      <c r="F410" s="22" t="inlineStr">
        <is>
          <t>так</t>
        </is>
      </c>
      <c r="G410" s="24" t="n">
        <v>2490</v>
      </c>
      <c r="H410" s="22" t="inlineStr">
        <is>
          <t>так</t>
        </is>
      </c>
      <c r="I410" s="23" t="n"/>
      <c r="J410" s="22" t="inlineStr"/>
      <c r="K410" s="22" t="inlineStr">
        <is>
          <t>Водоспад</t>
        </is>
      </c>
      <c r="L410" s="23" t="n">
        <v>2490</v>
      </c>
      <c r="M410" s="23">
        <f>IF(L410="","",E410-L410)</f>
        <v/>
      </c>
      <c r="N410" s="25">
        <f>IF(OR(L410="",L410=0),"",M410/L410)</f>
        <v/>
      </c>
      <c r="O410" s="23" t="n"/>
      <c r="P410" s="22" t="n">
        <v>0</v>
      </c>
      <c r="Q410" s="22" t="n">
        <v>0</v>
      </c>
      <c r="R410" s="22" t="inlineStr">
        <is>
          <t>схожа назва</t>
        </is>
      </c>
      <c r="S410" s="26" t="inlineStr">
        <is>
          <t>відкрити</t>
        </is>
      </c>
    </row>
    <row r="411">
      <c r="A411" s="20" t="inlineStr">
        <is>
          <t>В нормі</t>
        </is>
      </c>
      <c r="B411" s="21" t="inlineStr"/>
      <c r="C411" s="22" t="inlineStr">
        <is>
          <t>KST103</t>
        </is>
      </c>
      <c r="D411" s="21" t="inlineStr">
        <is>
          <t>Садовий секатор Okatsune KST103 Японія</t>
        </is>
      </c>
      <c r="E411" s="23" t="n">
        <v>2695</v>
      </c>
      <c r="F411" s="22" t="inlineStr">
        <is>
          <t>так</t>
        </is>
      </c>
      <c r="G411" s="24" t="n">
        <v>2695</v>
      </c>
      <c r="H411" s="22" t="inlineStr">
        <is>
          <t>так</t>
        </is>
      </c>
      <c r="I411" s="23" t="n">
        <v>2695</v>
      </c>
      <c r="J411" s="22" t="inlineStr">
        <is>
          <t>так</t>
        </is>
      </c>
      <c r="K411" s="22" t="inlineStr">
        <is>
          <t>Водоспад</t>
        </is>
      </c>
      <c r="L411" s="23" t="n">
        <v>2695</v>
      </c>
      <c r="M411" s="23">
        <f>IF(L411="","",E411-L411)</f>
        <v/>
      </c>
      <c r="N411" s="25">
        <f>IF(OR(L411="",L411=0),"",M411/L411)</f>
        <v/>
      </c>
      <c r="O411" s="23" t="n"/>
      <c r="P411" s="22" t="n">
        <v>0</v>
      </c>
      <c r="Q411" s="22" t="n">
        <v>0</v>
      </c>
      <c r="R411" s="22" t="inlineStr">
        <is>
          <t>код</t>
        </is>
      </c>
      <c r="S411" s="26" t="inlineStr">
        <is>
          <t>відкрити</t>
        </is>
      </c>
    </row>
    <row r="412">
      <c r="A412" s="20" t="inlineStr">
        <is>
          <t>В нормі</t>
        </is>
      </c>
      <c r="B412" s="21" t="inlineStr">
        <is>
          <t>Немає в наявності в жодного постачальника</t>
        </is>
      </c>
      <c r="C412" s="22" t="inlineStr">
        <is>
          <t>1000694</t>
        </is>
      </c>
      <c r="D412" s="21" t="inlineStr">
        <is>
          <t>Садовий совок Фіскарс Fiskars Solid 137000 (1000694) Фінляндія</t>
        </is>
      </c>
      <c r="E412" s="23" t="n">
        <v>249</v>
      </c>
      <c r="F412" s="22" t="inlineStr">
        <is>
          <t>так</t>
        </is>
      </c>
      <c r="G412" s="24" t="n">
        <v>249</v>
      </c>
      <c r="H412" s="27" t="inlineStr">
        <is>
          <t>ні</t>
        </is>
      </c>
      <c r="I412" s="23" t="n">
        <v>696</v>
      </c>
      <c r="J412" s="27" t="inlineStr">
        <is>
          <t>ні</t>
        </is>
      </c>
      <c r="K412" s="22" t="inlineStr">
        <is>
          <t>Водоспад</t>
        </is>
      </c>
      <c r="L412" s="23" t="n">
        <v>249</v>
      </c>
      <c r="M412" s="23">
        <f>IF(L412="","",E412-L412)</f>
        <v/>
      </c>
      <c r="N412" s="25">
        <f>IF(OR(L412="",L412=0),"",M412/L412)</f>
        <v/>
      </c>
      <c r="O412" s="23" t="n"/>
      <c r="P412" s="22" t="n">
        <v>0</v>
      </c>
      <c r="Q412" s="22" t="n">
        <v>0</v>
      </c>
      <c r="R412" s="22" t="inlineStr">
        <is>
          <t>код</t>
        </is>
      </c>
      <c r="S412" s="26" t="inlineStr">
        <is>
          <t>відкрити</t>
        </is>
      </c>
    </row>
    <row r="413">
      <c r="A413" s="20" t="inlineStr">
        <is>
          <t>В нормі</t>
        </is>
      </c>
      <c r="B413" s="21" t="inlineStr"/>
      <c r="C413" s="22" t="inlineStr">
        <is>
          <t>KST307</t>
        </is>
      </c>
      <c r="D413" s="21" t="inlineStr">
        <is>
          <t>Садові ножиці Okatsune (KST307) Японія</t>
        </is>
      </c>
      <c r="E413" s="23" t="n">
        <v>850</v>
      </c>
      <c r="F413" s="22" t="inlineStr">
        <is>
          <t>так</t>
        </is>
      </c>
      <c r="G413" s="24" t="n">
        <v>850</v>
      </c>
      <c r="H413" s="22" t="inlineStr">
        <is>
          <t>так</t>
        </is>
      </c>
      <c r="I413" s="23" t="n">
        <v>850</v>
      </c>
      <c r="J413" s="22" t="inlineStr">
        <is>
          <t>так</t>
        </is>
      </c>
      <c r="K413" s="22" t="inlineStr">
        <is>
          <t>Водоспад</t>
        </is>
      </c>
      <c r="L413" s="23" t="n">
        <v>850</v>
      </c>
      <c r="M413" s="23">
        <f>IF(L413="","",E413-L413)</f>
        <v/>
      </c>
      <c r="N413" s="25">
        <f>IF(OR(L413="",L413=0),"",M413/L413)</f>
        <v/>
      </c>
      <c r="O413" s="23" t="n"/>
      <c r="P413" s="22" t="n">
        <v>0</v>
      </c>
      <c r="Q413" s="22" t="n">
        <v>0</v>
      </c>
      <c r="R413" s="22" t="inlineStr">
        <is>
          <t>код</t>
        </is>
      </c>
      <c r="S413" s="26" t="inlineStr">
        <is>
          <t>відкрити</t>
        </is>
      </c>
    </row>
    <row r="414">
      <c r="A414" s="20" t="inlineStr">
        <is>
          <t>В нормі</t>
        </is>
      </c>
      <c r="B414" s="21" t="inlineStr"/>
      <c r="C414" s="22" t="inlineStr">
        <is>
          <t>KST304</t>
        </is>
      </c>
      <c r="D414" s="21" t="inlineStr">
        <is>
          <t>Садові ножиці Окатсуне / Okatsune (KST304) Японія</t>
        </is>
      </c>
      <c r="E414" s="23" t="n">
        <v>850</v>
      </c>
      <c r="F414" s="22" t="inlineStr">
        <is>
          <t>так</t>
        </is>
      </c>
      <c r="G414" s="24" t="n">
        <v>850</v>
      </c>
      <c r="H414" s="22" t="inlineStr">
        <is>
          <t>так</t>
        </is>
      </c>
      <c r="I414" s="23" t="n">
        <v>850</v>
      </c>
      <c r="J414" s="22" t="inlineStr">
        <is>
          <t>так</t>
        </is>
      </c>
      <c r="K414" s="22" t="inlineStr">
        <is>
          <t>Водоспад</t>
        </is>
      </c>
      <c r="L414" s="23" t="n">
        <v>850</v>
      </c>
      <c r="M414" s="23">
        <f>IF(L414="","",E414-L414)</f>
        <v/>
      </c>
      <c r="N414" s="25">
        <f>IF(OR(L414="",L414=0),"",M414/L414)</f>
        <v/>
      </c>
      <c r="O414" s="23" t="n"/>
      <c r="P414" s="22" t="n">
        <v>0</v>
      </c>
      <c r="Q414" s="22" t="n">
        <v>0</v>
      </c>
      <c r="R414" s="22" t="inlineStr">
        <is>
          <t>код</t>
        </is>
      </c>
      <c r="S414" s="26" t="inlineStr">
        <is>
          <t>відкрити</t>
        </is>
      </c>
    </row>
    <row r="415">
      <c r="A415" s="20" t="inlineStr">
        <is>
          <t>В нормі</t>
        </is>
      </c>
      <c r="B415" s="21" t="inlineStr"/>
      <c r="C415" s="22" t="inlineStr">
        <is>
          <t>KST306</t>
        </is>
      </c>
      <c r="D415" s="21" t="inlineStr">
        <is>
          <t>Садові ножиці Окатсуне / Okatsune (KST306) Японія</t>
        </is>
      </c>
      <c r="E415" s="23" t="n">
        <v>850</v>
      </c>
      <c r="F415" s="22" t="inlineStr">
        <is>
          <t>так</t>
        </is>
      </c>
      <c r="G415" s="24" t="n">
        <v>850</v>
      </c>
      <c r="H415" s="22" t="inlineStr">
        <is>
          <t>так</t>
        </is>
      </c>
      <c r="I415" s="23" t="n">
        <v>850</v>
      </c>
      <c r="J415" s="22" t="inlineStr">
        <is>
          <t>так</t>
        </is>
      </c>
      <c r="K415" s="22" t="inlineStr">
        <is>
          <t>Водоспад</t>
        </is>
      </c>
      <c r="L415" s="23" t="n">
        <v>850</v>
      </c>
      <c r="M415" s="23">
        <f>IF(L415="","",E415-L415)</f>
        <v/>
      </c>
      <c r="N415" s="25">
        <f>IF(OR(L415="",L415=0),"",M415/L415)</f>
        <v/>
      </c>
      <c r="O415" s="23" t="n"/>
      <c r="P415" s="22" t="n">
        <v>0</v>
      </c>
      <c r="Q415" s="22" t="n">
        <v>0</v>
      </c>
      <c r="R415" s="22" t="inlineStr">
        <is>
          <t>код</t>
        </is>
      </c>
      <c r="S415" s="26" t="inlineStr">
        <is>
          <t>відкрити</t>
        </is>
      </c>
    </row>
    <row r="416">
      <c r="A416" s="20" t="inlineStr">
        <is>
          <t>В нормі</t>
        </is>
      </c>
      <c r="B416" s="21" t="inlineStr"/>
      <c r="C416" s="22" t="inlineStr">
        <is>
          <t>5356</t>
        </is>
      </c>
      <c r="D416" s="21" t="inlineStr">
        <is>
          <t>Садові ножиці для кущів Окатсуне / Okatsune (KST 204) Японія</t>
        </is>
      </c>
      <c r="E416" s="23" t="n">
        <v>4220</v>
      </c>
      <c r="F416" s="27" t="inlineStr">
        <is>
          <t>ні</t>
        </is>
      </c>
      <c r="G416" s="24" t="n">
        <v>4220</v>
      </c>
      <c r="H416" s="22" t="inlineStr">
        <is>
          <t>так</t>
        </is>
      </c>
      <c r="I416" s="23" t="n">
        <v>4220</v>
      </c>
      <c r="J416" s="22" t="inlineStr">
        <is>
          <t>так</t>
        </is>
      </c>
      <c r="K416" s="22" t="inlineStr">
        <is>
          <t>Водоспад</t>
        </is>
      </c>
      <c r="L416" s="23" t="n">
        <v>4220</v>
      </c>
      <c r="M416" s="23">
        <f>IF(L416="","",E416-L416)</f>
        <v/>
      </c>
      <c r="N416" s="25">
        <f>IF(OR(L416="",L416=0),"",M416/L416)</f>
        <v/>
      </c>
      <c r="O416" s="23" t="n"/>
      <c r="P416" s="22" t="n">
        <v>0</v>
      </c>
      <c r="Q416" s="22" t="n">
        <v>0</v>
      </c>
      <c r="R416" s="22" t="inlineStr">
        <is>
          <t>код</t>
        </is>
      </c>
    </row>
    <row r="417">
      <c r="A417" s="20" t="inlineStr">
        <is>
          <t>В нормі</t>
        </is>
      </c>
      <c r="B417" s="21" t="inlineStr"/>
      <c r="C417" s="22" t="inlineStr">
        <is>
          <t>KST 204</t>
        </is>
      </c>
      <c r="D417" s="21" t="inlineStr">
        <is>
          <t>Садові ножиці для кущів Окатсуне / Okatsune (KST 204) Японія</t>
        </is>
      </c>
      <c r="E417" s="23" t="n">
        <v>4220</v>
      </c>
      <c r="F417" s="27" t="inlineStr">
        <is>
          <t>ні</t>
        </is>
      </c>
      <c r="G417" s="24" t="n">
        <v>4220</v>
      </c>
      <c r="H417" s="22" t="inlineStr">
        <is>
          <t>так</t>
        </is>
      </c>
      <c r="I417" s="23" t="n">
        <v>4220</v>
      </c>
      <c r="J417" s="22" t="inlineStr">
        <is>
          <t>так</t>
        </is>
      </c>
      <c r="K417" s="22" t="inlineStr">
        <is>
          <t>Водоспад</t>
        </is>
      </c>
      <c r="L417" s="23" t="n">
        <v>4220</v>
      </c>
      <c r="M417" s="23">
        <f>IF(L417="","",E417-L417)</f>
        <v/>
      </c>
      <c r="N417" s="25">
        <f>IF(OR(L417="",L417=0),"",M417/L417)</f>
        <v/>
      </c>
      <c r="O417" s="23" t="n"/>
      <c r="P417" s="22" t="n">
        <v>0</v>
      </c>
      <c r="Q417" s="22" t="n">
        <v>0</v>
      </c>
      <c r="R417" s="22" t="inlineStr">
        <is>
          <t>код</t>
        </is>
      </c>
      <c r="S417" s="26" t="inlineStr">
        <is>
          <t>відкрити</t>
        </is>
      </c>
    </row>
    <row r="418">
      <c r="A418" s="20" t="inlineStr">
        <is>
          <t>В нормі</t>
        </is>
      </c>
      <c r="B418" s="21" t="inlineStr"/>
      <c r="C418" s="22" t="inlineStr">
        <is>
          <t>KST204</t>
        </is>
      </c>
      <c r="D418" s="21" t="inlineStr">
        <is>
          <t>Садові ножиці для кущів Окатсуне / Okatsune (KST204) Японія</t>
        </is>
      </c>
      <c r="E418" s="23" t="n">
        <v>4220</v>
      </c>
      <c r="F418" s="27" t="inlineStr">
        <is>
          <t>ні</t>
        </is>
      </c>
      <c r="G418" s="24" t="n">
        <v>4220</v>
      </c>
      <c r="H418" s="22" t="inlineStr">
        <is>
          <t>так</t>
        </is>
      </c>
      <c r="I418" s="23" t="n">
        <v>4220</v>
      </c>
      <c r="J418" s="22" t="inlineStr">
        <is>
          <t>так</t>
        </is>
      </c>
      <c r="K418" s="22" t="inlineStr">
        <is>
          <t>Водоспад</t>
        </is>
      </c>
      <c r="L418" s="23" t="n">
        <v>4220</v>
      </c>
      <c r="M418" s="23">
        <f>IF(L418="","",E418-L418)</f>
        <v/>
      </c>
      <c r="N418" s="25">
        <f>IF(OR(L418="",L418=0),"",M418/L418)</f>
        <v/>
      </c>
      <c r="O418" s="23" t="n"/>
      <c r="P418" s="22" t="n">
        <v>0</v>
      </c>
      <c r="Q418" s="22" t="n">
        <v>0</v>
      </c>
      <c r="R418" s="22" t="inlineStr">
        <is>
          <t>код</t>
        </is>
      </c>
      <c r="S418" s="26" t="inlineStr">
        <is>
          <t>відкрити</t>
        </is>
      </c>
    </row>
    <row r="419">
      <c r="A419" s="20" t="inlineStr">
        <is>
          <t>В нормі</t>
        </is>
      </c>
      <c r="B419" s="21" t="inlineStr"/>
      <c r="C419" s="22" t="inlineStr">
        <is>
          <t>KST205-K</t>
        </is>
      </c>
      <c r="D419" s="21" t="inlineStr">
        <is>
          <t>Садові ножиці для кущів Окатсуне / Okatsune (KST205-K) Японія</t>
        </is>
      </c>
      <c r="E419" s="23" t="n">
        <v>5550</v>
      </c>
      <c r="F419" s="22" t="inlineStr">
        <is>
          <t>так</t>
        </is>
      </c>
      <c r="G419" s="24" t="n">
        <v>5550</v>
      </c>
      <c r="H419" s="22" t="inlineStr">
        <is>
          <t>так</t>
        </is>
      </c>
      <c r="I419" s="23" t="n">
        <v>5550</v>
      </c>
      <c r="J419" s="22" t="inlineStr">
        <is>
          <t>так</t>
        </is>
      </c>
      <c r="K419" s="22" t="inlineStr">
        <is>
          <t>Водоспад</t>
        </is>
      </c>
      <c r="L419" s="23" t="n">
        <v>5550</v>
      </c>
      <c r="M419" s="23">
        <f>IF(L419="","",E419-L419)</f>
        <v/>
      </c>
      <c r="N419" s="25">
        <f>IF(OR(L419="",L419=0),"",M419/L419)</f>
        <v/>
      </c>
      <c r="O419" s="23" t="n"/>
      <c r="P419" s="22" t="n">
        <v>0</v>
      </c>
      <c r="Q419" s="22" t="n">
        <v>0</v>
      </c>
      <c r="R419" s="22" t="inlineStr">
        <is>
          <t>код</t>
        </is>
      </c>
      <c r="S419" s="26" t="inlineStr">
        <is>
          <t>відкрити</t>
        </is>
      </c>
    </row>
    <row r="420">
      <c r="A420" s="20" t="inlineStr">
        <is>
          <t>В нормі</t>
        </is>
      </c>
      <c r="B420" s="21" t="inlineStr"/>
      <c r="C420" s="22" t="inlineStr">
        <is>
          <t>KST214</t>
        </is>
      </c>
      <c r="D420" s="21" t="inlineStr">
        <is>
          <t>Садові ножиці для кущів Окатсуне / Okatsune (KST214) Японія</t>
        </is>
      </c>
      <c r="E420" s="23" t="n">
        <v>5190</v>
      </c>
      <c r="F420" s="27" t="inlineStr">
        <is>
          <t>ні</t>
        </is>
      </c>
      <c r="G420" s="24" t="n">
        <v>5190</v>
      </c>
      <c r="H420" s="22" t="inlineStr">
        <is>
          <t>так</t>
        </is>
      </c>
      <c r="I420" s="23" t="n">
        <v>5190</v>
      </c>
      <c r="J420" s="22" t="inlineStr">
        <is>
          <t>так</t>
        </is>
      </c>
      <c r="K420" s="22" t="inlineStr">
        <is>
          <t>Водоспад</t>
        </is>
      </c>
      <c r="L420" s="23" t="n">
        <v>5190</v>
      </c>
      <c r="M420" s="23">
        <f>IF(L420="","",E420-L420)</f>
        <v/>
      </c>
      <c r="N420" s="25">
        <f>IF(OR(L420="",L420=0),"",M420/L420)</f>
        <v/>
      </c>
      <c r="O420" s="23" t="n"/>
      <c r="P420" s="22" t="n">
        <v>0</v>
      </c>
      <c r="Q420" s="22" t="n">
        <v>0</v>
      </c>
      <c r="R420" s="22" t="inlineStr">
        <is>
          <t>код</t>
        </is>
      </c>
      <c r="S420" s="26" t="inlineStr">
        <is>
          <t>відкрити</t>
        </is>
      </c>
    </row>
    <row r="421">
      <c r="A421" s="20" t="inlineStr">
        <is>
          <t>В нормі</t>
        </is>
      </c>
      <c r="B421" s="21" t="inlineStr"/>
      <c r="C421" s="22" t="inlineStr">
        <is>
          <t>KST216</t>
        </is>
      </c>
      <c r="D421" s="21" t="inlineStr">
        <is>
          <t>Садові ножиці для кущів Окатсуне / Okatsune (KST216) Японія</t>
        </is>
      </c>
      <c r="E421" s="23" t="n">
        <v>4490</v>
      </c>
      <c r="F421" s="27" t="inlineStr">
        <is>
          <t>ні</t>
        </is>
      </c>
      <c r="G421" s="24" t="n">
        <v>4490</v>
      </c>
      <c r="H421" s="22" t="inlineStr">
        <is>
          <t>так</t>
        </is>
      </c>
      <c r="I421" s="23" t="n">
        <v>4490</v>
      </c>
      <c r="J421" s="22" t="inlineStr">
        <is>
          <t>так</t>
        </is>
      </c>
      <c r="K421" s="22" t="inlineStr">
        <is>
          <t>Водоспад</t>
        </is>
      </c>
      <c r="L421" s="23" t="n">
        <v>4490</v>
      </c>
      <c r="M421" s="23">
        <f>IF(L421="","",E421-L421)</f>
        <v/>
      </c>
      <c r="N421" s="25">
        <f>IF(OR(L421="",L421=0),"",M421/L421)</f>
        <v/>
      </c>
      <c r="O421" s="23" t="n"/>
      <c r="P421" s="22" t="n">
        <v>0</v>
      </c>
      <c r="Q421" s="22" t="n">
        <v>0</v>
      </c>
      <c r="R421" s="22" t="inlineStr">
        <is>
          <t>код</t>
        </is>
      </c>
      <c r="S421" s="26" t="inlineStr">
        <is>
          <t>відкрити</t>
        </is>
      </c>
    </row>
    <row r="422">
      <c r="A422" s="20" t="inlineStr">
        <is>
          <t>В нормі</t>
        </is>
      </c>
      <c r="B422" s="21" t="inlineStr"/>
      <c r="C422" s="22" t="inlineStr">
        <is>
          <t>KST217</t>
        </is>
      </c>
      <c r="D422" s="21" t="inlineStr">
        <is>
          <t>Садові ножиці для кущів Окатсуне / Okatsune (KST217) Японія</t>
        </is>
      </c>
      <c r="E422" s="23" t="n">
        <v>4790</v>
      </c>
      <c r="F422" s="22" t="inlineStr">
        <is>
          <t>так</t>
        </is>
      </c>
      <c r="G422" s="24" t="n">
        <v>4790</v>
      </c>
      <c r="H422" s="22" t="inlineStr">
        <is>
          <t>так</t>
        </is>
      </c>
      <c r="I422" s="23" t="n">
        <v>4790</v>
      </c>
      <c r="J422" s="22" t="inlineStr">
        <is>
          <t>так</t>
        </is>
      </c>
      <c r="K422" s="22" t="inlineStr">
        <is>
          <t>Водоспад</t>
        </is>
      </c>
      <c r="L422" s="23" t="n">
        <v>4790</v>
      </c>
      <c r="M422" s="23">
        <f>IF(L422="","",E422-L422)</f>
        <v/>
      </c>
      <c r="N422" s="25">
        <f>IF(OR(L422="",L422=0),"",M422/L422)</f>
        <v/>
      </c>
      <c r="O422" s="23" t="n"/>
      <c r="P422" s="22" t="n">
        <v>0</v>
      </c>
      <c r="Q422" s="22" t="n">
        <v>0</v>
      </c>
      <c r="R422" s="22" t="inlineStr">
        <is>
          <t>код</t>
        </is>
      </c>
      <c r="S422" s="26" t="inlineStr">
        <is>
          <t>відкрити</t>
        </is>
      </c>
    </row>
    <row r="423">
      <c r="A423" s="20" t="inlineStr">
        <is>
          <t>В нормі</t>
        </is>
      </c>
      <c r="B423" s="21" t="inlineStr"/>
      <c r="C423" s="22" t="inlineStr">
        <is>
          <t>KST230</t>
        </is>
      </c>
      <c r="D423" s="21" t="inlineStr">
        <is>
          <t>Садові ножиці для кущів Окатсуне / Okatsune (KST230) Японія</t>
        </is>
      </c>
      <c r="E423" s="23" t="n">
        <v>5990</v>
      </c>
      <c r="F423" s="27" t="inlineStr">
        <is>
          <t>ні</t>
        </is>
      </c>
      <c r="G423" s="24" t="n">
        <v>5990</v>
      </c>
      <c r="H423" s="22" t="inlineStr">
        <is>
          <t>так</t>
        </is>
      </c>
      <c r="I423" s="23" t="n">
        <v>5990</v>
      </c>
      <c r="J423" s="22" t="inlineStr">
        <is>
          <t>так</t>
        </is>
      </c>
      <c r="K423" s="22" t="inlineStr">
        <is>
          <t>Водоспад</t>
        </is>
      </c>
      <c r="L423" s="23" t="n">
        <v>5990</v>
      </c>
      <c r="M423" s="23">
        <f>IF(L423="","",E423-L423)</f>
        <v/>
      </c>
      <c r="N423" s="25">
        <f>IF(OR(L423="",L423=0),"",M423/L423)</f>
        <v/>
      </c>
      <c r="O423" s="23" t="n"/>
      <c r="P423" s="22" t="n">
        <v>0</v>
      </c>
      <c r="Q423" s="22" t="n">
        <v>0</v>
      </c>
      <c r="R423" s="22" t="inlineStr">
        <is>
          <t>код</t>
        </is>
      </c>
      <c r="S423" s="26" t="inlineStr">
        <is>
          <t>відкрити</t>
        </is>
      </c>
    </row>
    <row r="424">
      <c r="A424" s="20" t="inlineStr">
        <is>
          <t>В нормі</t>
        </is>
      </c>
      <c r="B424" s="21" t="inlineStr"/>
      <c r="C424" s="22" t="inlineStr">
        <is>
          <t>KST231</t>
        </is>
      </c>
      <c r="D424" s="21" t="inlineStr">
        <is>
          <t>Садові ножиці для кущів Окатсуне / Okatsune (KST231) Японія</t>
        </is>
      </c>
      <c r="E424" s="23" t="n">
        <v>5390</v>
      </c>
      <c r="F424" s="22" t="inlineStr">
        <is>
          <t>так</t>
        </is>
      </c>
      <c r="G424" s="24" t="n">
        <v>5390</v>
      </c>
      <c r="H424" s="22" t="inlineStr">
        <is>
          <t>так</t>
        </is>
      </c>
      <c r="I424" s="23" t="n">
        <v>5390</v>
      </c>
      <c r="J424" s="22" t="inlineStr">
        <is>
          <t>так</t>
        </is>
      </c>
      <c r="K424" s="22" t="inlineStr">
        <is>
          <t>Водоспад</t>
        </is>
      </c>
      <c r="L424" s="23" t="n">
        <v>5390</v>
      </c>
      <c r="M424" s="23">
        <f>IF(L424="","",E424-L424)</f>
        <v/>
      </c>
      <c r="N424" s="25">
        <f>IF(OR(L424="",L424=0),"",M424/L424)</f>
        <v/>
      </c>
      <c r="O424" s="23" t="n"/>
      <c r="P424" s="22" t="n">
        <v>0</v>
      </c>
      <c r="Q424" s="22" t="n">
        <v>0</v>
      </c>
      <c r="R424" s="22" t="inlineStr">
        <is>
          <t>код</t>
        </is>
      </c>
      <c r="S424" s="26" t="inlineStr">
        <is>
          <t>відкрити</t>
        </is>
      </c>
    </row>
    <row r="425">
      <c r="A425" s="20" t="inlineStr">
        <is>
          <t>В нормі</t>
        </is>
      </c>
      <c r="B425" s="21" t="inlineStr"/>
      <c r="C425" s="22" t="inlineStr">
        <is>
          <t>3081.B</t>
        </is>
      </c>
      <c r="D425" s="21" t="inlineStr">
        <is>
          <t>Сапка прямокутна без держака 153 мм Bellota (3081.B) Іспанія</t>
        </is>
      </c>
      <c r="E425" s="23" t="n">
        <v>499</v>
      </c>
      <c r="F425" s="22" t="inlineStr">
        <is>
          <t>так</t>
        </is>
      </c>
      <c r="G425" s="24" t="n">
        <v>499</v>
      </c>
      <c r="H425" s="22" t="inlineStr">
        <is>
          <t>так</t>
        </is>
      </c>
      <c r="I425" s="23" t="n"/>
      <c r="J425" s="22" t="inlineStr"/>
      <c r="K425" s="22" t="inlineStr">
        <is>
          <t>Водоспад</t>
        </is>
      </c>
      <c r="L425" s="23" t="n">
        <v>499</v>
      </c>
      <c r="M425" s="23">
        <f>IF(L425="","",E425-L425)</f>
        <v/>
      </c>
      <c r="N425" s="25">
        <f>IF(OR(L425="",L425=0),"",M425/L425)</f>
        <v/>
      </c>
      <c r="O425" s="23" t="n"/>
      <c r="P425" s="22" t="n">
        <v>0</v>
      </c>
      <c r="Q425" s="22" t="n">
        <v>0</v>
      </c>
      <c r="R425" s="22" t="inlineStr">
        <is>
          <t>схожа назва</t>
        </is>
      </c>
      <c r="S425" s="26" t="inlineStr">
        <is>
          <t>відкрити</t>
        </is>
      </c>
    </row>
    <row r="426">
      <c r="A426" s="20" t="inlineStr">
        <is>
          <t>В нормі</t>
        </is>
      </c>
      <c r="B426" s="21" t="inlineStr"/>
      <c r="C426" s="22" t="inlineStr">
        <is>
          <t>Fal2112</t>
        </is>
      </c>
      <c r="D426" s="21" t="inlineStr">
        <is>
          <t>Секатор 21 см Falket / Фалкет (FAL2112) Італія</t>
        </is>
      </c>
      <c r="E426" s="23" t="n">
        <v>1690</v>
      </c>
      <c r="F426" s="22" t="inlineStr">
        <is>
          <t>так</t>
        </is>
      </c>
      <c r="G426" s="24" t="n">
        <v>1690</v>
      </c>
      <c r="H426" s="22" t="inlineStr">
        <is>
          <t>так</t>
        </is>
      </c>
      <c r="I426" s="23" t="n"/>
      <c r="J426" s="22" t="inlineStr"/>
      <c r="K426" s="22" t="inlineStr">
        <is>
          <t>Водоспад</t>
        </is>
      </c>
      <c r="L426" s="23" t="n">
        <v>1690</v>
      </c>
      <c r="M426" s="23">
        <f>IF(L426="","",E426-L426)</f>
        <v/>
      </c>
      <c r="N426" s="25">
        <f>IF(OR(L426="",L426=0),"",M426/L426)</f>
        <v/>
      </c>
      <c r="O426" s="23" t="n"/>
      <c r="P426" s="22" t="n">
        <v>0</v>
      </c>
      <c r="Q426" s="22" t="n">
        <v>0</v>
      </c>
      <c r="R426" s="22" t="inlineStr">
        <is>
          <t>код</t>
        </is>
      </c>
      <c r="S426" s="26" t="inlineStr">
        <is>
          <t>відкрити</t>
        </is>
      </c>
    </row>
    <row r="427">
      <c r="A427" s="20" t="inlineStr">
        <is>
          <t>В нормі</t>
        </is>
      </c>
      <c r="B427" s="21" t="inlineStr"/>
      <c r="C427" s="22" t="inlineStr">
        <is>
          <t>23523-21.B</t>
        </is>
      </c>
      <c r="D427" s="21" t="inlineStr">
        <is>
          <t>Секатор 210 мм Bellota (23523-21.B) Іспанія</t>
        </is>
      </c>
      <c r="E427" s="23" t="n">
        <v>769</v>
      </c>
      <c r="F427" s="22" t="inlineStr">
        <is>
          <t>так</t>
        </is>
      </c>
      <c r="G427" s="23" t="n"/>
      <c r="H427" s="22" t="inlineStr"/>
      <c r="I427" s="24" t="n">
        <v>769</v>
      </c>
      <c r="J427" s="22" t="inlineStr">
        <is>
          <t>так</t>
        </is>
      </c>
      <c r="K427" s="22" t="inlineStr">
        <is>
          <t>Клуб Рослин</t>
        </is>
      </c>
      <c r="L427" s="23" t="n">
        <v>769</v>
      </c>
      <c r="M427" s="23">
        <f>IF(L427="","",E427-L427)</f>
        <v/>
      </c>
      <c r="N427" s="25">
        <f>IF(OR(L427="",L427=0),"",M427/L427)</f>
        <v/>
      </c>
      <c r="O427" s="23" t="n"/>
      <c r="P427" s="22" t="n">
        <v>0</v>
      </c>
      <c r="Q427" s="22" t="n">
        <v>0</v>
      </c>
      <c r="R427" s="22" t="inlineStr">
        <is>
          <t>код</t>
        </is>
      </c>
      <c r="S427" s="26" t="inlineStr">
        <is>
          <t>відкрити</t>
        </is>
      </c>
    </row>
    <row r="428">
      <c r="A428" s="20" t="inlineStr">
        <is>
          <t>В нормі</t>
        </is>
      </c>
      <c r="B428" s="21" t="inlineStr">
        <is>
          <t>Немає в наявності в жодного постачальника</t>
        </is>
      </c>
      <c r="C428" s="22" t="inlineStr">
        <is>
          <t>FAL2190</t>
        </is>
      </c>
      <c r="D428" s="21" t="inlineStr">
        <is>
          <t>Секатор 210 мм Falket / Фалкет (FAL2190) Італія</t>
        </is>
      </c>
      <c r="E428" s="23" t="n">
        <v>790</v>
      </c>
      <c r="F428" s="22" t="inlineStr">
        <is>
          <t>так</t>
        </is>
      </c>
      <c r="G428" s="24" t="n">
        <v>790</v>
      </c>
      <c r="H428" s="27" t="inlineStr">
        <is>
          <t>ні</t>
        </is>
      </c>
      <c r="I428" s="23" t="n"/>
      <c r="J428" s="22" t="inlineStr"/>
      <c r="K428" s="22" t="inlineStr">
        <is>
          <t>Водоспад</t>
        </is>
      </c>
      <c r="L428" s="23" t="n">
        <v>790</v>
      </c>
      <c r="M428" s="23">
        <f>IF(L428="","",E428-L428)</f>
        <v/>
      </c>
      <c r="N428" s="25">
        <f>IF(OR(L428="",L428=0),"",M428/L428)</f>
        <v/>
      </c>
      <c r="O428" s="23" t="n"/>
      <c r="P428" s="22" t="n">
        <v>0</v>
      </c>
      <c r="Q428" s="22" t="n">
        <v>0</v>
      </c>
      <c r="R428" s="22" t="inlineStr">
        <is>
          <t>код</t>
        </is>
      </c>
      <c r="S428" s="26" t="inlineStr">
        <is>
          <t>відкрити</t>
        </is>
      </c>
    </row>
    <row r="429">
      <c r="A429" s="20" t="inlineStr">
        <is>
          <t>В нормі</t>
        </is>
      </c>
      <c r="B429" s="21" t="inlineStr"/>
      <c r="C429" s="22" t="inlineStr">
        <is>
          <t>FAL2097</t>
        </is>
      </c>
      <c r="D429" s="21" t="inlineStr">
        <is>
          <t>Секатор 220 мм Falket / Фалкет (FAL2097) Італія</t>
        </is>
      </c>
      <c r="E429" s="23" t="n">
        <v>1190</v>
      </c>
      <c r="F429" s="22" t="inlineStr">
        <is>
          <t>так</t>
        </is>
      </c>
      <c r="G429" s="24" t="n">
        <v>1190</v>
      </c>
      <c r="H429" s="22" t="inlineStr">
        <is>
          <t>так</t>
        </is>
      </c>
      <c r="I429" s="23" t="n"/>
      <c r="J429" s="22" t="inlineStr"/>
      <c r="K429" s="22" t="inlineStr">
        <is>
          <t>Водоспад</t>
        </is>
      </c>
      <c r="L429" s="23" t="n">
        <v>1190</v>
      </c>
      <c r="M429" s="23">
        <f>IF(L429="","",E429-L429)</f>
        <v/>
      </c>
      <c r="N429" s="25">
        <f>IF(OR(L429="",L429=0),"",M429/L429)</f>
        <v/>
      </c>
      <c r="O429" s="23" t="n"/>
      <c r="P429" s="22" t="n">
        <v>0</v>
      </c>
      <c r="Q429" s="22" t="n">
        <v>0</v>
      </c>
      <c r="R429" s="22" t="inlineStr">
        <is>
          <t>код</t>
        </is>
      </c>
      <c r="S429" s="26" t="inlineStr">
        <is>
          <t>відкрити</t>
        </is>
      </c>
    </row>
    <row r="430">
      <c r="A430" s="20" t="inlineStr">
        <is>
          <t>В нормі</t>
        </is>
      </c>
      <c r="B430" s="21" t="inlineStr"/>
      <c r="C430" s="22" t="inlineStr">
        <is>
          <t>3512-22.B</t>
        </is>
      </c>
      <c r="D430" s="21" t="inlineStr">
        <is>
          <t>Секатор 220 мм професійний для великих рук Bellota (3512-22.B) Іспанія</t>
        </is>
      </c>
      <c r="E430" s="23" t="n">
        <v>1909</v>
      </c>
      <c r="F430" s="22" t="inlineStr">
        <is>
          <t>так</t>
        </is>
      </c>
      <c r="G430" s="23" t="n"/>
      <c r="H430" s="22" t="inlineStr"/>
      <c r="I430" s="24" t="n">
        <v>1909</v>
      </c>
      <c r="J430" s="22" t="inlineStr">
        <is>
          <t>так</t>
        </is>
      </c>
      <c r="K430" s="22" t="inlineStr">
        <is>
          <t>Клуб Рослин</t>
        </is>
      </c>
      <c r="L430" s="23" t="n">
        <v>1909</v>
      </c>
      <c r="M430" s="23">
        <f>IF(L430="","",E430-L430)</f>
        <v/>
      </c>
      <c r="N430" s="25">
        <f>IF(OR(L430="",L430=0),"",M430/L430)</f>
        <v/>
      </c>
      <c r="O430" s="23" t="n"/>
      <c r="P430" s="22" t="n">
        <v>0</v>
      </c>
      <c r="Q430" s="22" t="n">
        <v>0</v>
      </c>
      <c r="R430" s="22" t="inlineStr">
        <is>
          <t>код</t>
        </is>
      </c>
      <c r="S430" s="26" t="inlineStr">
        <is>
          <t>відкрити</t>
        </is>
      </c>
    </row>
    <row r="431">
      <c r="A431" s="20" t="inlineStr">
        <is>
          <t>В нормі</t>
        </is>
      </c>
      <c r="B431" s="21" t="inlineStr"/>
      <c r="C431" s="22" t="inlineStr">
        <is>
          <t>PG-12-F</t>
        </is>
      </c>
      <c r="D431" s="21" t="inlineStr">
        <is>
          <t>Секатор Bahco PG-12-F Швеція</t>
        </is>
      </c>
      <c r="E431" s="23" t="n">
        <v>650</v>
      </c>
      <c r="F431" s="22" t="inlineStr">
        <is>
          <t>так</t>
        </is>
      </c>
      <c r="G431" s="24" t="n">
        <v>650</v>
      </c>
      <c r="H431" s="22" t="inlineStr">
        <is>
          <t>так</t>
        </is>
      </c>
      <c r="I431" s="23" t="n"/>
      <c r="J431" s="22" t="inlineStr"/>
      <c r="K431" s="22" t="inlineStr">
        <is>
          <t>Водоспад</t>
        </is>
      </c>
      <c r="L431" s="23" t="n">
        <v>650</v>
      </c>
      <c r="M431" s="23">
        <f>IF(L431="","",E431-L431)</f>
        <v/>
      </c>
      <c r="N431" s="25">
        <f>IF(OR(L431="",L431=0),"",M431/L431)</f>
        <v/>
      </c>
      <c r="O431" s="23" t="n"/>
      <c r="P431" s="22" t="n">
        <v>0</v>
      </c>
      <c r="Q431" s="22" t="n">
        <v>0</v>
      </c>
      <c r="R431" s="22" t="inlineStr">
        <is>
          <t>модель</t>
        </is>
      </c>
      <c r="S431" s="26" t="inlineStr">
        <is>
          <t>відкрити</t>
        </is>
      </c>
    </row>
    <row r="432">
      <c r="A432" s="20" t="inlineStr">
        <is>
          <t>В нормі</t>
        </is>
      </c>
      <c r="B432" s="21" t="inlineStr"/>
      <c r="C432" s="22" t="inlineStr">
        <is>
          <t>1145/17,5</t>
        </is>
      </c>
      <c r="D432" s="21" t="inlineStr">
        <is>
          <t>Секатор Due Buoi (1145/17,5) типу ножиці довгі леза Італія</t>
        </is>
      </c>
      <c r="E432" s="23" t="n">
        <v>490</v>
      </c>
      <c r="F432" s="22" t="inlineStr">
        <is>
          <t>так</t>
        </is>
      </c>
      <c r="G432" s="24" t="n">
        <v>490</v>
      </c>
      <c r="H432" s="22" t="inlineStr">
        <is>
          <t>так</t>
        </is>
      </c>
      <c r="I432" s="23" t="n">
        <v>496</v>
      </c>
      <c r="J432" s="22" t="inlineStr">
        <is>
          <t>так</t>
        </is>
      </c>
      <c r="K432" s="22" t="inlineStr">
        <is>
          <t>Водоспад</t>
        </is>
      </c>
      <c r="L432" s="23" t="n">
        <v>490</v>
      </c>
      <c r="M432" s="23">
        <f>IF(L432="","",E432-L432)</f>
        <v/>
      </c>
      <c r="N432" s="25">
        <f>IF(OR(L432="",L432=0),"",M432/L432)</f>
        <v/>
      </c>
      <c r="O432" s="23" t="n"/>
      <c r="P432" s="22" t="n">
        <v>0</v>
      </c>
      <c r="Q432" s="22" t="n">
        <v>0</v>
      </c>
      <c r="R432" s="22" t="inlineStr">
        <is>
          <t>код</t>
        </is>
      </c>
      <c r="S432" s="26" t="inlineStr">
        <is>
          <t>відкрити</t>
        </is>
      </c>
    </row>
    <row r="433">
      <c r="A433" s="20" t="inlineStr">
        <is>
          <t>В нормі</t>
        </is>
      </c>
      <c r="B433" s="21" t="inlineStr"/>
      <c r="C433" s="22" t="inlineStr">
        <is>
          <t>125/18S</t>
        </is>
      </c>
      <c r="D433" s="21" t="inlineStr">
        <is>
          <t>Секатор Due Buoi (125/18S) Італія</t>
        </is>
      </c>
      <c r="E433" s="23" t="n">
        <v>1949</v>
      </c>
      <c r="F433" s="27" t="inlineStr">
        <is>
          <t>ні</t>
        </is>
      </c>
      <c r="G433" s="23" t="n"/>
      <c r="H433" s="22" t="inlineStr"/>
      <c r="I433" s="24" t="n">
        <v>1949</v>
      </c>
      <c r="J433" s="22" t="inlineStr">
        <is>
          <t>так</t>
        </is>
      </c>
      <c r="K433" s="22" t="inlineStr">
        <is>
          <t>Клуб Рослин</t>
        </is>
      </c>
      <c r="L433" s="23" t="n">
        <v>1949</v>
      </c>
      <c r="M433" s="23">
        <f>IF(L433="","",E433-L433)</f>
        <v/>
      </c>
      <c r="N433" s="25">
        <f>IF(OR(L433="",L433=0),"",M433/L433)</f>
        <v/>
      </c>
      <c r="O433" s="23" t="n"/>
      <c r="P433" s="22" t="n">
        <v>0</v>
      </c>
      <c r="Q433" s="22" t="n">
        <v>0</v>
      </c>
      <c r="R433" s="22" t="inlineStr">
        <is>
          <t>код</t>
        </is>
      </c>
      <c r="S433" s="26" t="inlineStr">
        <is>
          <t>відкрити</t>
        </is>
      </c>
    </row>
    <row r="434">
      <c r="A434" s="20" t="inlineStr">
        <is>
          <t>В нормі</t>
        </is>
      </c>
      <c r="B434" s="21" t="inlineStr"/>
      <c r="C434" s="22" t="inlineStr">
        <is>
          <t>125/21S</t>
        </is>
      </c>
      <c r="D434" s="21" t="inlineStr">
        <is>
          <t>Секатор Due Buoi (125/21S) Італія</t>
        </is>
      </c>
      <c r="E434" s="23" t="n">
        <v>1960</v>
      </c>
      <c r="F434" s="27" t="inlineStr">
        <is>
          <t>ні</t>
        </is>
      </c>
      <c r="G434" s="23" t="n"/>
      <c r="H434" s="22" t="inlineStr"/>
      <c r="I434" s="24" t="n">
        <v>1960</v>
      </c>
      <c r="J434" s="22" t="inlineStr">
        <is>
          <t>так</t>
        </is>
      </c>
      <c r="K434" s="22" t="inlineStr">
        <is>
          <t>Клуб Рослин</t>
        </is>
      </c>
      <c r="L434" s="23" t="n">
        <v>1960</v>
      </c>
      <c r="M434" s="23">
        <f>IF(L434="","",E434-L434)</f>
        <v/>
      </c>
      <c r="N434" s="25">
        <f>IF(OR(L434="",L434=0),"",M434/L434)</f>
        <v/>
      </c>
      <c r="O434" s="23" t="n"/>
      <c r="P434" s="22" t="n">
        <v>0</v>
      </c>
      <c r="Q434" s="22" t="n">
        <v>0</v>
      </c>
      <c r="R434" s="22" t="inlineStr">
        <is>
          <t>код</t>
        </is>
      </c>
      <c r="S434" s="26" t="inlineStr">
        <is>
          <t>відкрити</t>
        </is>
      </c>
    </row>
    <row r="435">
      <c r="A435" s="20" t="inlineStr">
        <is>
          <t>В нормі</t>
        </is>
      </c>
      <c r="B435" s="21" t="inlineStr"/>
      <c r="C435" s="22" t="inlineStr">
        <is>
          <t>1147/19</t>
        </is>
      </c>
      <c r="D435" s="21" t="inlineStr">
        <is>
          <t>Секатор Due Buoi 1147/19 типу ножиці для збирання плодів Італія</t>
        </is>
      </c>
      <c r="E435" s="23" t="n">
        <v>245</v>
      </c>
      <c r="F435" s="27" t="inlineStr">
        <is>
          <t>ні</t>
        </is>
      </c>
      <c r="G435" s="23" t="n"/>
      <c r="H435" s="22" t="inlineStr"/>
      <c r="I435" s="24" t="n">
        <v>245</v>
      </c>
      <c r="J435" s="27" t="inlineStr">
        <is>
          <t>ні</t>
        </is>
      </c>
      <c r="K435" s="22" t="inlineStr">
        <is>
          <t>Клуб Рослин</t>
        </is>
      </c>
      <c r="L435" s="23" t="n">
        <v>245</v>
      </c>
      <c r="M435" s="23">
        <f>IF(L435="","",E435-L435)</f>
        <v/>
      </c>
      <c r="N435" s="25">
        <f>IF(OR(L435="",L435=0),"",M435/L435)</f>
        <v/>
      </c>
      <c r="O435" s="23" t="n"/>
      <c r="P435" s="22" t="n">
        <v>0</v>
      </c>
      <c r="Q435" s="22" t="n">
        <v>0</v>
      </c>
      <c r="R435" s="22" t="inlineStr">
        <is>
          <t>код</t>
        </is>
      </c>
      <c r="S435" s="26" t="inlineStr">
        <is>
          <t>відкрити</t>
        </is>
      </c>
    </row>
    <row r="436">
      <c r="A436" s="20" t="inlineStr">
        <is>
          <t>В нормі</t>
        </is>
      </c>
      <c r="B436" s="21" t="inlineStr"/>
      <c r="C436" s="22" t="inlineStr">
        <is>
          <t>MK-S200</t>
        </is>
      </c>
      <c r="D436" s="21" t="inlineStr">
        <is>
          <t>Секатор Kenkatabami MK-S200 обвідний 200 мм</t>
        </is>
      </c>
      <c r="E436" s="23" t="n">
        <v>3199</v>
      </c>
      <c r="F436" s="27" t="inlineStr">
        <is>
          <t>ні</t>
        </is>
      </c>
      <c r="G436" s="23" t="n"/>
      <c r="H436" s="22" t="inlineStr"/>
      <c r="I436" s="24" t="n">
        <v>3199</v>
      </c>
      <c r="J436" s="22" t="inlineStr">
        <is>
          <t>так</t>
        </is>
      </c>
      <c r="K436" s="22" t="inlineStr">
        <is>
          <t>Клуб Рослин</t>
        </is>
      </c>
      <c r="L436" s="23" t="n">
        <v>3199</v>
      </c>
      <c r="M436" s="23">
        <f>IF(L436="","",E436-L436)</f>
        <v/>
      </c>
      <c r="N436" s="25">
        <f>IF(OR(L436="",L436=0),"",M436/L436)</f>
        <v/>
      </c>
      <c r="O436" s="23" t="n"/>
      <c r="P436" s="22" t="n">
        <v>0</v>
      </c>
      <c r="Q436" s="22" t="n">
        <v>0</v>
      </c>
      <c r="R436" s="22" t="inlineStr">
        <is>
          <t>код</t>
        </is>
      </c>
      <c r="S436" s="26" t="inlineStr">
        <is>
          <t>відкрити</t>
        </is>
      </c>
    </row>
    <row r="437">
      <c r="A437" s="20" t="inlineStr">
        <is>
          <t>В нормі</t>
        </is>
      </c>
      <c r="B437" s="21" t="inlineStr"/>
      <c r="C437" s="22" t="inlineStr">
        <is>
          <t>1118882</t>
        </is>
      </c>
      <c r="D437" s="21" t="inlineStr">
        <is>
          <t>Секатор Type A 200 мм Тенджу / Tenju (1118882) Японія</t>
        </is>
      </c>
      <c r="E437" s="23" t="n">
        <v>2990</v>
      </c>
      <c r="F437" s="22" t="inlineStr">
        <is>
          <t>так</t>
        </is>
      </c>
      <c r="G437" s="24" t="n">
        <v>2990</v>
      </c>
      <c r="H437" s="22" t="inlineStr">
        <is>
          <t>так</t>
        </is>
      </c>
      <c r="I437" s="23" t="n"/>
      <c r="J437" s="22" t="inlineStr"/>
      <c r="K437" s="22" t="inlineStr">
        <is>
          <t>Водоспад</t>
        </is>
      </c>
      <c r="L437" s="23" t="n">
        <v>2990</v>
      </c>
      <c r="M437" s="23">
        <f>IF(L437="","",E437-L437)</f>
        <v/>
      </c>
      <c r="N437" s="25">
        <f>IF(OR(L437="",L437=0),"",M437/L437)</f>
        <v/>
      </c>
      <c r="O437" s="23" t="n"/>
      <c r="P437" s="22" t="n">
        <v>0</v>
      </c>
      <c r="Q437" s="22" t="n">
        <v>0</v>
      </c>
      <c r="R437" s="22" t="inlineStr">
        <is>
          <t>код</t>
        </is>
      </c>
      <c r="S437" s="26" t="inlineStr">
        <is>
          <t>відкрити</t>
        </is>
      </c>
    </row>
    <row r="438">
      <c r="A438" s="20" t="inlineStr">
        <is>
          <t>В нормі</t>
        </is>
      </c>
      <c r="B438" s="21" t="inlineStr"/>
      <c r="C438" s="22" t="inlineStr">
        <is>
          <t>130DX-R</t>
        </is>
      </c>
      <c r="D438" s="21" t="inlineStr">
        <is>
          <t>Секатор АРС / ARS (130DX-R) садовий обвідний червоний Японія</t>
        </is>
      </c>
      <c r="E438" s="23" t="n">
        <v>1259</v>
      </c>
      <c r="F438" s="22" t="inlineStr">
        <is>
          <t>так</t>
        </is>
      </c>
      <c r="G438" s="24" t="n">
        <v>1259</v>
      </c>
      <c r="H438" s="22" t="inlineStr">
        <is>
          <t>так</t>
        </is>
      </c>
      <c r="I438" s="23" t="n">
        <v>1259</v>
      </c>
      <c r="J438" s="22" t="inlineStr">
        <is>
          <t>так</t>
        </is>
      </c>
      <c r="K438" s="22" t="inlineStr">
        <is>
          <t>Водоспад</t>
        </is>
      </c>
      <c r="L438" s="23" t="n">
        <v>1259</v>
      </c>
      <c r="M438" s="23">
        <f>IF(L438="","",E438-L438)</f>
        <v/>
      </c>
      <c r="N438" s="25">
        <f>IF(OR(L438="",L438=0),"",M438/L438)</f>
        <v/>
      </c>
      <c r="O438" s="23" t="n"/>
      <c r="P438" s="22" t="n">
        <v>0</v>
      </c>
      <c r="Q438" s="22" t="n">
        <v>0</v>
      </c>
      <c r="R438" s="22" t="inlineStr">
        <is>
          <t>код</t>
        </is>
      </c>
      <c r="S438" s="26" t="inlineStr">
        <is>
          <t>відкрити</t>
        </is>
      </c>
    </row>
    <row r="439">
      <c r="A439" s="20" t="inlineStr">
        <is>
          <t>В нормі</t>
        </is>
      </c>
      <c r="B439" s="21" t="inlineStr"/>
      <c r="C439" s="22" t="inlineStr">
        <is>
          <t>140DX-R</t>
        </is>
      </c>
      <c r="D439" s="21" t="inlineStr">
        <is>
          <t>Секатор АРС / ARS (140DX-R) типу ножиці червоний Японія</t>
        </is>
      </c>
      <c r="E439" s="23" t="n">
        <v>1259</v>
      </c>
      <c r="F439" s="22" t="inlineStr">
        <is>
          <t>так</t>
        </is>
      </c>
      <c r="G439" s="24" t="n">
        <v>1259</v>
      </c>
      <c r="H439" s="22" t="inlineStr">
        <is>
          <t>так</t>
        </is>
      </c>
      <c r="I439" s="23" t="n">
        <v>1259</v>
      </c>
      <c r="J439" s="22" t="inlineStr">
        <is>
          <t>так</t>
        </is>
      </c>
      <c r="K439" s="22" t="inlineStr">
        <is>
          <t>Водоспад</t>
        </is>
      </c>
      <c r="L439" s="23" t="n">
        <v>1259</v>
      </c>
      <c r="M439" s="23">
        <f>IF(L439="","",E439-L439)</f>
        <v/>
      </c>
      <c r="N439" s="25">
        <f>IF(OR(L439="",L439=0),"",M439/L439)</f>
        <v/>
      </c>
      <c r="O439" s="23" t="n"/>
      <c r="P439" s="22" t="n">
        <v>0</v>
      </c>
      <c r="Q439" s="22" t="n">
        <v>0</v>
      </c>
      <c r="R439" s="22" t="inlineStr">
        <is>
          <t>код</t>
        </is>
      </c>
      <c r="S439" s="26" t="inlineStr">
        <is>
          <t>відкрити</t>
        </is>
      </c>
    </row>
    <row r="440">
      <c r="A440" s="20" t="inlineStr">
        <is>
          <t>В нормі</t>
        </is>
      </c>
      <c r="B440" s="21" t="inlineStr"/>
      <c r="C440" s="22" t="inlineStr">
        <is>
          <t>140L-DX</t>
        </is>
      </c>
      <c r="D440" s="21" t="inlineStr">
        <is>
          <t>Секатор АРС / ARS (140L-DX) типу ножиці Японія</t>
        </is>
      </c>
      <c r="E440" s="23" t="n">
        <v>1399</v>
      </c>
      <c r="F440" s="22" t="inlineStr">
        <is>
          <t>так</t>
        </is>
      </c>
      <c r="G440" s="23" t="n">
        <v>1399</v>
      </c>
      <c r="H440" s="27" t="inlineStr">
        <is>
          <t>ні</t>
        </is>
      </c>
      <c r="I440" s="24" t="n">
        <v>1399</v>
      </c>
      <c r="J440" s="22" t="inlineStr">
        <is>
          <t>так</t>
        </is>
      </c>
      <c r="K440" s="22" t="inlineStr">
        <is>
          <t>Клуб Рослин</t>
        </is>
      </c>
      <c r="L440" s="23" t="n">
        <v>1399</v>
      </c>
      <c r="M440" s="23">
        <f>IF(L440="","",E440-L440)</f>
        <v/>
      </c>
      <c r="N440" s="25">
        <f>IF(OR(L440="",L440=0),"",M440/L440)</f>
        <v/>
      </c>
      <c r="O440" s="23" t="n"/>
      <c r="P440" s="22" t="n">
        <v>0</v>
      </c>
      <c r="Q440" s="22" t="n">
        <v>0</v>
      </c>
      <c r="R440" s="22" t="inlineStr">
        <is>
          <t>код</t>
        </is>
      </c>
      <c r="S440" s="26" t="inlineStr">
        <is>
          <t>відкрити</t>
        </is>
      </c>
    </row>
    <row r="441">
      <c r="A441" s="20" t="inlineStr">
        <is>
          <t>В нормі</t>
        </is>
      </c>
      <c r="B441" s="21" t="inlineStr"/>
      <c r="C441" s="22" t="inlineStr">
        <is>
          <t>180-1.8</t>
        </is>
      </c>
      <c r="D441" s="21" t="inlineStr">
        <is>
          <t>Секатор АРС / ARS (180-1.8) на штанзі 1.8м Японія</t>
        </is>
      </c>
      <c r="E441" s="23" t="n">
        <v>3990</v>
      </c>
      <c r="F441" s="27" t="inlineStr">
        <is>
          <t>ні</t>
        </is>
      </c>
      <c r="G441" s="24" t="n">
        <v>3990</v>
      </c>
      <c r="H441" s="27" t="inlineStr">
        <is>
          <t>ні</t>
        </is>
      </c>
      <c r="I441" s="23" t="n"/>
      <c r="J441" s="22" t="inlineStr"/>
      <c r="K441" s="22" t="inlineStr">
        <is>
          <t>Водоспад</t>
        </is>
      </c>
      <c r="L441" s="23" t="n">
        <v>3990</v>
      </c>
      <c r="M441" s="23">
        <f>IF(L441="","",E441-L441)</f>
        <v/>
      </c>
      <c r="N441" s="25">
        <f>IF(OR(L441="",L441=0),"",M441/L441)</f>
        <v/>
      </c>
      <c r="O441" s="23" t="n"/>
      <c r="P441" s="22" t="n">
        <v>0</v>
      </c>
      <c r="Q441" s="22" t="n">
        <v>0</v>
      </c>
      <c r="R441" s="22" t="inlineStr">
        <is>
          <t>код</t>
        </is>
      </c>
      <c r="S441" s="26" t="inlineStr">
        <is>
          <t>відкрити</t>
        </is>
      </c>
    </row>
    <row r="442">
      <c r="A442" s="20" t="inlineStr">
        <is>
          <t>В нормі</t>
        </is>
      </c>
      <c r="B442" s="21" t="inlineStr"/>
      <c r="C442" s="22" t="inlineStr">
        <is>
          <t>180-2.4</t>
        </is>
      </c>
      <c r="D442" s="21" t="inlineStr">
        <is>
          <t>Секатор АРС / ARS (180-2.4) на штанзі 2.4 м Японія</t>
        </is>
      </c>
      <c r="E442" s="23" t="n">
        <v>4680</v>
      </c>
      <c r="F442" s="22" t="inlineStr">
        <is>
          <t>так</t>
        </is>
      </c>
      <c r="G442" s="24" t="n">
        <v>4680</v>
      </c>
      <c r="H442" s="22" t="inlineStr">
        <is>
          <t>так</t>
        </is>
      </c>
      <c r="I442" s="23" t="n"/>
      <c r="J442" s="22" t="inlineStr"/>
      <c r="K442" s="22" t="inlineStr">
        <is>
          <t>Водоспад</t>
        </is>
      </c>
      <c r="L442" s="23" t="n">
        <v>4680</v>
      </c>
      <c r="M442" s="23">
        <f>IF(L442="","",E442-L442)</f>
        <v/>
      </c>
      <c r="N442" s="25">
        <f>IF(OR(L442="",L442=0),"",M442/L442)</f>
        <v/>
      </c>
      <c r="O442" s="23" t="n"/>
      <c r="P442" s="22" t="n">
        <v>0</v>
      </c>
      <c r="Q442" s="22" t="n">
        <v>0</v>
      </c>
      <c r="R442" s="22" t="inlineStr">
        <is>
          <t>код</t>
        </is>
      </c>
      <c r="S442" s="26" t="inlineStr">
        <is>
          <t>відкрити</t>
        </is>
      </c>
    </row>
    <row r="443">
      <c r="A443" s="20" t="inlineStr">
        <is>
          <t>В нормі</t>
        </is>
      </c>
      <c r="B443" s="21" t="inlineStr"/>
      <c r="C443" s="22" t="inlineStr">
        <is>
          <t>180LR-1.8</t>
        </is>
      </c>
      <c r="D443" s="21" t="inlineStr">
        <is>
          <t>Секатор АРС / ARS (180LR-1.8) на штанзі 1.8 м Японія</t>
        </is>
      </c>
      <c r="E443" s="23" t="n">
        <v>4490</v>
      </c>
      <c r="F443" s="27" t="inlineStr">
        <is>
          <t>ні</t>
        </is>
      </c>
      <c r="G443" s="24" t="n">
        <v>4490</v>
      </c>
      <c r="H443" s="22" t="inlineStr">
        <is>
          <t>так</t>
        </is>
      </c>
      <c r="I443" s="23" t="n">
        <v>4490</v>
      </c>
      <c r="J443" s="22" t="inlineStr">
        <is>
          <t>так</t>
        </is>
      </c>
      <c r="K443" s="22" t="inlineStr">
        <is>
          <t>Водоспад</t>
        </is>
      </c>
      <c r="L443" s="23" t="n">
        <v>4490</v>
      </c>
      <c r="M443" s="23">
        <f>IF(L443="","",E443-L443)</f>
        <v/>
      </c>
      <c r="N443" s="25">
        <f>IF(OR(L443="",L443=0),"",M443/L443)</f>
        <v/>
      </c>
      <c r="O443" s="23" t="n"/>
      <c r="P443" s="22" t="n">
        <v>0</v>
      </c>
      <c r="Q443" s="22" t="n">
        <v>0</v>
      </c>
      <c r="R443" s="22" t="inlineStr">
        <is>
          <t>код</t>
        </is>
      </c>
      <c r="S443" s="26" t="inlineStr">
        <is>
          <t>відкрити</t>
        </is>
      </c>
    </row>
    <row r="444">
      <c r="A444" s="20" t="inlineStr">
        <is>
          <t>В нормі</t>
        </is>
      </c>
      <c r="B444" s="21" t="inlineStr"/>
      <c r="C444" s="22" t="inlineStr">
        <is>
          <t>180LR-2.1</t>
        </is>
      </c>
      <c r="D444" s="21" t="inlineStr">
        <is>
          <t>Секатор АРС / ARS (180LR-2.1) на штанзі 2.1 м Японія</t>
        </is>
      </c>
      <c r="E444" s="23" t="n">
        <v>4919</v>
      </c>
      <c r="F444" s="22" t="inlineStr">
        <is>
          <t>так</t>
        </is>
      </c>
      <c r="G444" s="23" t="n">
        <v>4919</v>
      </c>
      <c r="H444" s="27" t="inlineStr">
        <is>
          <t>ні</t>
        </is>
      </c>
      <c r="I444" s="24" t="n">
        <v>4919</v>
      </c>
      <c r="J444" s="22" t="inlineStr">
        <is>
          <t>так</t>
        </is>
      </c>
      <c r="K444" s="22" t="inlineStr">
        <is>
          <t>Клуб Рослин</t>
        </is>
      </c>
      <c r="L444" s="23" t="n">
        <v>4919</v>
      </c>
      <c r="M444" s="23">
        <f>IF(L444="","",E444-L444)</f>
        <v/>
      </c>
      <c r="N444" s="25">
        <f>IF(OR(L444="",L444=0),"",M444/L444)</f>
        <v/>
      </c>
      <c r="O444" s="23" t="n"/>
      <c r="P444" s="22" t="n">
        <v>0</v>
      </c>
      <c r="Q444" s="22" t="n">
        <v>0</v>
      </c>
      <c r="R444" s="22" t="inlineStr">
        <is>
          <t>код</t>
        </is>
      </c>
      <c r="S444" s="26" t="inlineStr">
        <is>
          <t>відкрити</t>
        </is>
      </c>
    </row>
    <row r="445">
      <c r="A445" s="20" t="inlineStr">
        <is>
          <t>В нормі</t>
        </is>
      </c>
      <c r="B445" s="21" t="inlineStr"/>
      <c r="C445" s="22" t="inlineStr">
        <is>
          <t>180R-1.8</t>
        </is>
      </c>
      <c r="D445" s="21" t="inlineStr">
        <is>
          <t>Секатор АРС / ARS (180R-1.8) на штанзі 1.8 м Японія</t>
        </is>
      </c>
      <c r="E445" s="23" t="n">
        <v>4339</v>
      </c>
      <c r="F445" s="27" t="inlineStr">
        <is>
          <t>ні</t>
        </is>
      </c>
      <c r="G445" s="24" t="n">
        <v>4339</v>
      </c>
      <c r="H445" s="22" t="inlineStr">
        <is>
          <t>так</t>
        </is>
      </c>
      <c r="I445" s="23" t="n">
        <v>4339</v>
      </c>
      <c r="J445" s="22" t="inlineStr">
        <is>
          <t>так</t>
        </is>
      </c>
      <c r="K445" s="22" t="inlineStr">
        <is>
          <t>Водоспад</t>
        </is>
      </c>
      <c r="L445" s="23" t="n">
        <v>4339</v>
      </c>
      <c r="M445" s="23">
        <f>IF(L445="","",E445-L445)</f>
        <v/>
      </c>
      <c r="N445" s="25">
        <f>IF(OR(L445="",L445=0),"",M445/L445)</f>
        <v/>
      </c>
      <c r="O445" s="23" t="n"/>
      <c r="P445" s="22" t="n">
        <v>0</v>
      </c>
      <c r="Q445" s="22" t="n">
        <v>0</v>
      </c>
      <c r="R445" s="22" t="inlineStr">
        <is>
          <t>код</t>
        </is>
      </c>
      <c r="S445" s="26" t="inlineStr">
        <is>
          <t>відкрити</t>
        </is>
      </c>
    </row>
    <row r="446">
      <c r="A446" s="20" t="inlineStr">
        <is>
          <t>В нормі</t>
        </is>
      </c>
      <c r="B446" s="21" t="inlineStr"/>
      <c r="C446" s="22" t="inlineStr">
        <is>
          <t>180ZF-3.0-5</t>
        </is>
      </c>
      <c r="D446" s="21" t="inlineStr">
        <is>
          <t>Секатор АРС / ARS (180ZF-3.0-5) телескопічний на штанзі 1.7–3 м Японія</t>
        </is>
      </c>
      <c r="E446" s="23" t="n">
        <v>4870</v>
      </c>
      <c r="F446" s="22" t="inlineStr">
        <is>
          <t>так</t>
        </is>
      </c>
      <c r="G446" s="24" t="n">
        <v>4870</v>
      </c>
      <c r="H446" s="22" t="inlineStr">
        <is>
          <t>так</t>
        </is>
      </c>
      <c r="I446" s="23" t="n"/>
      <c r="J446" s="22" t="inlineStr"/>
      <c r="K446" s="22" t="inlineStr">
        <is>
          <t>Водоспад</t>
        </is>
      </c>
      <c r="L446" s="23" t="n">
        <v>4870</v>
      </c>
      <c r="M446" s="23">
        <f>IF(L446="","",E446-L446)</f>
        <v/>
      </c>
      <c r="N446" s="25">
        <f>IF(OR(L446="",L446=0),"",M446/L446)</f>
        <v/>
      </c>
      <c r="O446" s="23" t="n"/>
      <c r="P446" s="22" t="n">
        <v>0</v>
      </c>
      <c r="Q446" s="22" t="n">
        <v>0</v>
      </c>
      <c r="R446" s="22" t="inlineStr">
        <is>
          <t>код</t>
        </is>
      </c>
      <c r="S446" s="26" t="inlineStr">
        <is>
          <t>відкрити</t>
        </is>
      </c>
    </row>
    <row r="447">
      <c r="A447" s="20" t="inlineStr">
        <is>
          <t>В нормі</t>
        </is>
      </c>
      <c r="B447" s="21" t="inlineStr"/>
      <c r="C447" s="22" t="inlineStr">
        <is>
          <t>300L</t>
        </is>
      </c>
      <c r="D447" s="21" t="inlineStr">
        <is>
          <t>Секатор АРС / ARS (300L) типу ножиці довгі леза Японія</t>
        </is>
      </c>
      <c r="E447" s="23" t="n">
        <v>499</v>
      </c>
      <c r="F447" s="22" t="inlineStr">
        <is>
          <t>так</t>
        </is>
      </c>
      <c r="G447" s="23" t="n"/>
      <c r="H447" s="22" t="inlineStr"/>
      <c r="I447" s="24" t="n">
        <v>499</v>
      </c>
      <c r="J447" s="22" t="inlineStr">
        <is>
          <t>так</t>
        </is>
      </c>
      <c r="K447" s="22" t="inlineStr">
        <is>
          <t>Клуб Рослин</t>
        </is>
      </c>
      <c r="L447" s="23" t="n">
        <v>499</v>
      </c>
      <c r="M447" s="23">
        <f>IF(L447="","",E447-L447)</f>
        <v/>
      </c>
      <c r="N447" s="25">
        <f>IF(OR(L447="",L447=0),"",M447/L447)</f>
        <v/>
      </c>
      <c r="O447" s="23" t="n"/>
      <c r="P447" s="22" t="n">
        <v>0</v>
      </c>
      <c r="Q447" s="22" t="n">
        <v>0</v>
      </c>
      <c r="R447" s="22" t="inlineStr">
        <is>
          <t>схожа назва</t>
        </is>
      </c>
      <c r="S447" s="26" t="inlineStr">
        <is>
          <t>відкрити</t>
        </is>
      </c>
    </row>
    <row r="448">
      <c r="A448" s="20" t="inlineStr">
        <is>
          <t>В нормі</t>
        </is>
      </c>
      <c r="B448" s="21" t="inlineStr"/>
      <c r="C448" s="22" t="inlineStr">
        <is>
          <t>CB-8</t>
        </is>
      </c>
      <c r="D448" s="21" t="inlineStr">
        <is>
          <t>Секатор АРС / ARS (CB-8) садовий обвідний Японія</t>
        </is>
      </c>
      <c r="E448" s="23" t="n">
        <v>1649</v>
      </c>
      <c r="F448" s="27" t="inlineStr">
        <is>
          <t>ні</t>
        </is>
      </c>
      <c r="G448" s="23" t="n"/>
      <c r="H448" s="22" t="inlineStr"/>
      <c r="I448" s="24" t="n">
        <v>1649</v>
      </c>
      <c r="J448" s="27" t="inlineStr">
        <is>
          <t>ні</t>
        </is>
      </c>
      <c r="K448" s="22" t="inlineStr">
        <is>
          <t>Клуб Рослин</t>
        </is>
      </c>
      <c r="L448" s="23" t="n">
        <v>1649</v>
      </c>
      <c r="M448" s="23">
        <f>IF(L448="","",E448-L448)</f>
        <v/>
      </c>
      <c r="N448" s="25">
        <f>IF(OR(L448="",L448=0),"",M448/L448)</f>
        <v/>
      </c>
      <c r="O448" s="23" t="n"/>
      <c r="P448" s="22" t="n">
        <v>0</v>
      </c>
      <c r="Q448" s="22" t="n">
        <v>0</v>
      </c>
      <c r="R448" s="22" t="inlineStr">
        <is>
          <t>схожа назва</t>
        </is>
      </c>
      <c r="S448" s="26" t="inlineStr">
        <is>
          <t>відкрити</t>
        </is>
      </c>
    </row>
    <row r="449">
      <c r="A449" s="20" t="inlineStr">
        <is>
          <t>В нормі</t>
        </is>
      </c>
      <c r="B449" s="21" t="inlineStr"/>
      <c r="C449" s="22" t="inlineStr">
        <is>
          <t>CB-8Z</t>
        </is>
      </c>
      <c r="D449" s="21" t="inlineStr">
        <is>
          <t>Секатор АРС / ARS (CB-8Z ) садовий обвідний Японія</t>
        </is>
      </c>
      <c r="E449" s="23" t="n">
        <v>1730</v>
      </c>
      <c r="F449" s="22" t="inlineStr">
        <is>
          <t>так</t>
        </is>
      </c>
      <c r="G449" s="23" t="n"/>
      <c r="H449" s="22" t="inlineStr"/>
      <c r="I449" s="24" t="n">
        <v>1730</v>
      </c>
      <c r="J449" s="22" t="inlineStr">
        <is>
          <t>так</t>
        </is>
      </c>
      <c r="K449" s="22" t="inlineStr">
        <is>
          <t>Клуб Рослин</t>
        </is>
      </c>
      <c r="L449" s="23" t="n">
        <v>1730</v>
      </c>
      <c r="M449" s="23">
        <f>IF(L449="","",E449-L449)</f>
        <v/>
      </c>
      <c r="N449" s="25">
        <f>IF(OR(L449="",L449=0),"",M449/L449)</f>
        <v/>
      </c>
      <c r="O449" s="23" t="n"/>
      <c r="P449" s="22" t="n">
        <v>0</v>
      </c>
      <c r="Q449" s="22" t="n">
        <v>0</v>
      </c>
      <c r="R449" s="22" t="inlineStr">
        <is>
          <t>схожа назва</t>
        </is>
      </c>
      <c r="S449" s="26" t="inlineStr">
        <is>
          <t>відкрити</t>
        </is>
      </c>
    </row>
    <row r="450">
      <c r="A450" s="20" t="inlineStr">
        <is>
          <t>В нормі</t>
        </is>
      </c>
      <c r="B450" s="21" t="inlineStr"/>
      <c r="C450" s="22" t="inlineStr">
        <is>
          <t>CB-9Z</t>
        </is>
      </c>
      <c r="D450" s="21" t="inlineStr">
        <is>
          <t>Секатор АРС / ARS (CB-9Z) садовий обвідний Японія</t>
        </is>
      </c>
      <c r="E450" s="23" t="n">
        <v>1880</v>
      </c>
      <c r="F450" s="27" t="inlineStr">
        <is>
          <t>ні</t>
        </is>
      </c>
      <c r="G450" s="23" t="n"/>
      <c r="H450" s="22" t="inlineStr"/>
      <c r="I450" s="24" t="n">
        <v>1880</v>
      </c>
      <c r="J450" s="22" t="inlineStr">
        <is>
          <t>так</t>
        </is>
      </c>
      <c r="K450" s="22" t="inlineStr">
        <is>
          <t>Клуб Рослин</t>
        </is>
      </c>
      <c r="L450" s="23" t="n">
        <v>1880</v>
      </c>
      <c r="M450" s="23">
        <f>IF(L450="","",E450-L450)</f>
        <v/>
      </c>
      <c r="N450" s="25">
        <f>IF(OR(L450="",L450=0),"",M450/L450)</f>
        <v/>
      </c>
      <c r="O450" s="23" t="n"/>
      <c r="P450" s="22" t="n">
        <v>0</v>
      </c>
      <c r="Q450" s="22" t="n">
        <v>0</v>
      </c>
      <c r="R450" s="22" t="inlineStr">
        <is>
          <t>схожа назва</t>
        </is>
      </c>
      <c r="S450" s="26" t="inlineStr">
        <is>
          <t>відкрити</t>
        </is>
      </c>
    </row>
    <row r="451">
      <c r="A451" s="20" t="inlineStr">
        <is>
          <t>В нормі</t>
        </is>
      </c>
      <c r="B451" s="21" t="inlineStr"/>
      <c r="C451" s="22" t="inlineStr">
        <is>
          <t>FB-7</t>
        </is>
      </c>
      <c r="D451" s="21" t="inlineStr">
        <is>
          <t>Секатор АРС / ARS (FB-7) садовий обвідний Японія</t>
        </is>
      </c>
      <c r="E451" s="23" t="n">
        <v>1365</v>
      </c>
      <c r="F451" s="27" t="inlineStr">
        <is>
          <t>ні</t>
        </is>
      </c>
      <c r="G451" s="23" t="n"/>
      <c r="H451" s="22" t="inlineStr"/>
      <c r="I451" s="24" t="n">
        <v>1365</v>
      </c>
      <c r="J451" s="22" t="inlineStr">
        <is>
          <t>так</t>
        </is>
      </c>
      <c r="K451" s="22" t="inlineStr">
        <is>
          <t>Клуб Рослин</t>
        </is>
      </c>
      <c r="L451" s="23" t="n">
        <v>1365</v>
      </c>
      <c r="M451" s="23">
        <f>IF(L451="","",E451-L451)</f>
        <v/>
      </c>
      <c r="N451" s="25">
        <f>IF(OR(L451="",L451=0),"",M451/L451)</f>
        <v/>
      </c>
      <c r="O451" s="23" t="n"/>
      <c r="P451" s="22" t="n">
        <v>0</v>
      </c>
      <c r="Q451" s="22" t="n">
        <v>0</v>
      </c>
      <c r="R451" s="22" t="inlineStr">
        <is>
          <t>схожа назва</t>
        </is>
      </c>
      <c r="S451" s="26" t="inlineStr">
        <is>
          <t>відкрити</t>
        </is>
      </c>
    </row>
    <row r="452">
      <c r="A452" s="20" t="inlineStr">
        <is>
          <t>В нормі</t>
        </is>
      </c>
      <c r="B452" s="21" t="inlineStr"/>
      <c r="C452" s="22" t="inlineStr">
        <is>
          <t>FB-8</t>
        </is>
      </c>
      <c r="D452" s="21" t="inlineStr">
        <is>
          <t>Секатор АРС / ARS (FB-8) садовий обвідний Японія</t>
        </is>
      </c>
      <c r="E452" s="23" t="n">
        <v>1470</v>
      </c>
      <c r="F452" s="22" t="inlineStr">
        <is>
          <t>так</t>
        </is>
      </c>
      <c r="G452" s="23" t="n"/>
      <c r="H452" s="22" t="inlineStr"/>
      <c r="I452" s="24" t="n">
        <v>1470</v>
      </c>
      <c r="J452" s="22" t="inlineStr">
        <is>
          <t>так</t>
        </is>
      </c>
      <c r="K452" s="22" t="inlineStr">
        <is>
          <t>Клуб Рослин</t>
        </is>
      </c>
      <c r="L452" s="23" t="n">
        <v>1470</v>
      </c>
      <c r="M452" s="23">
        <f>IF(L452="","",E452-L452)</f>
        <v/>
      </c>
      <c r="N452" s="25">
        <f>IF(OR(L452="",L452=0),"",M452/L452)</f>
        <v/>
      </c>
      <c r="O452" s="23" t="n"/>
      <c r="P452" s="22" t="n">
        <v>0</v>
      </c>
      <c r="Q452" s="22" t="n">
        <v>0</v>
      </c>
      <c r="R452" s="22" t="inlineStr">
        <is>
          <t>схожа назва</t>
        </is>
      </c>
      <c r="S452" s="26" t="inlineStr">
        <is>
          <t>відкрити</t>
        </is>
      </c>
    </row>
    <row r="453">
      <c r="A453" s="20" t="inlineStr">
        <is>
          <t>В нормі</t>
        </is>
      </c>
      <c r="B453" s="21" t="inlineStr"/>
      <c r="C453" s="22" t="inlineStr">
        <is>
          <t>VA-7Z</t>
        </is>
      </c>
      <c r="D453" s="21" t="inlineStr">
        <is>
          <t>Секатор АРС / ARS (VA-7Z) професійний з коваделком Японія</t>
        </is>
      </c>
      <c r="E453" s="23" t="n">
        <v>2195</v>
      </c>
      <c r="F453" s="22" t="inlineStr">
        <is>
          <t>так</t>
        </is>
      </c>
      <c r="G453" s="23" t="n"/>
      <c r="H453" s="22" t="inlineStr"/>
      <c r="I453" s="24" t="n">
        <v>2195</v>
      </c>
      <c r="J453" s="22" t="inlineStr">
        <is>
          <t>так</t>
        </is>
      </c>
      <c r="K453" s="22" t="inlineStr">
        <is>
          <t>Клуб Рослин</t>
        </is>
      </c>
      <c r="L453" s="23" t="n">
        <v>2195</v>
      </c>
      <c r="M453" s="23">
        <f>IF(L453="","",E453-L453)</f>
        <v/>
      </c>
      <c r="N453" s="25">
        <f>IF(OR(L453="",L453=0),"",M453/L453)</f>
        <v/>
      </c>
      <c r="O453" s="23" t="n"/>
      <c r="P453" s="22" t="n">
        <v>0</v>
      </c>
      <c r="Q453" s="22" t="n">
        <v>0</v>
      </c>
      <c r="R453" s="22" t="inlineStr">
        <is>
          <t>схожа назва</t>
        </is>
      </c>
      <c r="S453" s="26" t="inlineStr">
        <is>
          <t>відкрити</t>
        </is>
      </c>
    </row>
    <row r="454">
      <c r="A454" s="20" t="inlineStr">
        <is>
          <t>В нормі</t>
        </is>
      </c>
      <c r="B454" s="21" t="inlineStr"/>
      <c r="C454" s="22" t="inlineStr">
        <is>
          <t>VA-8Z</t>
        </is>
      </c>
      <c r="D454" s="21" t="inlineStr">
        <is>
          <t>Секатор АРС / ARS (VA-8Z) професійний з коваделком Японія</t>
        </is>
      </c>
      <c r="E454" s="23" t="n">
        <v>2299</v>
      </c>
      <c r="F454" s="22" t="inlineStr">
        <is>
          <t>так</t>
        </is>
      </c>
      <c r="G454" s="23" t="n"/>
      <c r="H454" s="22" t="inlineStr"/>
      <c r="I454" s="24" t="n">
        <v>2299</v>
      </c>
      <c r="J454" s="22" t="inlineStr">
        <is>
          <t>так</t>
        </is>
      </c>
      <c r="K454" s="22" t="inlineStr">
        <is>
          <t>Клуб Рослин</t>
        </is>
      </c>
      <c r="L454" s="23" t="n">
        <v>2299</v>
      </c>
      <c r="M454" s="23">
        <f>IF(L454="","",E454-L454)</f>
        <v/>
      </c>
      <c r="N454" s="25">
        <f>IF(OR(L454="",L454=0),"",M454/L454)</f>
        <v/>
      </c>
      <c r="O454" s="23" t="n"/>
      <c r="P454" s="22" t="n">
        <v>0</v>
      </c>
      <c r="Q454" s="22" t="n">
        <v>0</v>
      </c>
      <c r="R454" s="22" t="inlineStr">
        <is>
          <t>схожа назва</t>
        </is>
      </c>
      <c r="S454" s="26" t="inlineStr">
        <is>
          <t>відкрити</t>
        </is>
      </c>
    </row>
    <row r="455">
      <c r="A455" s="20" t="inlineStr">
        <is>
          <t>В нормі</t>
        </is>
      </c>
      <c r="B455" s="21" t="inlineStr"/>
      <c r="C455" s="22" t="inlineStr">
        <is>
          <t>VS-7XZ</t>
        </is>
      </c>
      <c r="D455" s="21" t="inlineStr">
        <is>
          <t>Секатор АРС / ARS (VS-7XZ) професійний обвідний Японія</t>
        </is>
      </c>
      <c r="E455" s="23" t="n">
        <v>2099</v>
      </c>
      <c r="F455" s="22" t="inlineStr">
        <is>
          <t>так</t>
        </is>
      </c>
      <c r="G455" s="24" t="n">
        <v>2099</v>
      </c>
      <c r="H455" s="22" t="inlineStr">
        <is>
          <t>так</t>
        </is>
      </c>
      <c r="I455" s="23" t="n"/>
      <c r="J455" s="22" t="inlineStr"/>
      <c r="K455" s="22" t="inlineStr">
        <is>
          <t>Водоспад</t>
        </is>
      </c>
      <c r="L455" s="23" t="n">
        <v>2099</v>
      </c>
      <c r="M455" s="23">
        <f>IF(L455="","",E455-L455)</f>
        <v/>
      </c>
      <c r="N455" s="25">
        <f>IF(OR(L455="",L455=0),"",M455/L455)</f>
        <v/>
      </c>
      <c r="O455" s="23" t="n"/>
      <c r="P455" s="22" t="n">
        <v>0</v>
      </c>
      <c r="Q455" s="22" t="n">
        <v>0</v>
      </c>
      <c r="R455" s="22" t="inlineStr">
        <is>
          <t>код</t>
        </is>
      </c>
      <c r="S455" s="26" t="inlineStr">
        <is>
          <t>відкрити</t>
        </is>
      </c>
    </row>
    <row r="456">
      <c r="A456" s="20" t="inlineStr">
        <is>
          <t>В нормі</t>
        </is>
      </c>
      <c r="B456" s="21" t="inlineStr"/>
      <c r="C456" s="22" t="inlineStr">
        <is>
          <t>VS-8XR</t>
        </is>
      </c>
      <c r="D456" s="21" t="inlineStr">
        <is>
          <t>Секатор АРС / ARS (VS-8XR) садовий з поворотною ручкою Японія</t>
        </is>
      </c>
      <c r="E456" s="23" t="n">
        <v>2629</v>
      </c>
      <c r="F456" s="22" t="inlineStr">
        <is>
          <t>так</t>
        </is>
      </c>
      <c r="G456" s="24" t="n">
        <v>2629</v>
      </c>
      <c r="H456" s="22" t="inlineStr">
        <is>
          <t>так</t>
        </is>
      </c>
      <c r="I456" s="23" t="n"/>
      <c r="J456" s="22" t="inlineStr"/>
      <c r="K456" s="22" t="inlineStr">
        <is>
          <t>Водоспад</t>
        </is>
      </c>
      <c r="L456" s="23" t="n">
        <v>2629</v>
      </c>
      <c r="M456" s="23">
        <f>IF(L456="","",E456-L456)</f>
        <v/>
      </c>
      <c r="N456" s="25">
        <f>IF(OR(L456="",L456=0),"",M456/L456)</f>
        <v/>
      </c>
      <c r="O456" s="23" t="n"/>
      <c r="P456" s="22" t="n">
        <v>0</v>
      </c>
      <c r="Q456" s="22" t="n">
        <v>0</v>
      </c>
      <c r="R456" s="22" t="inlineStr">
        <is>
          <t>код</t>
        </is>
      </c>
      <c r="S456" s="26" t="inlineStr">
        <is>
          <t>відкрити</t>
        </is>
      </c>
    </row>
    <row r="457">
      <c r="A457" s="20" t="inlineStr">
        <is>
          <t>В нормі</t>
        </is>
      </c>
      <c r="B457" s="21" t="inlineStr"/>
      <c r="C457" s="22" t="inlineStr">
        <is>
          <t>VS-8XZ</t>
        </is>
      </c>
      <c r="D457" s="21" t="inlineStr">
        <is>
          <t>Секатор АРС / ARS (VS-8XZ) професійний обвідний Японія</t>
        </is>
      </c>
      <c r="E457" s="23" t="n">
        <v>2299</v>
      </c>
      <c r="F457" s="22" t="inlineStr">
        <is>
          <t>так</t>
        </is>
      </c>
      <c r="G457" s="24" t="n">
        <v>2299</v>
      </c>
      <c r="H457" s="22" t="inlineStr">
        <is>
          <t>так</t>
        </is>
      </c>
      <c r="I457" s="23" t="n"/>
      <c r="J457" s="22" t="inlineStr"/>
      <c r="K457" s="22" t="inlineStr">
        <is>
          <t>Водоспад</t>
        </is>
      </c>
      <c r="L457" s="23" t="n">
        <v>2299</v>
      </c>
      <c r="M457" s="23">
        <f>IF(L457="","",E457-L457)</f>
        <v/>
      </c>
      <c r="N457" s="25">
        <f>IF(OR(L457="",L457=0),"",M457/L457)</f>
        <v/>
      </c>
      <c r="O457" s="23" t="n"/>
      <c r="P457" s="22" t="n">
        <v>0</v>
      </c>
      <c r="Q457" s="22" t="n">
        <v>0</v>
      </c>
      <c r="R457" s="22" t="inlineStr">
        <is>
          <t>код</t>
        </is>
      </c>
      <c r="S457" s="26" t="inlineStr">
        <is>
          <t>відкрити</t>
        </is>
      </c>
    </row>
    <row r="458">
      <c r="A458" s="20" t="inlineStr">
        <is>
          <t>В нормі</t>
        </is>
      </c>
      <c r="B458" s="21" t="inlineStr"/>
      <c r="C458" s="22" t="inlineStr">
        <is>
          <t>VS-9XR</t>
        </is>
      </c>
      <c r="D458" s="21" t="inlineStr">
        <is>
          <t>Секатор АРС / ARS (VS-9XR) садовий з поворотною ручкою Японія</t>
        </is>
      </c>
      <c r="E458" s="23" t="n">
        <v>2869</v>
      </c>
      <c r="F458" s="22" t="inlineStr">
        <is>
          <t>так</t>
        </is>
      </c>
      <c r="G458" s="24" t="n">
        <v>2869</v>
      </c>
      <c r="H458" s="22" t="inlineStr">
        <is>
          <t>так</t>
        </is>
      </c>
      <c r="I458" s="23" t="n"/>
      <c r="J458" s="22" t="inlineStr"/>
      <c r="K458" s="22" t="inlineStr">
        <is>
          <t>Водоспад</t>
        </is>
      </c>
      <c r="L458" s="23" t="n">
        <v>2869</v>
      </c>
      <c r="M458" s="23">
        <f>IF(L458="","",E458-L458)</f>
        <v/>
      </c>
      <c r="N458" s="25">
        <f>IF(OR(L458="",L458=0),"",M458/L458)</f>
        <v/>
      </c>
      <c r="O458" s="23" t="n"/>
      <c r="P458" s="22" t="n">
        <v>0</v>
      </c>
      <c r="Q458" s="22" t="n">
        <v>0</v>
      </c>
      <c r="R458" s="22" t="inlineStr">
        <is>
          <t>код</t>
        </is>
      </c>
      <c r="S458" s="26" t="inlineStr">
        <is>
          <t>відкрити</t>
        </is>
      </c>
    </row>
    <row r="459">
      <c r="A459" s="20" t="inlineStr">
        <is>
          <t>В нормі</t>
        </is>
      </c>
      <c r="B459" s="21" t="inlineStr"/>
      <c r="C459" s="22" t="inlineStr">
        <is>
          <t>VS-9XZ</t>
        </is>
      </c>
      <c r="D459" s="21" t="inlineStr">
        <is>
          <t>Секатор АРС / ARS (VS-9XZ) професійний обвідний Японія</t>
        </is>
      </c>
      <c r="E459" s="23" t="n">
        <v>2519</v>
      </c>
      <c r="F459" s="27" t="inlineStr">
        <is>
          <t>ні</t>
        </is>
      </c>
      <c r="G459" s="24" t="n">
        <v>2519</v>
      </c>
      <c r="H459" s="22" t="inlineStr">
        <is>
          <t>так</t>
        </is>
      </c>
      <c r="I459" s="23" t="n"/>
      <c r="J459" s="22" t="inlineStr"/>
      <c r="K459" s="22" t="inlineStr">
        <is>
          <t>Водоспад</t>
        </is>
      </c>
      <c r="L459" s="23" t="n">
        <v>2519</v>
      </c>
      <c r="M459" s="23">
        <f>IF(L459="","",E459-L459)</f>
        <v/>
      </c>
      <c r="N459" s="25">
        <f>IF(OR(L459="",L459=0),"",M459/L459)</f>
        <v/>
      </c>
      <c r="O459" s="23" t="n"/>
      <c r="P459" s="22" t="n">
        <v>0</v>
      </c>
      <c r="Q459" s="22" t="n">
        <v>0</v>
      </c>
      <c r="R459" s="22" t="inlineStr">
        <is>
          <t>код</t>
        </is>
      </c>
      <c r="S459" s="26" t="inlineStr">
        <is>
          <t>відкрити</t>
        </is>
      </c>
    </row>
    <row r="460">
      <c r="A460" s="20" t="inlineStr">
        <is>
          <t>В нормі</t>
        </is>
      </c>
      <c r="B460" s="21" t="inlineStr"/>
      <c r="C460" s="22" t="inlineStr">
        <is>
          <t>СВ-9</t>
        </is>
      </c>
      <c r="D460" s="21" t="inlineStr">
        <is>
          <t>Секатор АРС / ARS (СВ-9) садовий обвідний Японія</t>
        </is>
      </c>
      <c r="E460" s="23" t="n">
        <v>1792</v>
      </c>
      <c r="F460" s="27" t="inlineStr">
        <is>
          <t>ні</t>
        </is>
      </c>
      <c r="G460" s="23" t="n"/>
      <c r="H460" s="22" t="inlineStr"/>
      <c r="I460" s="24" t="n">
        <v>1792</v>
      </c>
      <c r="J460" s="27" t="inlineStr">
        <is>
          <t>ні</t>
        </is>
      </c>
      <c r="K460" s="22" t="inlineStr">
        <is>
          <t>Клуб Рослин</t>
        </is>
      </c>
      <c r="L460" s="23" t="n">
        <v>1792</v>
      </c>
      <c r="M460" s="23">
        <f>IF(L460="","",E460-L460)</f>
        <v/>
      </c>
      <c r="N460" s="25">
        <f>IF(OR(L460="",L460=0),"",M460/L460)</f>
        <v/>
      </c>
      <c r="O460" s="23" t="n"/>
      <c r="P460" s="22" t="n">
        <v>0</v>
      </c>
      <c r="Q460" s="22" t="n">
        <v>0</v>
      </c>
      <c r="R460" s="22" t="inlineStr">
        <is>
          <t>схожа назва</t>
        </is>
      </c>
      <c r="S460" s="26" t="inlineStr">
        <is>
          <t>відкрити</t>
        </is>
      </c>
    </row>
    <row r="461">
      <c r="A461" s="20" t="inlineStr">
        <is>
          <t>В нормі</t>
        </is>
      </c>
      <c r="B461" s="21" t="inlineStr"/>
      <c r="C461" s="22" t="inlineStr">
        <is>
          <t>121001007003</t>
        </is>
      </c>
      <c r="D461" s="21" t="inlineStr">
        <is>
          <t>Секатор Альпен Ріджі 300 / Alpen Rigi 300 для збору плодів Швейцарія</t>
        </is>
      </c>
      <c r="E461" s="23" t="n">
        <v>420</v>
      </c>
      <c r="F461" s="27" t="inlineStr">
        <is>
          <t>ні</t>
        </is>
      </c>
      <c r="G461" s="23" t="n"/>
      <c r="H461" s="22" t="inlineStr"/>
      <c r="I461" s="24" t="n">
        <v>420</v>
      </c>
      <c r="J461" s="22" t="inlineStr">
        <is>
          <t>так</t>
        </is>
      </c>
      <c r="K461" s="22" t="inlineStr">
        <is>
          <t>Клуб Рослин</t>
        </is>
      </c>
      <c r="L461" s="23" t="n">
        <v>420</v>
      </c>
      <c r="M461" s="23">
        <f>IF(L461="","",E461-L461)</f>
        <v/>
      </c>
      <c r="N461" s="25">
        <f>IF(OR(L461="",L461=0),"",M461/L461)</f>
        <v/>
      </c>
      <c r="O461" s="23" t="n"/>
      <c r="P461" s="22" t="n">
        <v>0</v>
      </c>
      <c r="Q461" s="22" t="n">
        <v>0</v>
      </c>
      <c r="R461" s="22" t="inlineStr">
        <is>
          <t>код</t>
        </is>
      </c>
      <c r="S461" s="26" t="inlineStr">
        <is>
          <t>відкрити</t>
        </is>
      </c>
    </row>
    <row r="462">
      <c r="A462" s="20" t="inlineStr">
        <is>
          <t>В нормі</t>
        </is>
      </c>
      <c r="B462" s="21" t="inlineStr"/>
      <c r="C462" s="22" t="inlineStr">
        <is>
          <t>MKK-5</t>
        </is>
      </c>
      <c r="D462" s="21" t="inlineStr">
        <is>
          <t>Секатор Кошійї / Koshiji MKK-5 ковані ножиці для квітів 180 мм</t>
        </is>
      </c>
      <c r="E462" s="23" t="n">
        <v>2259</v>
      </c>
      <c r="F462" s="27" t="inlineStr">
        <is>
          <t>ні</t>
        </is>
      </c>
      <c r="G462" s="23" t="n"/>
      <c r="H462" s="22" t="inlineStr"/>
      <c r="I462" s="24" t="n">
        <v>2259</v>
      </c>
      <c r="J462" s="22" t="inlineStr">
        <is>
          <t>так</t>
        </is>
      </c>
      <c r="K462" s="22" t="inlineStr">
        <is>
          <t>Клуб Рослин</t>
        </is>
      </c>
      <c r="L462" s="23" t="n">
        <v>2259</v>
      </c>
      <c r="M462" s="23">
        <f>IF(L462="","",E462-L462)</f>
        <v/>
      </c>
      <c r="N462" s="25">
        <f>IF(OR(L462="",L462=0),"",M462/L462)</f>
        <v/>
      </c>
      <c r="O462" s="23" t="n"/>
      <c r="P462" s="22" t="n">
        <v>0</v>
      </c>
      <c r="Q462" s="22" t="n">
        <v>0</v>
      </c>
      <c r="R462" s="22" t="inlineStr">
        <is>
          <t>модель</t>
        </is>
      </c>
      <c r="S462" s="26" t="inlineStr">
        <is>
          <t>відкрити</t>
        </is>
      </c>
    </row>
    <row r="463">
      <c r="A463" s="20" t="inlineStr">
        <is>
          <t>В нормі</t>
        </is>
      </c>
      <c r="B463" s="21" t="inlineStr"/>
      <c r="C463" s="22" t="inlineStr">
        <is>
          <t>MKK-7</t>
        </is>
      </c>
      <c r="D463" s="21" t="inlineStr">
        <is>
          <t>Секатор Кошійї / Koshiji MKK-7 ковані ножиці для квітів 170 мм</t>
        </is>
      </c>
      <c r="E463" s="23" t="n">
        <v>2259</v>
      </c>
      <c r="F463" s="27" t="inlineStr">
        <is>
          <t>ні</t>
        </is>
      </c>
      <c r="G463" s="23" t="n"/>
      <c r="H463" s="22" t="inlineStr"/>
      <c r="I463" s="24" t="n">
        <v>2259</v>
      </c>
      <c r="J463" s="22" t="inlineStr">
        <is>
          <t>так</t>
        </is>
      </c>
      <c r="K463" s="22" t="inlineStr">
        <is>
          <t>Клуб Рослин</t>
        </is>
      </c>
      <c r="L463" s="23" t="n">
        <v>2259</v>
      </c>
      <c r="M463" s="23">
        <f>IF(L463="","",E463-L463)</f>
        <v/>
      </c>
      <c r="N463" s="25">
        <f>IF(OR(L463="",L463=0),"",M463/L463)</f>
        <v/>
      </c>
      <c r="O463" s="23" t="n"/>
      <c r="P463" s="22" t="n">
        <v>0</v>
      </c>
      <c r="Q463" s="22" t="n">
        <v>0</v>
      </c>
      <c r="R463" s="22" t="inlineStr">
        <is>
          <t>модель</t>
        </is>
      </c>
      <c r="S463" s="26" t="inlineStr">
        <is>
          <t>відкрити</t>
        </is>
      </c>
    </row>
    <row r="464">
      <c r="A464" s="20" t="inlineStr">
        <is>
          <t>В нормі</t>
        </is>
      </c>
      <c r="B464" s="21" t="inlineStr"/>
      <c r="C464" s="22" t="inlineStr">
        <is>
          <t>BCL21</t>
        </is>
      </c>
      <c r="D464" s="21" t="inlineStr">
        <is>
          <t>Секатор акумуляторний Bahco BCL21</t>
        </is>
      </c>
      <c r="E464" s="23" t="n">
        <v>49900</v>
      </c>
      <c r="F464" s="27" t="inlineStr">
        <is>
          <t>ні</t>
        </is>
      </c>
      <c r="G464" s="23" t="n">
        <v>47862</v>
      </c>
      <c r="H464" s="27" t="inlineStr">
        <is>
          <t>ні</t>
        </is>
      </c>
      <c r="I464" s="24" t="n">
        <v>49900</v>
      </c>
      <c r="J464" s="22" t="inlineStr">
        <is>
          <t>так</t>
        </is>
      </c>
      <c r="K464" s="22" t="inlineStr">
        <is>
          <t>Клуб Рослин</t>
        </is>
      </c>
      <c r="L464" s="23" t="n">
        <v>49900</v>
      </c>
      <c r="M464" s="23">
        <f>IF(L464="","",E464-L464)</f>
        <v/>
      </c>
      <c r="N464" s="25">
        <f>IF(OR(L464="",L464=0),"",M464/L464)</f>
        <v/>
      </c>
      <c r="O464" s="23" t="n"/>
      <c r="P464" s="22" t="n">
        <v>0</v>
      </c>
      <c r="Q464" s="22" t="n">
        <v>0</v>
      </c>
      <c r="R464" s="22" t="inlineStr">
        <is>
          <t>модель</t>
        </is>
      </c>
      <c r="S464" s="26" t="inlineStr">
        <is>
          <t>відкрити</t>
        </is>
      </c>
    </row>
    <row r="465">
      <c r="A465" s="20" t="inlineStr">
        <is>
          <t>В нормі</t>
        </is>
      </c>
      <c r="B465" s="21" t="inlineStr"/>
      <c r="C465" s="22" t="inlineStr">
        <is>
          <t>06019K1021</t>
        </is>
      </c>
      <c r="D465" s="21" t="inlineStr">
        <is>
          <t>Секатор акумуляторний Bosch Professional Pro Pruner (06019K1021)</t>
        </is>
      </c>
      <c r="E465" s="23" t="n">
        <v>11766</v>
      </c>
      <c r="F465" s="27" t="inlineStr">
        <is>
          <t>ні</t>
        </is>
      </c>
      <c r="G465" s="24" t="n">
        <v>11766</v>
      </c>
      <c r="H465" s="22" t="inlineStr">
        <is>
          <t>так</t>
        </is>
      </c>
      <c r="I465" s="23" t="n">
        <v>11202</v>
      </c>
      <c r="J465" s="27" t="inlineStr">
        <is>
          <t>ні</t>
        </is>
      </c>
      <c r="K465" s="22" t="inlineStr">
        <is>
          <t>Водоспад</t>
        </is>
      </c>
      <c r="L465" s="23" t="n">
        <v>11766</v>
      </c>
      <c r="M465" s="23">
        <f>IF(L465="","",E465-L465)</f>
        <v/>
      </c>
      <c r="N465" s="25">
        <f>IF(OR(L465="",L465=0),"",M465/L465)</f>
        <v/>
      </c>
      <c r="O465" s="23" t="n"/>
      <c r="P465" s="22" t="n">
        <v>0</v>
      </c>
      <c r="Q465" s="22" t="n">
        <v>0</v>
      </c>
      <c r="R465" s="22" t="inlineStr">
        <is>
          <t>код</t>
        </is>
      </c>
      <c r="S465" s="26" t="inlineStr">
        <is>
          <t>відкрити</t>
        </is>
      </c>
    </row>
    <row r="466">
      <c r="A466" s="20" t="inlineStr">
        <is>
          <t>В нормі</t>
        </is>
      </c>
      <c r="B466" s="21" t="inlineStr"/>
      <c r="C466" s="22" t="inlineStr">
        <is>
          <t>FAL2000</t>
        </is>
      </c>
      <c r="D466" s="21" t="inlineStr">
        <is>
          <t>Секатор з двома ріжучими лезами 21 см Falket / Фалкет (FAL2000) Італія</t>
        </is>
      </c>
      <c r="E466" s="23" t="n">
        <v>1990</v>
      </c>
      <c r="F466" s="27" t="inlineStr">
        <is>
          <t>ні</t>
        </is>
      </c>
      <c r="G466" s="24" t="n">
        <v>1990</v>
      </c>
      <c r="H466" s="27" t="inlineStr">
        <is>
          <t>ні</t>
        </is>
      </c>
      <c r="I466" s="23" t="n"/>
      <c r="J466" s="22" t="inlineStr"/>
      <c r="K466" s="22" t="inlineStr">
        <is>
          <t>Водоспад</t>
        </is>
      </c>
      <c r="L466" s="23" t="n">
        <v>1990</v>
      </c>
      <c r="M466" s="23">
        <f>IF(L466="","",E466-L466)</f>
        <v/>
      </c>
      <c r="N466" s="25">
        <f>IF(OR(L466="",L466=0),"",M466/L466)</f>
        <v/>
      </c>
      <c r="O466" s="23" t="n"/>
      <c r="P466" s="22" t="n">
        <v>0</v>
      </c>
      <c r="Q466" s="22" t="n">
        <v>0</v>
      </c>
      <c r="R466" s="22" t="inlineStr">
        <is>
          <t>код</t>
        </is>
      </c>
      <c r="S466" s="26" t="inlineStr">
        <is>
          <t>відкрити</t>
        </is>
      </c>
    </row>
    <row r="467">
      <c r="A467" s="20" t="inlineStr">
        <is>
          <t>В нормі</t>
        </is>
      </c>
      <c r="B467" s="21" t="inlineStr">
        <is>
          <t>Немає в наявності в жодного постачальника</t>
        </is>
      </c>
      <c r="C467" s="22" t="inlineStr">
        <is>
          <t>FAL2209</t>
        </is>
      </c>
      <c r="D467" s="21" t="inlineStr">
        <is>
          <t>Секатор з двома ріжучими лезами зі зміщенням осі 20 см Falket / Фалкет (FAL2209) Італія</t>
        </is>
      </c>
      <c r="E467" s="23" t="n">
        <v>2050</v>
      </c>
      <c r="F467" s="22" t="inlineStr">
        <is>
          <t>так</t>
        </is>
      </c>
      <c r="G467" s="24" t="n">
        <v>2050</v>
      </c>
      <c r="H467" s="27" t="inlineStr">
        <is>
          <t>ні</t>
        </is>
      </c>
      <c r="I467" s="23" t="n"/>
      <c r="J467" s="22" t="inlineStr"/>
      <c r="K467" s="22" t="inlineStr">
        <is>
          <t>Водоспад</t>
        </is>
      </c>
      <c r="L467" s="23" t="n">
        <v>2050</v>
      </c>
      <c r="M467" s="23">
        <f>IF(L467="","",E467-L467)</f>
        <v/>
      </c>
      <c r="N467" s="25">
        <f>IF(OR(L467="",L467=0),"",M467/L467)</f>
        <v/>
      </c>
      <c r="O467" s="23" t="n"/>
      <c r="P467" s="22" t="n">
        <v>0</v>
      </c>
      <c r="Q467" s="22" t="n">
        <v>0</v>
      </c>
      <c r="R467" s="22" t="inlineStr">
        <is>
          <t>код</t>
        </is>
      </c>
      <c r="S467" s="26" t="inlineStr">
        <is>
          <t>відкрити</t>
        </is>
      </c>
    </row>
    <row r="468">
      <c r="A468" s="20" t="inlineStr">
        <is>
          <t>В нормі</t>
        </is>
      </c>
      <c r="B468" s="21" t="inlineStr"/>
      <c r="C468" s="22" t="inlineStr">
        <is>
          <t>1.109</t>
        </is>
      </c>
      <c r="D468" s="21" t="inlineStr">
        <is>
          <t>Секатор з ковадлом Lowe Original 1.109 Німеччина</t>
        </is>
      </c>
      <c r="E468" s="23" t="n">
        <v>2800</v>
      </c>
      <c r="F468" s="27" t="inlineStr">
        <is>
          <t>ні</t>
        </is>
      </c>
      <c r="G468" s="24" t="n">
        <v>2800</v>
      </c>
      <c r="H468" s="27" t="inlineStr">
        <is>
          <t>ні</t>
        </is>
      </c>
      <c r="I468" s="23" t="n"/>
      <c r="J468" s="22" t="inlineStr"/>
      <c r="K468" s="22" t="inlineStr">
        <is>
          <t>Водоспад</t>
        </is>
      </c>
      <c r="L468" s="23" t="n">
        <v>2800</v>
      </c>
      <c r="M468" s="23">
        <f>IF(L468="","",E468-L468)</f>
        <v/>
      </c>
      <c r="N468" s="25">
        <f>IF(OR(L468="",L468=0),"",M468/L468)</f>
        <v/>
      </c>
      <c r="O468" s="23" t="n"/>
      <c r="P468" s="22" t="n">
        <v>0</v>
      </c>
      <c r="Q468" s="22" t="n">
        <v>0</v>
      </c>
      <c r="R468" s="22" t="inlineStr">
        <is>
          <t>схожа назва</t>
        </is>
      </c>
      <c r="S468" s="26" t="inlineStr">
        <is>
          <t>відкрити</t>
        </is>
      </c>
    </row>
    <row r="469">
      <c r="A469" s="20" t="inlineStr">
        <is>
          <t>В нормі</t>
        </is>
      </c>
      <c r="B469" s="21" t="inlineStr"/>
      <c r="C469" s="22" t="inlineStr">
        <is>
          <t>Fal1162</t>
        </is>
      </c>
      <c r="D469" s="21" t="inlineStr">
        <is>
          <t>Секатор з наковальнею Falket / Фалкет (FAL1162) Італія</t>
        </is>
      </c>
      <c r="E469" s="23" t="n">
        <v>1850</v>
      </c>
      <c r="F469" s="22" t="inlineStr">
        <is>
          <t>так</t>
        </is>
      </c>
      <c r="G469" s="24" t="n">
        <v>1850</v>
      </c>
      <c r="H469" s="22" t="inlineStr">
        <is>
          <t>так</t>
        </is>
      </c>
      <c r="I469" s="23" t="n"/>
      <c r="J469" s="22" t="inlineStr"/>
      <c r="K469" s="22" t="inlineStr">
        <is>
          <t>Водоспад</t>
        </is>
      </c>
      <c r="L469" s="23" t="n">
        <v>1850</v>
      </c>
      <c r="M469" s="23">
        <f>IF(L469="","",E469-L469)</f>
        <v/>
      </c>
      <c r="N469" s="25">
        <f>IF(OR(L469="",L469=0),"",M469/L469)</f>
        <v/>
      </c>
      <c r="O469" s="23" t="n"/>
      <c r="P469" s="22" t="n">
        <v>0</v>
      </c>
      <c r="Q469" s="22" t="n">
        <v>0</v>
      </c>
      <c r="R469" s="22" t="inlineStr">
        <is>
          <t>код</t>
        </is>
      </c>
      <c r="S469" s="26" t="inlineStr">
        <is>
          <t>відкрити</t>
        </is>
      </c>
    </row>
    <row r="470">
      <c r="A470" s="20" t="inlineStr">
        <is>
          <t>В нормі</t>
        </is>
      </c>
      <c r="B470" s="21" t="inlineStr"/>
      <c r="C470" s="22" t="inlineStr">
        <is>
          <t>FAL2390</t>
        </is>
      </c>
      <c r="D470" s="21" t="inlineStr">
        <is>
          <t>Секатор обвідний 23 см Фалкет / Falket (FAL2390) Італія</t>
        </is>
      </c>
      <c r="E470" s="23" t="n">
        <v>895</v>
      </c>
      <c r="F470" s="27" t="inlineStr">
        <is>
          <t>ні</t>
        </is>
      </c>
      <c r="G470" s="24" t="n">
        <v>895</v>
      </c>
      <c r="H470" s="27" t="inlineStr">
        <is>
          <t>ні</t>
        </is>
      </c>
      <c r="I470" s="23" t="n"/>
      <c r="J470" s="22" t="inlineStr"/>
      <c r="K470" s="22" t="inlineStr">
        <is>
          <t>Водоспад</t>
        </is>
      </c>
      <c r="L470" s="23" t="n">
        <v>895</v>
      </c>
      <c r="M470" s="23">
        <f>IF(L470="","",E470-L470)</f>
        <v/>
      </c>
      <c r="N470" s="25">
        <f>IF(OR(L470="",L470=0),"",M470/L470)</f>
        <v/>
      </c>
      <c r="O470" s="23" t="n"/>
      <c r="P470" s="22" t="n">
        <v>0</v>
      </c>
      <c r="Q470" s="22" t="n">
        <v>0</v>
      </c>
      <c r="R470" s="22" t="inlineStr">
        <is>
          <t>код</t>
        </is>
      </c>
      <c r="S470" s="26" t="inlineStr">
        <is>
          <t>відкрити</t>
        </is>
      </c>
    </row>
    <row r="471">
      <c r="A471" s="20" t="inlineStr">
        <is>
          <t>В нормі</t>
        </is>
      </c>
      <c r="B471" s="21" t="inlineStr"/>
      <c r="C471" s="22" t="inlineStr">
        <is>
          <t>12.104</t>
        </is>
      </c>
      <c r="D471" s="21" t="inlineStr">
        <is>
          <t>Секатор обвідний Льове / Lowe Original (12.104) Німеччина</t>
        </is>
      </c>
      <c r="E471" s="23" t="n">
        <v>2440</v>
      </c>
      <c r="F471" s="27" t="inlineStr">
        <is>
          <t>ні</t>
        </is>
      </c>
      <c r="G471" s="24" t="n">
        <v>2440</v>
      </c>
      <c r="H471" s="22" t="inlineStr">
        <is>
          <t>так</t>
        </is>
      </c>
      <c r="I471" s="23" t="n"/>
      <c r="J471" s="22" t="inlineStr"/>
      <c r="K471" s="22" t="inlineStr">
        <is>
          <t>Водоспад</t>
        </is>
      </c>
      <c r="L471" s="23" t="n">
        <v>2440</v>
      </c>
      <c r="M471" s="23">
        <f>IF(L471="","",E471-L471)</f>
        <v/>
      </c>
      <c r="N471" s="25">
        <f>IF(OR(L471="",L471=0),"",M471/L471)</f>
        <v/>
      </c>
      <c r="O471" s="23" t="n"/>
      <c r="P471" s="22" t="n">
        <v>0</v>
      </c>
      <c r="Q471" s="22" t="n">
        <v>0</v>
      </c>
      <c r="R471" s="22" t="inlineStr">
        <is>
          <t>код</t>
        </is>
      </c>
      <c r="S471" s="26" t="inlineStr">
        <is>
          <t>відкрити</t>
        </is>
      </c>
    </row>
    <row r="472">
      <c r="A472" s="20" t="inlineStr">
        <is>
          <t>В нормі</t>
        </is>
      </c>
      <c r="B472" s="21" t="inlineStr"/>
      <c r="C472" s="22" t="inlineStr">
        <is>
          <t>12.109</t>
        </is>
      </c>
      <c r="D472" s="21" t="inlineStr">
        <is>
          <t>Секатор обвідний з поворотною ручкою Льове / Lowe Original (12.109) Німеччина</t>
        </is>
      </c>
      <c r="E472" s="23" t="n">
        <v>3190</v>
      </c>
      <c r="F472" s="27" t="inlineStr">
        <is>
          <t>ні</t>
        </is>
      </c>
      <c r="G472" s="24" t="n">
        <v>3190</v>
      </c>
      <c r="H472" s="22" t="inlineStr">
        <is>
          <t>так</t>
        </is>
      </c>
      <c r="I472" s="23" t="n"/>
      <c r="J472" s="22" t="inlineStr"/>
      <c r="K472" s="22" t="inlineStr">
        <is>
          <t>Водоспад</t>
        </is>
      </c>
      <c r="L472" s="23" t="n">
        <v>3190</v>
      </c>
      <c r="M472" s="23">
        <f>IF(L472="","",E472-L472)</f>
        <v/>
      </c>
      <c r="N472" s="25">
        <f>IF(OR(L472="",L472=0),"",M472/L472)</f>
        <v/>
      </c>
      <c r="O472" s="23" t="n"/>
      <c r="P472" s="22" t="n">
        <v>0</v>
      </c>
      <c r="Q472" s="22" t="n">
        <v>0</v>
      </c>
      <c r="R472" s="22" t="inlineStr">
        <is>
          <t>код</t>
        </is>
      </c>
      <c r="S472" s="26" t="inlineStr">
        <is>
          <t>відкрити</t>
        </is>
      </c>
    </row>
    <row r="473">
      <c r="A473" s="20" t="inlineStr">
        <is>
          <t>В нормі</t>
        </is>
      </c>
      <c r="B473" s="21" t="inlineStr"/>
      <c r="C473" s="22" t="inlineStr">
        <is>
          <t>14.104</t>
        </is>
      </c>
      <c r="D473" s="21" t="inlineStr">
        <is>
          <t>Секатор садовий LOWE Original 14.104 (190 мм) Німеччина</t>
        </is>
      </c>
      <c r="E473" s="23" t="n">
        <v>1850</v>
      </c>
      <c r="F473" s="22" t="inlineStr">
        <is>
          <t>так</t>
        </is>
      </c>
      <c r="G473" s="24" t="n">
        <v>1850</v>
      </c>
      <c r="H473" s="22" t="inlineStr">
        <is>
          <t>так</t>
        </is>
      </c>
      <c r="I473" s="23" t="n"/>
      <c r="J473" s="22" t="inlineStr"/>
      <c r="K473" s="22" t="inlineStr">
        <is>
          <t>Водоспад</t>
        </is>
      </c>
      <c r="L473" s="23" t="n">
        <v>1850</v>
      </c>
      <c r="M473" s="23">
        <f>IF(L473="","",E473-L473)</f>
        <v/>
      </c>
      <c r="N473" s="25">
        <f>IF(OR(L473="",L473=0),"",M473/L473)</f>
        <v/>
      </c>
      <c r="O473" s="23" t="n"/>
      <c r="P473" s="22" t="n">
        <v>0</v>
      </c>
      <c r="Q473" s="22" t="n">
        <v>0</v>
      </c>
      <c r="R473" s="22" t="inlineStr">
        <is>
          <t>назва</t>
        </is>
      </c>
      <c r="S473" s="26" t="inlineStr">
        <is>
          <t>відкрити</t>
        </is>
      </c>
    </row>
    <row r="474">
      <c r="A474" s="20" t="inlineStr">
        <is>
          <t>В нормі</t>
        </is>
      </c>
      <c r="B474" s="21" t="inlineStr"/>
      <c r="C474" s="22" t="inlineStr">
        <is>
          <t>14.107</t>
        </is>
      </c>
      <c r="D474" s="21" t="inlineStr">
        <is>
          <t>Секатор садовий LOWE Original 14.107 (Німеччина)</t>
        </is>
      </c>
      <c r="E474" s="23" t="n">
        <v>1850</v>
      </c>
      <c r="F474" s="22" t="inlineStr">
        <is>
          <t>так</t>
        </is>
      </c>
      <c r="G474" s="24" t="n">
        <v>1850</v>
      </c>
      <c r="H474" s="22" t="inlineStr">
        <is>
          <t>так</t>
        </is>
      </c>
      <c r="I474" s="23" t="n"/>
      <c r="J474" s="22" t="inlineStr"/>
      <c r="K474" s="22" t="inlineStr">
        <is>
          <t>Водоспад</t>
        </is>
      </c>
      <c r="L474" s="23" t="n">
        <v>1850</v>
      </c>
      <c r="M474" s="23">
        <f>IF(L474="","",E474-L474)</f>
        <v/>
      </c>
      <c r="N474" s="25">
        <f>IF(OR(L474="",L474=0),"",M474/L474)</f>
        <v/>
      </c>
      <c r="O474" s="23" t="n"/>
      <c r="P474" s="22" t="n">
        <v>0</v>
      </c>
      <c r="Q474" s="22" t="n">
        <v>0</v>
      </c>
      <c r="R474" s="22" t="inlineStr">
        <is>
          <t>назва</t>
        </is>
      </c>
      <c r="S474" s="26" t="inlineStr">
        <is>
          <t>відкрити</t>
        </is>
      </c>
    </row>
    <row r="475">
      <c r="A475" s="20" t="inlineStr">
        <is>
          <t>В нормі</t>
        </is>
      </c>
      <c r="B475" s="21" t="inlineStr"/>
      <c r="C475" s="22" t="inlineStr">
        <is>
          <t>15.104</t>
        </is>
      </c>
      <c r="D475" s="21" t="inlineStr">
        <is>
          <t>Секатор садовий LOWE Original 15.104</t>
        </is>
      </c>
      <c r="E475" s="23" t="n">
        <v>1850</v>
      </c>
      <c r="F475" s="22" t="inlineStr">
        <is>
          <t>так</t>
        </is>
      </c>
      <c r="G475" s="24" t="n">
        <v>1850</v>
      </c>
      <c r="H475" s="22" t="inlineStr">
        <is>
          <t>так</t>
        </is>
      </c>
      <c r="I475" s="23" t="n"/>
      <c r="J475" s="22" t="inlineStr"/>
      <c r="K475" s="22" t="inlineStr">
        <is>
          <t>Водоспад</t>
        </is>
      </c>
      <c r="L475" s="23" t="n">
        <v>1850</v>
      </c>
      <c r="M475" s="23">
        <f>IF(L475="","",E475-L475)</f>
        <v/>
      </c>
      <c r="N475" s="25">
        <f>IF(OR(L475="",L475=0),"",M475/L475)</f>
        <v/>
      </c>
      <c r="O475" s="23" t="n"/>
      <c r="P475" s="22" t="n">
        <v>0</v>
      </c>
      <c r="Q475" s="22" t="n">
        <v>0</v>
      </c>
      <c r="R475" s="22" t="inlineStr">
        <is>
          <t>код</t>
        </is>
      </c>
      <c r="S475" s="26" t="inlineStr">
        <is>
          <t>відкрити</t>
        </is>
      </c>
    </row>
    <row r="476">
      <c r="A476" s="20" t="inlineStr">
        <is>
          <t>В нормі</t>
        </is>
      </c>
      <c r="B476" s="21" t="inlineStr"/>
      <c r="C476" s="22" t="inlineStr">
        <is>
          <t>KST104</t>
        </is>
      </c>
      <c r="D476" s="21" t="inlineStr">
        <is>
          <t>Секатор садовий Okatsune 104 (KST104) 210 мм. Японія</t>
        </is>
      </c>
      <c r="E476" s="23" t="n">
        <v>2990</v>
      </c>
      <c r="F476" s="22" t="inlineStr">
        <is>
          <t>так</t>
        </is>
      </c>
      <c r="G476" s="24" t="n">
        <v>2990</v>
      </c>
      <c r="H476" s="22" t="inlineStr">
        <is>
          <t>так</t>
        </is>
      </c>
      <c r="I476" s="23" t="n">
        <v>2990</v>
      </c>
      <c r="J476" s="22" t="inlineStr">
        <is>
          <t>так</t>
        </is>
      </c>
      <c r="K476" s="22" t="inlineStr">
        <is>
          <t>Водоспад</t>
        </is>
      </c>
      <c r="L476" s="23" t="n">
        <v>2990</v>
      </c>
      <c r="M476" s="23">
        <f>IF(L476="","",E476-L476)</f>
        <v/>
      </c>
      <c r="N476" s="25">
        <f>IF(OR(L476="",L476=0),"",M476/L476)</f>
        <v/>
      </c>
      <c r="O476" s="23" t="n"/>
      <c r="P476" s="22" t="n">
        <v>0</v>
      </c>
      <c r="Q476" s="22" t="n">
        <v>0</v>
      </c>
      <c r="R476" s="22" t="inlineStr">
        <is>
          <t>код</t>
        </is>
      </c>
      <c r="S476" s="26" t="inlineStr">
        <is>
          <t>відкрити</t>
        </is>
      </c>
    </row>
    <row r="477">
      <c r="A477" s="20" t="inlineStr">
        <is>
          <t>В нормі</t>
        </is>
      </c>
      <c r="B477" s="21" t="inlineStr"/>
      <c r="C477" s="22" t="inlineStr">
        <is>
          <t>11.104</t>
        </is>
      </c>
      <c r="D477" s="21" t="inlineStr">
        <is>
          <t>Секатор садовий Льове / Lowe Original (11.104) Німеччина</t>
        </is>
      </c>
      <c r="E477" s="23" t="n">
        <v>2490</v>
      </c>
      <c r="F477" s="27" t="inlineStr">
        <is>
          <t>ні</t>
        </is>
      </c>
      <c r="G477" s="24" t="n">
        <v>2490</v>
      </c>
      <c r="H477" s="22" t="inlineStr">
        <is>
          <t>так</t>
        </is>
      </c>
      <c r="I477" s="23" t="n"/>
      <c r="J477" s="22" t="inlineStr"/>
      <c r="K477" s="22" t="inlineStr">
        <is>
          <t>Водоспад</t>
        </is>
      </c>
      <c r="L477" s="23" t="n">
        <v>2490</v>
      </c>
      <c r="M477" s="23">
        <f>IF(L477="","",E477-L477)</f>
        <v/>
      </c>
      <c r="N477" s="25">
        <f>IF(OR(L477="",L477=0),"",M477/L477)</f>
        <v/>
      </c>
      <c r="O477" s="23" t="n"/>
      <c r="P477" s="22" t="n">
        <v>0</v>
      </c>
      <c r="Q477" s="22" t="n">
        <v>0</v>
      </c>
      <c r="R477" s="22" t="inlineStr">
        <is>
          <t>код</t>
        </is>
      </c>
      <c r="S477" s="26" t="inlineStr">
        <is>
          <t>відкрити</t>
        </is>
      </c>
    </row>
    <row r="478">
      <c r="A478" s="20" t="inlineStr">
        <is>
          <t>В нормі</t>
        </is>
      </c>
      <c r="B478" s="21" t="inlineStr"/>
      <c r="C478" s="22" t="inlineStr">
        <is>
          <t>KST101</t>
        </is>
      </c>
      <c r="D478" s="21" t="inlineStr">
        <is>
          <t>Секатор садовий Окатсуне / Okatsune 101 (KST101) Японія</t>
        </is>
      </c>
      <c r="E478" s="23" t="n">
        <v>2590</v>
      </c>
      <c r="F478" s="22" t="inlineStr">
        <is>
          <t>так</t>
        </is>
      </c>
      <c r="G478" s="24" t="n">
        <v>2590</v>
      </c>
      <c r="H478" s="22" t="inlineStr">
        <is>
          <t>так</t>
        </is>
      </c>
      <c r="I478" s="23" t="n">
        <v>2590</v>
      </c>
      <c r="J478" s="22" t="inlineStr">
        <is>
          <t>так</t>
        </is>
      </c>
      <c r="K478" s="22" t="inlineStr">
        <is>
          <t>Водоспад</t>
        </is>
      </c>
      <c r="L478" s="23" t="n">
        <v>2590</v>
      </c>
      <c r="M478" s="23">
        <f>IF(L478="","",E478-L478)</f>
        <v/>
      </c>
      <c r="N478" s="25">
        <f>IF(OR(L478="",L478=0),"",M478/L478)</f>
        <v/>
      </c>
      <c r="O478" s="23" t="n"/>
      <c r="P478" s="22" t="n">
        <v>0</v>
      </c>
      <c r="Q478" s="22" t="n">
        <v>0</v>
      </c>
      <c r="R478" s="22" t="inlineStr">
        <is>
          <t>код</t>
        </is>
      </c>
      <c r="S478" s="26" t="inlineStr">
        <is>
          <t>відкрити</t>
        </is>
      </c>
    </row>
    <row r="479">
      <c r="A479" s="20" t="inlineStr">
        <is>
          <t>В нормі</t>
        </is>
      </c>
      <c r="B479" s="21" t="inlineStr"/>
      <c r="C479" s="22" t="inlineStr">
        <is>
          <t>16.104</t>
        </is>
      </c>
      <c r="D479" s="21" t="inlineStr">
        <is>
          <t>Секатор садовий для троянд Льове / Lowe Original (16.104) Німеччина</t>
        </is>
      </c>
      <c r="E479" s="23" t="n">
        <v>2390</v>
      </c>
      <c r="F479" s="27" t="inlineStr">
        <is>
          <t>ні</t>
        </is>
      </c>
      <c r="G479" s="24" t="n">
        <v>2390</v>
      </c>
      <c r="H479" s="22" t="inlineStr">
        <is>
          <t>так</t>
        </is>
      </c>
      <c r="I479" s="23" t="n"/>
      <c r="J479" s="22" t="inlineStr"/>
      <c r="K479" s="22" t="inlineStr">
        <is>
          <t>Водоспад</t>
        </is>
      </c>
      <c r="L479" s="23" t="n">
        <v>2390</v>
      </c>
      <c r="M479" s="23">
        <f>IF(L479="","",E479-L479)</f>
        <v/>
      </c>
      <c r="N479" s="25">
        <f>IF(OR(L479="",L479=0),"",M479/L479)</f>
        <v/>
      </c>
      <c r="O479" s="23" t="n"/>
      <c r="P479" s="22" t="n">
        <v>0</v>
      </c>
      <c r="Q479" s="22" t="n">
        <v>0</v>
      </c>
      <c r="R479" s="22" t="inlineStr">
        <is>
          <t>код</t>
        </is>
      </c>
      <c r="S479" s="26" t="inlineStr">
        <is>
          <t>відкрити</t>
        </is>
      </c>
    </row>
    <row r="480">
      <c r="A480" s="20" t="inlineStr">
        <is>
          <t>В нормі</t>
        </is>
      </c>
      <c r="B480" s="21" t="inlineStr"/>
      <c r="C480" s="22" t="inlineStr">
        <is>
          <t>16.107</t>
        </is>
      </c>
      <c r="D480" s="21" t="inlineStr">
        <is>
          <t>Секатор садовий для троянд Льове / Lowe Original (16.107) Німеччина</t>
        </is>
      </c>
      <c r="E480" s="23" t="n">
        <v>2390</v>
      </c>
      <c r="F480" s="27" t="inlineStr">
        <is>
          <t>ні</t>
        </is>
      </c>
      <c r="G480" s="24" t="n">
        <v>2390</v>
      </c>
      <c r="H480" s="27" t="inlineStr">
        <is>
          <t>ні</t>
        </is>
      </c>
      <c r="I480" s="23" t="n"/>
      <c r="J480" s="22" t="inlineStr"/>
      <c r="K480" s="22" t="inlineStr">
        <is>
          <t>Водоспад</t>
        </is>
      </c>
      <c r="L480" s="23" t="n">
        <v>2390</v>
      </c>
      <c r="M480" s="23">
        <f>IF(L480="","",E480-L480)</f>
        <v/>
      </c>
      <c r="N480" s="25">
        <f>IF(OR(L480="",L480=0),"",M480/L480)</f>
        <v/>
      </c>
      <c r="O480" s="23" t="n"/>
      <c r="P480" s="22" t="n">
        <v>0</v>
      </c>
      <c r="Q480" s="22" t="n">
        <v>0</v>
      </c>
      <c r="R480" s="22" t="inlineStr">
        <is>
          <t>код</t>
        </is>
      </c>
      <c r="S480" s="26" t="inlineStr">
        <is>
          <t>відкрити</t>
        </is>
      </c>
    </row>
    <row r="481">
      <c r="A481" s="20" t="inlineStr">
        <is>
          <t>В нормі</t>
        </is>
      </c>
      <c r="B481" s="21" t="inlineStr"/>
      <c r="C481" s="22" t="inlineStr">
        <is>
          <t>11.109</t>
        </is>
      </c>
      <c r="D481" s="21" t="inlineStr">
        <is>
          <t>Секатор садовий з поворотною ручкою Льове / Lowe Original (11.109) Німеччина</t>
        </is>
      </c>
      <c r="E481" s="23" t="n">
        <v>3495</v>
      </c>
      <c r="F481" s="27" t="inlineStr">
        <is>
          <t>ні</t>
        </is>
      </c>
      <c r="G481" s="24" t="n">
        <v>3495</v>
      </c>
      <c r="H481" s="22" t="inlineStr">
        <is>
          <t>так</t>
        </is>
      </c>
      <c r="I481" s="23" t="n"/>
      <c r="J481" s="22" t="inlineStr"/>
      <c r="K481" s="22" t="inlineStr">
        <is>
          <t>Водоспад</t>
        </is>
      </c>
      <c r="L481" s="23" t="n">
        <v>3495</v>
      </c>
      <c r="M481" s="23">
        <f>IF(L481="","",E481-L481)</f>
        <v/>
      </c>
      <c r="N481" s="25">
        <f>IF(OR(L481="",L481=0),"",M481/L481)</f>
        <v/>
      </c>
      <c r="O481" s="23" t="n"/>
      <c r="P481" s="22" t="n">
        <v>0</v>
      </c>
      <c r="Q481" s="22" t="n">
        <v>0</v>
      </c>
      <c r="R481" s="22" t="inlineStr">
        <is>
          <t>код</t>
        </is>
      </c>
      <c r="S481" s="26" t="inlineStr">
        <is>
          <t>відкрити</t>
        </is>
      </c>
    </row>
    <row r="482">
      <c r="A482" s="20" t="inlineStr">
        <is>
          <t>В нормі</t>
        </is>
      </c>
      <c r="B482" s="21" t="inlineStr"/>
      <c r="C482" s="22" t="inlineStr">
        <is>
          <t>DK-673</t>
        </is>
      </c>
      <c r="D482" s="21" t="inlineStr">
        <is>
          <t>Секатор типу ножиці Доукан / Doukan (DK-673) Японія</t>
        </is>
      </c>
      <c r="E482" s="23" t="n">
        <v>3945</v>
      </c>
      <c r="F482" s="27" t="inlineStr">
        <is>
          <t>ні</t>
        </is>
      </c>
      <c r="G482" s="23" t="n"/>
      <c r="H482" s="22" t="inlineStr"/>
      <c r="I482" s="24" t="n">
        <v>3945</v>
      </c>
      <c r="J482" s="22" t="inlineStr">
        <is>
          <t>так</t>
        </is>
      </c>
      <c r="K482" s="22" t="inlineStr">
        <is>
          <t>Клуб Рослин</t>
        </is>
      </c>
      <c r="L482" s="23" t="n">
        <v>3945</v>
      </c>
      <c r="M482" s="23">
        <f>IF(L482="","",E482-L482)</f>
        <v/>
      </c>
      <c r="N482" s="25">
        <f>IF(OR(L482="",L482=0),"",M482/L482)</f>
        <v/>
      </c>
      <c r="O482" s="23" t="n"/>
      <c r="P482" s="22" t="n">
        <v>0</v>
      </c>
      <c r="Q482" s="22" t="n">
        <v>0</v>
      </c>
      <c r="R482" s="22" t="inlineStr">
        <is>
          <t>модель</t>
        </is>
      </c>
      <c r="S482" s="26" t="inlineStr">
        <is>
          <t>відкрити</t>
        </is>
      </c>
    </row>
    <row r="483">
      <c r="A483" s="20" t="inlineStr">
        <is>
          <t>В нормі</t>
        </is>
      </c>
      <c r="B483" s="21" t="inlineStr"/>
      <c r="C483" s="22" t="inlineStr">
        <is>
          <t>Z-21K</t>
        </is>
      </c>
      <c r="D483" s="21" t="inlineStr">
        <is>
          <t>Секатор типу ножиці Камакі / Kamaki (Z-21K) Японія</t>
        </is>
      </c>
      <c r="E483" s="23" t="n">
        <v>1470</v>
      </c>
      <c r="F483" s="27" t="inlineStr">
        <is>
          <t>ні</t>
        </is>
      </c>
      <c r="G483" s="23" t="n"/>
      <c r="H483" s="22" t="inlineStr"/>
      <c r="I483" s="24" t="n">
        <v>1470</v>
      </c>
      <c r="J483" s="22" t="inlineStr">
        <is>
          <t>так</t>
        </is>
      </c>
      <c r="K483" s="22" t="inlineStr">
        <is>
          <t>Клуб Рослин</t>
        </is>
      </c>
      <c r="L483" s="23" t="n">
        <v>1470</v>
      </c>
      <c r="M483" s="23">
        <f>IF(L483="","",E483-L483)</f>
        <v/>
      </c>
      <c r="N483" s="25">
        <f>IF(OR(L483="",L483=0),"",M483/L483)</f>
        <v/>
      </c>
      <c r="O483" s="23" t="n"/>
      <c r="P483" s="22" t="n">
        <v>0</v>
      </c>
      <c r="Q483" s="22" t="n">
        <v>0</v>
      </c>
      <c r="R483" s="22" t="inlineStr">
        <is>
          <t>модель</t>
        </is>
      </c>
      <c r="S483" s="26" t="inlineStr">
        <is>
          <t>відкрити</t>
        </is>
      </c>
    </row>
    <row r="484">
      <c r="A484" s="20" t="inlineStr">
        <is>
          <t>В нормі</t>
        </is>
      </c>
      <c r="B484" s="21" t="inlineStr"/>
      <c r="C484" s="22" t="inlineStr">
        <is>
          <t>N-207</t>
        </is>
      </c>
      <c r="D484" s="21" t="inlineStr">
        <is>
          <t>Секатор типу ножиці Нішігакі / Nishigaki N-207 Японія</t>
        </is>
      </c>
      <c r="E484" s="23" t="n">
        <v>3299</v>
      </c>
      <c r="F484" s="27" t="inlineStr">
        <is>
          <t>ні</t>
        </is>
      </c>
      <c r="G484" s="23" t="n"/>
      <c r="H484" s="22" t="inlineStr"/>
      <c r="I484" s="24" t="n">
        <v>3299</v>
      </c>
      <c r="J484" s="27" t="inlineStr">
        <is>
          <t>ні</t>
        </is>
      </c>
      <c r="K484" s="22" t="inlineStr">
        <is>
          <t>Клуб Рослин</t>
        </is>
      </c>
      <c r="L484" s="23" t="n">
        <v>3299</v>
      </c>
      <c r="M484" s="23">
        <f>IF(L484="","",E484-L484)</f>
        <v/>
      </c>
      <c r="N484" s="25">
        <f>IF(OR(L484="",L484=0),"",M484/L484)</f>
        <v/>
      </c>
      <c r="O484" s="23" t="n"/>
      <c r="P484" s="22" t="n">
        <v>0</v>
      </c>
      <c r="Q484" s="22" t="n">
        <v>0</v>
      </c>
      <c r="R484" s="22" t="inlineStr">
        <is>
          <t>модель</t>
        </is>
      </c>
      <c r="S484" s="26" t="inlineStr">
        <is>
          <t>відкрити</t>
        </is>
      </c>
    </row>
    <row r="485">
      <c r="A485" s="20" t="inlineStr">
        <is>
          <t>В нормі</t>
        </is>
      </c>
      <c r="B485" s="21" t="inlineStr"/>
      <c r="C485" s="22" t="inlineStr">
        <is>
          <t>ARS-310</t>
        </is>
      </c>
      <c r="D485" s="21" t="inlineStr">
        <is>
          <t>Секатор типу ножиці вигнуті леза АРС / ARS (310) Японія</t>
        </is>
      </c>
      <c r="E485" s="23" t="n">
        <v>445</v>
      </c>
      <c r="F485" s="27" t="inlineStr">
        <is>
          <t>ні</t>
        </is>
      </c>
      <c r="G485" s="23" t="n"/>
      <c r="H485" s="22" t="inlineStr"/>
      <c r="I485" s="24" t="n">
        <v>445</v>
      </c>
      <c r="J485" s="22" t="inlineStr">
        <is>
          <t>так</t>
        </is>
      </c>
      <c r="K485" s="22" t="inlineStr">
        <is>
          <t>Клуб Рослин</t>
        </is>
      </c>
      <c r="L485" s="23" t="n">
        <v>445</v>
      </c>
      <c r="M485" s="23">
        <f>IF(L485="","",E485-L485)</f>
        <v/>
      </c>
      <c r="N485" s="25">
        <f>IF(OR(L485="",L485=0),"",M485/L485)</f>
        <v/>
      </c>
      <c r="O485" s="23" t="n"/>
      <c r="P485" s="22" t="n">
        <v>0</v>
      </c>
      <c r="Q485" s="22" t="n">
        <v>0</v>
      </c>
      <c r="R485" s="22" t="inlineStr">
        <is>
          <t>схожа назва</t>
        </is>
      </c>
      <c r="S485" s="26" t="inlineStr">
        <is>
          <t>відкрити</t>
        </is>
      </c>
    </row>
    <row r="486">
      <c r="A486" s="20" t="inlineStr">
        <is>
          <t>В нормі</t>
        </is>
      </c>
      <c r="B486" s="21" t="inlineStr"/>
      <c r="C486" s="22" t="inlineStr">
        <is>
          <t>300L-DX</t>
        </is>
      </c>
      <c r="D486" s="21" t="inlineStr">
        <is>
          <t>Секатор типу ножиці довгі леза АРС / ARS (300L-DX) Японія</t>
        </is>
      </c>
      <c r="E486" s="23" t="n">
        <v>629</v>
      </c>
      <c r="F486" s="27" t="inlineStr">
        <is>
          <t>ні</t>
        </is>
      </c>
      <c r="G486" s="23" t="n">
        <v>629</v>
      </c>
      <c r="H486" s="27" t="inlineStr">
        <is>
          <t>ні</t>
        </is>
      </c>
      <c r="I486" s="24" t="n">
        <v>629</v>
      </c>
      <c r="J486" s="22" t="inlineStr">
        <is>
          <t>так</t>
        </is>
      </c>
      <c r="K486" s="22" t="inlineStr">
        <is>
          <t>Клуб Рослин</t>
        </is>
      </c>
      <c r="L486" s="23" t="n">
        <v>629</v>
      </c>
      <c r="M486" s="23">
        <f>IF(L486="","",E486-L486)</f>
        <v/>
      </c>
      <c r="N486" s="25">
        <f>IF(OR(L486="",L486=0),"",M486/L486)</f>
        <v/>
      </c>
      <c r="O486" s="23" t="n"/>
      <c r="P486" s="22" t="n">
        <v>0</v>
      </c>
      <c r="Q486" s="22" t="n">
        <v>0</v>
      </c>
      <c r="R486" s="22" t="inlineStr">
        <is>
          <t>код</t>
        </is>
      </c>
      <c r="S486" s="26" t="inlineStr">
        <is>
          <t>відкрити</t>
        </is>
      </c>
    </row>
    <row r="487">
      <c r="A487" s="20" t="inlineStr">
        <is>
          <t>В нормі</t>
        </is>
      </c>
      <c r="B487" s="21" t="inlineStr"/>
      <c r="C487" s="22" t="inlineStr">
        <is>
          <t>P6201</t>
        </is>
      </c>
      <c r="D487" s="21" t="inlineStr">
        <is>
          <t>Серп-коса для трави 32 см Фукс / Fux (P6201) Австрія</t>
        </is>
      </c>
      <c r="E487" s="23" t="n">
        <v>2400</v>
      </c>
      <c r="F487" s="27" t="inlineStr">
        <is>
          <t>ні</t>
        </is>
      </c>
      <c r="G487" s="24" t="n">
        <v>2400</v>
      </c>
      <c r="H487" s="27" t="inlineStr">
        <is>
          <t>ні</t>
        </is>
      </c>
      <c r="I487" s="23" t="n"/>
      <c r="J487" s="22" t="inlineStr"/>
      <c r="K487" s="22" t="inlineStr">
        <is>
          <t>Водоспад</t>
        </is>
      </c>
      <c r="L487" s="23" t="n">
        <v>2400</v>
      </c>
      <c r="M487" s="23">
        <f>IF(L487="","",E487-L487)</f>
        <v/>
      </c>
      <c r="N487" s="25">
        <f>IF(OR(L487="",L487=0),"",M487/L487)</f>
        <v/>
      </c>
      <c r="O487" s="23" t="n"/>
      <c r="P487" s="22" t="n">
        <v>0</v>
      </c>
      <c r="Q487" s="22" t="n">
        <v>0</v>
      </c>
      <c r="R487" s="22" t="inlineStr">
        <is>
          <t>код</t>
        </is>
      </c>
      <c r="S487" s="26" t="inlineStr">
        <is>
          <t>відкрити</t>
        </is>
      </c>
    </row>
    <row r="488">
      <c r="A488" s="20" t="inlineStr">
        <is>
          <t>В нормі</t>
        </is>
      </c>
      <c r="B488" s="21" t="inlineStr"/>
      <c r="C488" s="22" t="inlineStr">
        <is>
          <t>P6202</t>
        </is>
      </c>
      <c r="D488" s="21" t="inlineStr">
        <is>
          <t>Серп-коса для трави 37 см Фукс / Fux (P6202) Австрія</t>
        </is>
      </c>
      <c r="E488" s="23" t="n">
        <v>2650</v>
      </c>
      <c r="F488" s="27" t="inlineStr">
        <is>
          <t>ні</t>
        </is>
      </c>
      <c r="G488" s="24" t="n">
        <v>2650</v>
      </c>
      <c r="H488" s="27" t="inlineStr">
        <is>
          <t>ні</t>
        </is>
      </c>
      <c r="I488" s="23" t="n"/>
      <c r="J488" s="22" t="inlineStr"/>
      <c r="K488" s="22" t="inlineStr">
        <is>
          <t>Водоспад</t>
        </is>
      </c>
      <c r="L488" s="23" t="n">
        <v>2650</v>
      </c>
      <c r="M488" s="23">
        <f>IF(L488="","",E488-L488)</f>
        <v/>
      </c>
      <c r="N488" s="25">
        <f>IF(OR(L488="",L488=0),"",M488/L488)</f>
        <v/>
      </c>
      <c r="O488" s="23" t="n"/>
      <c r="P488" s="22" t="n">
        <v>0</v>
      </c>
      <c r="Q488" s="22" t="n">
        <v>0</v>
      </c>
      <c r="R488" s="22" t="inlineStr">
        <is>
          <t>код</t>
        </is>
      </c>
      <c r="S488" s="26" t="inlineStr">
        <is>
          <t>відкрити</t>
        </is>
      </c>
    </row>
    <row r="489">
      <c r="A489" s="20" t="inlineStr">
        <is>
          <t>В нормі</t>
        </is>
      </c>
      <c r="B489" s="21" t="inlineStr"/>
      <c r="C489" s="22" t="inlineStr">
        <is>
          <t>121-24</t>
        </is>
      </c>
      <c r="D489" s="21" t="inlineStr">
        <is>
          <t>Складна пила Silky Gomboy 240-10 (121-24) Японія</t>
        </is>
      </c>
      <c r="E489" s="23" t="n">
        <v>2990</v>
      </c>
      <c r="F489" s="22" t="inlineStr">
        <is>
          <t>так</t>
        </is>
      </c>
      <c r="G489" s="24" t="n">
        <v>2990</v>
      </c>
      <c r="H489" s="22" t="inlineStr">
        <is>
          <t>так</t>
        </is>
      </c>
      <c r="I489" s="23" t="n"/>
      <c r="J489" s="22" t="inlineStr"/>
      <c r="K489" s="22" t="inlineStr">
        <is>
          <t>Водоспад</t>
        </is>
      </c>
      <c r="L489" s="23" t="n">
        <v>2990</v>
      </c>
      <c r="M489" s="23">
        <f>IF(L489="","",E489-L489)</f>
        <v/>
      </c>
      <c r="N489" s="25">
        <f>IF(OR(L489="",L489=0),"",M489/L489)</f>
        <v/>
      </c>
      <c r="O489" s="23" t="n"/>
      <c r="P489" s="22" t="n">
        <v>0</v>
      </c>
      <c r="Q489" s="22" t="n">
        <v>0</v>
      </c>
      <c r="R489" s="22" t="inlineStr">
        <is>
          <t>код</t>
        </is>
      </c>
      <c r="S489" s="26" t="inlineStr">
        <is>
          <t>відкрити</t>
        </is>
      </c>
    </row>
    <row r="490">
      <c r="A490" s="20" t="inlineStr">
        <is>
          <t>В нормі</t>
        </is>
      </c>
      <c r="B490" s="21" t="inlineStr"/>
      <c r="C490" s="22" t="inlineStr">
        <is>
          <t>MS93305</t>
        </is>
      </c>
      <c r="D490" s="21" t="inlineStr">
        <is>
          <t>Скоби оригінальні для степлера Tapener Max (MS93305) Японія</t>
        </is>
      </c>
      <c r="E490" s="23" t="n">
        <v>130</v>
      </c>
      <c r="F490" s="22" t="inlineStr">
        <is>
          <t>так</t>
        </is>
      </c>
      <c r="G490" s="24" t="n">
        <v>130</v>
      </c>
      <c r="H490" s="22" t="inlineStr">
        <is>
          <t>так</t>
        </is>
      </c>
      <c r="I490" s="23" t="n"/>
      <c r="J490" s="22" t="inlineStr"/>
      <c r="K490" s="22" t="inlineStr">
        <is>
          <t>Водоспад</t>
        </is>
      </c>
      <c r="L490" s="23" t="n">
        <v>130</v>
      </c>
      <c r="M490" s="23">
        <f>IF(L490="","",E490-L490)</f>
        <v/>
      </c>
      <c r="N490" s="25">
        <f>IF(OR(L490="",L490=0),"",M490/L490)</f>
        <v/>
      </c>
      <c r="O490" s="23" t="n"/>
      <c r="P490" s="22" t="n">
        <v>0</v>
      </c>
      <c r="Q490" s="22" t="n">
        <v>0</v>
      </c>
      <c r="R490" s="22" t="inlineStr">
        <is>
          <t>код</t>
        </is>
      </c>
      <c r="S490" s="26" t="inlineStr">
        <is>
          <t>відкрити</t>
        </is>
      </c>
    </row>
    <row r="491">
      <c r="A491" s="20" t="inlineStr">
        <is>
          <t>В нормі</t>
        </is>
      </c>
      <c r="B491" s="21" t="inlineStr"/>
      <c r="C491" s="22" t="inlineStr">
        <is>
          <t>568-10</t>
        </is>
      </c>
      <c r="D491" s="21" t="inlineStr">
        <is>
          <t>Сокира Silky ONO 120 (568-10) Японія</t>
        </is>
      </c>
      <c r="E491" s="23" t="n">
        <v>5990</v>
      </c>
      <c r="F491" s="27" t="inlineStr">
        <is>
          <t>ні</t>
        </is>
      </c>
      <c r="G491" s="24" t="n">
        <v>5990</v>
      </c>
      <c r="H491" s="22" t="inlineStr">
        <is>
          <t>так</t>
        </is>
      </c>
      <c r="I491" s="23" t="n"/>
      <c r="J491" s="22" t="inlineStr"/>
      <c r="K491" s="22" t="inlineStr">
        <is>
          <t>Водоспад</t>
        </is>
      </c>
      <c r="L491" s="23" t="n">
        <v>5990</v>
      </c>
      <c r="M491" s="23">
        <f>IF(L491="","",E491-L491)</f>
        <v/>
      </c>
      <c r="N491" s="25">
        <f>IF(OR(L491="",L491=0),"",M491/L491)</f>
        <v/>
      </c>
      <c r="O491" s="23" t="n"/>
      <c r="P491" s="22" t="n">
        <v>0</v>
      </c>
      <c r="Q491" s="22" t="n">
        <v>0</v>
      </c>
      <c r="R491" s="22" t="inlineStr">
        <is>
          <t>код</t>
        </is>
      </c>
      <c r="S491" s="26" t="inlineStr">
        <is>
          <t>відкрити</t>
        </is>
      </c>
    </row>
    <row r="492">
      <c r="A492" s="20" t="inlineStr">
        <is>
          <t>В нормі</t>
        </is>
      </c>
      <c r="B492" s="21" t="inlineStr"/>
      <c r="C492" s="22" t="inlineStr">
        <is>
          <t>460</t>
        </is>
      </c>
      <c r="D492" s="21" t="inlineStr">
        <is>
          <t>Сокира універсальна туристична Фелко / Felco 460 Швейцарія</t>
        </is>
      </c>
      <c r="E492" s="23" t="n">
        <v>2490</v>
      </c>
      <c r="F492" s="27" t="inlineStr">
        <is>
          <t>ні</t>
        </is>
      </c>
      <c r="G492" s="23" t="n"/>
      <c r="H492" s="22" t="inlineStr"/>
      <c r="I492" s="24" t="n">
        <v>2490</v>
      </c>
      <c r="J492" s="22" t="inlineStr">
        <is>
          <t>так</t>
        </is>
      </c>
      <c r="K492" s="22" t="inlineStr">
        <is>
          <t>Клуб Рослин</t>
        </is>
      </c>
      <c r="L492" s="23" t="n">
        <v>2490</v>
      </c>
      <c r="M492" s="23">
        <f>IF(L492="","",E492-L492)</f>
        <v/>
      </c>
      <c r="N492" s="25">
        <f>IF(OR(L492="",L492=0),"",M492/L492)</f>
        <v/>
      </c>
      <c r="O492" s="23" t="n"/>
      <c r="P492" s="22" t="n">
        <v>0</v>
      </c>
      <c r="Q492" s="22" t="n">
        <v>0</v>
      </c>
      <c r="R492" s="22" t="inlineStr">
        <is>
          <t>схожа назва</t>
        </is>
      </c>
      <c r="S492" s="26" t="inlineStr">
        <is>
          <t>відкрити</t>
        </is>
      </c>
    </row>
    <row r="493">
      <c r="A493" s="20" t="inlineStr">
        <is>
          <t>В нормі</t>
        </is>
      </c>
      <c r="B493" s="21" t="inlineStr"/>
      <c r="C493" s="22" t="inlineStr">
        <is>
          <t>TP91041</t>
        </is>
      </c>
      <c r="D493" s="21" t="inlineStr">
        <is>
          <t>Стрічка для підв'язки Max Tape-10VP (TP91041) 0.10*11мм*40м*20шт Японія</t>
        </is>
      </c>
      <c r="E493" s="23" t="n">
        <v>499</v>
      </c>
      <c r="F493" s="27" t="inlineStr">
        <is>
          <t>ні</t>
        </is>
      </c>
      <c r="G493" s="24" t="n">
        <v>499</v>
      </c>
      <c r="H493" s="27" t="inlineStr">
        <is>
          <t>ні</t>
        </is>
      </c>
      <c r="I493" s="23" t="n"/>
      <c r="J493" s="22" t="inlineStr"/>
      <c r="K493" s="22" t="inlineStr">
        <is>
          <t>Водоспад</t>
        </is>
      </c>
      <c r="L493" s="23" t="n">
        <v>499</v>
      </c>
      <c r="M493" s="23">
        <f>IF(L493="","",E493-L493)</f>
        <v/>
      </c>
      <c r="N493" s="25">
        <f>IF(OR(L493="",L493=0),"",M493/L493)</f>
        <v/>
      </c>
      <c r="O493" s="23" t="n"/>
      <c r="P493" s="22" t="n">
        <v>0</v>
      </c>
      <c r="Q493" s="22" t="n">
        <v>0</v>
      </c>
      <c r="R493" s="22" t="inlineStr">
        <is>
          <t>код</t>
        </is>
      </c>
      <c r="S493" s="26" t="inlineStr">
        <is>
          <t>відкрити</t>
        </is>
      </c>
    </row>
    <row r="494">
      <c r="A494" s="20" t="inlineStr">
        <is>
          <t>В нормі</t>
        </is>
      </c>
      <c r="B494" s="21" t="inlineStr">
        <is>
          <t>Немає в наявності в жодного постачальника</t>
        </is>
      </c>
      <c r="C494" s="22" t="inlineStr">
        <is>
          <t>TP91043</t>
        </is>
      </c>
      <c r="D494" s="21" t="inlineStr">
        <is>
          <t>Стрічка для підв'язки Max Tape-15VP (TP91043) 0.15*11мм*26м*20шт Японія</t>
        </is>
      </c>
      <c r="E494" s="23" t="n">
        <v>649</v>
      </c>
      <c r="F494" s="22" t="inlineStr">
        <is>
          <t>так</t>
        </is>
      </c>
      <c r="G494" s="24" t="n">
        <v>649</v>
      </c>
      <c r="H494" s="27" t="inlineStr">
        <is>
          <t>ні</t>
        </is>
      </c>
      <c r="I494" s="23" t="n"/>
      <c r="J494" s="22" t="inlineStr"/>
      <c r="K494" s="22" t="inlineStr">
        <is>
          <t>Водоспад</t>
        </is>
      </c>
      <c r="L494" s="23" t="n">
        <v>649</v>
      </c>
      <c r="M494" s="23">
        <f>IF(L494="","",E494-L494)</f>
        <v/>
      </c>
      <c r="N494" s="25">
        <f>IF(OR(L494="",L494=0),"",M494/L494)</f>
        <v/>
      </c>
      <c r="O494" s="23" t="n"/>
      <c r="P494" s="22" t="n">
        <v>0</v>
      </c>
      <c r="Q494" s="22" t="n">
        <v>0</v>
      </c>
      <c r="R494" s="22" t="inlineStr">
        <is>
          <t>код</t>
        </is>
      </c>
      <c r="S494" s="26" t="inlineStr">
        <is>
          <t>відкрити</t>
        </is>
      </c>
    </row>
    <row r="495">
      <c r="A495" s="20" t="inlineStr">
        <is>
          <t>В нормі</t>
        </is>
      </c>
      <c r="B495" s="21" t="inlineStr">
        <is>
          <t>Немає в наявності в жодного постачальника</t>
        </is>
      </c>
      <c r="C495" s="22" t="inlineStr">
        <is>
          <t>TP91510</t>
        </is>
      </c>
      <c r="D495" s="21" t="inlineStr">
        <is>
          <t>Стрічка для підв'язки армована Max Tape-T32B (TP91510) 0.25*9мм*32м*5шт для степлера Max Tapener HT-S45E Японія</t>
        </is>
      </c>
      <c r="E495" s="23" t="n">
        <v>990</v>
      </c>
      <c r="F495" s="22" t="inlineStr">
        <is>
          <t>так</t>
        </is>
      </c>
      <c r="G495" s="24" t="n">
        <v>990</v>
      </c>
      <c r="H495" s="27" t="inlineStr">
        <is>
          <t>ні</t>
        </is>
      </c>
      <c r="I495" s="23" t="n"/>
      <c r="J495" s="22" t="inlineStr"/>
      <c r="K495" s="22" t="inlineStr">
        <is>
          <t>Водоспад</t>
        </is>
      </c>
      <c r="L495" s="23" t="n">
        <v>990</v>
      </c>
      <c r="M495" s="23">
        <f>IF(L495="","",E495-L495)</f>
        <v/>
      </c>
      <c r="N495" s="25">
        <f>IF(OR(L495="",L495=0),"",M495/L495)</f>
        <v/>
      </c>
      <c r="O495" s="23" t="n"/>
      <c r="P495" s="22" t="n">
        <v>0</v>
      </c>
      <c r="Q495" s="22" t="n">
        <v>0</v>
      </c>
      <c r="R495" s="22" t="inlineStr">
        <is>
          <t>код</t>
        </is>
      </c>
      <c r="S495" s="26" t="inlineStr">
        <is>
          <t>відкрити</t>
        </is>
      </c>
    </row>
    <row r="496">
      <c r="A496" s="20" t="inlineStr">
        <is>
          <t>В нормі</t>
        </is>
      </c>
      <c r="B496" s="21" t="inlineStr"/>
      <c r="C496" s="22" t="inlineStr">
        <is>
          <t>12MAXBIOD</t>
        </is>
      </c>
      <c r="D496" s="21" t="inlineStr">
        <is>
          <t>Стрічка для степлера підв'язувача Tapener саморозкладна BIO Nastro (12MAXBIOD) 0.15*11мм*26м*10шт Gielle Італія</t>
        </is>
      </c>
      <c r="E496" s="23" t="n">
        <v>495</v>
      </c>
      <c r="F496" s="27" t="inlineStr">
        <is>
          <t>ні</t>
        </is>
      </c>
      <c r="G496" s="24" t="n">
        <v>495</v>
      </c>
      <c r="H496" s="27" t="inlineStr">
        <is>
          <t>ні</t>
        </is>
      </c>
      <c r="I496" s="23" t="n"/>
      <c r="J496" s="22" t="inlineStr"/>
      <c r="K496" s="22" t="inlineStr">
        <is>
          <t>Водоспад</t>
        </is>
      </c>
      <c r="L496" s="23" t="n">
        <v>495</v>
      </c>
      <c r="M496" s="23">
        <f>IF(L496="","",E496-L496)</f>
        <v/>
      </c>
      <c r="N496" s="25">
        <f>IF(OR(L496="",L496=0),"",M496/L496)</f>
        <v/>
      </c>
      <c r="O496" s="23" t="n"/>
      <c r="P496" s="22" t="n">
        <v>0</v>
      </c>
      <c r="Q496" s="22" t="n">
        <v>0</v>
      </c>
      <c r="R496" s="22" t="inlineStr">
        <is>
          <t>код</t>
        </is>
      </c>
      <c r="S496" s="26" t="inlineStr">
        <is>
          <t>відкрити</t>
        </is>
      </c>
    </row>
    <row r="497">
      <c r="A497" s="20" t="inlineStr">
        <is>
          <t>В нормі</t>
        </is>
      </c>
      <c r="B497" s="21" t="inlineStr"/>
      <c r="C497" s="22" t="inlineStr">
        <is>
          <t>5030005N</t>
        </is>
      </c>
      <c r="D497" s="21" t="inlineStr">
        <is>
          <t>Стрічка-плівка для щеплення 66 метрів (19мм х 0.1мм) самоклеюча Agrichem (5030005N) Італія</t>
        </is>
      </c>
      <c r="E497" s="23" t="n">
        <v>850</v>
      </c>
      <c r="F497" s="22" t="inlineStr">
        <is>
          <t>так</t>
        </is>
      </c>
      <c r="G497" s="24" t="n">
        <v>850</v>
      </c>
      <c r="H497" s="22" t="inlineStr">
        <is>
          <t>так</t>
        </is>
      </c>
      <c r="I497" s="23" t="n"/>
      <c r="J497" s="22" t="inlineStr"/>
      <c r="K497" s="22" t="inlineStr">
        <is>
          <t>Водоспад</t>
        </is>
      </c>
      <c r="L497" s="23" t="n">
        <v>850</v>
      </c>
      <c r="M497" s="23">
        <f>IF(L497="","",E497-L497)</f>
        <v/>
      </c>
      <c r="N497" s="25">
        <f>IF(OR(L497="",L497=0),"",M497/L497)</f>
        <v/>
      </c>
      <c r="O497" s="23" t="n"/>
      <c r="P497" s="22" t="n">
        <v>0</v>
      </c>
      <c r="Q497" s="22" t="n">
        <v>0</v>
      </c>
      <c r="R497" s="22" t="inlineStr">
        <is>
          <t>код</t>
        </is>
      </c>
      <c r="S497" s="26" t="inlineStr">
        <is>
          <t>відкрити</t>
        </is>
      </c>
    </row>
    <row r="498">
      <c r="A498" s="20" t="inlineStr">
        <is>
          <t>В нормі</t>
        </is>
      </c>
      <c r="B498" s="21" t="inlineStr"/>
      <c r="C498" s="22" t="inlineStr">
        <is>
          <t>4980005N</t>
        </is>
      </c>
      <c r="D498" s="21" t="inlineStr">
        <is>
          <t>Стрічка-плівка для щеплення Agrichem 50 м (32мм х 0.1мм) без перфорації (самоклейна) (4980005N) Італія</t>
        </is>
      </c>
      <c r="E498" s="23" t="n">
        <v>795</v>
      </c>
      <c r="F498" s="22" t="inlineStr">
        <is>
          <t>так</t>
        </is>
      </c>
      <c r="G498" s="24" t="n">
        <v>795</v>
      </c>
      <c r="H498" s="22" t="inlineStr">
        <is>
          <t>так</t>
        </is>
      </c>
      <c r="I498" s="23" t="n"/>
      <c r="J498" s="22" t="inlineStr"/>
      <c r="K498" s="22" t="inlineStr">
        <is>
          <t>Водоспад</t>
        </is>
      </c>
      <c r="L498" s="23" t="n">
        <v>795</v>
      </c>
      <c r="M498" s="23">
        <f>IF(L498="","",E498-L498)</f>
        <v/>
      </c>
      <c r="N498" s="25">
        <f>IF(OR(L498="",L498=0),"",M498/L498)</f>
        <v/>
      </c>
      <c r="O498" s="23" t="n"/>
      <c r="P498" s="22" t="n">
        <v>0</v>
      </c>
      <c r="Q498" s="22" t="n">
        <v>0</v>
      </c>
      <c r="R498" s="22" t="inlineStr">
        <is>
          <t>код</t>
        </is>
      </c>
      <c r="S498" s="26" t="inlineStr">
        <is>
          <t>відкрити</t>
        </is>
      </c>
    </row>
    <row r="499">
      <c r="A499" s="20" t="inlineStr">
        <is>
          <t>В нормі</t>
        </is>
      </c>
      <c r="B499" s="21" t="inlineStr"/>
      <c r="C499" s="22" t="inlineStr">
        <is>
          <t>SR-BAG</t>
        </is>
      </c>
      <c r="D499" s="21" t="inlineStr">
        <is>
          <t>Сумка Смарт Рейн / Smart Rain 280 л (SR-BAG)</t>
        </is>
      </c>
      <c r="E499" s="23" t="n">
        <v>695</v>
      </c>
      <c r="F499" s="22" t="inlineStr">
        <is>
          <t>так</t>
        </is>
      </c>
      <c r="G499" s="23" t="n"/>
      <c r="H499" s="22" t="inlineStr"/>
      <c r="I499" s="24" t="n">
        <v>695</v>
      </c>
      <c r="J499" s="22" t="inlineStr">
        <is>
          <t>так</t>
        </is>
      </c>
      <c r="K499" s="22" t="inlineStr">
        <is>
          <t>Клуб Рослин</t>
        </is>
      </c>
      <c r="L499" s="23" t="n">
        <v>695</v>
      </c>
      <c r="M499" s="23">
        <f>IF(L499="","",E499-L499)</f>
        <v/>
      </c>
      <c r="N499" s="25">
        <f>IF(OR(L499="",L499=0),"",M499/L499)</f>
        <v/>
      </c>
      <c r="O499" s="23" t="n"/>
      <c r="P499" s="22" t="n">
        <v>0</v>
      </c>
      <c r="Q499" s="22" t="n">
        <v>0</v>
      </c>
      <c r="R499" s="22" t="inlineStr">
        <is>
          <t>схожа назва</t>
        </is>
      </c>
      <c r="S499" s="26" t="inlineStr">
        <is>
          <t>відкрити</t>
        </is>
      </c>
    </row>
    <row r="500">
      <c r="A500" s="20" t="inlineStr">
        <is>
          <t>В нормі</t>
        </is>
      </c>
      <c r="B500" s="21" t="inlineStr"/>
      <c r="C500" s="22" t="inlineStr">
        <is>
          <t>WW12-20</t>
        </is>
      </c>
      <c r="D500" s="21" t="inlineStr">
        <is>
          <t>Сумка для збирання яблук 12/20 кг Manzana (WW12-20) Іспанія</t>
        </is>
      </c>
      <c r="E500" s="23" t="n">
        <v>2299</v>
      </c>
      <c r="F500" s="22" t="inlineStr">
        <is>
          <t>так</t>
        </is>
      </c>
      <c r="G500" s="24" t="n">
        <v>2299</v>
      </c>
      <c r="H500" s="22" t="inlineStr">
        <is>
          <t>так</t>
        </is>
      </c>
      <c r="I500" s="23" t="n"/>
      <c r="J500" s="22" t="inlineStr"/>
      <c r="K500" s="22" t="inlineStr">
        <is>
          <t>Водоспад</t>
        </is>
      </c>
      <c r="L500" s="23" t="n">
        <v>2299</v>
      </c>
      <c r="M500" s="23">
        <f>IF(L500="","",E500-L500)</f>
        <v/>
      </c>
      <c r="N500" s="25">
        <f>IF(OR(L500="",L500=0),"",M500/L500)</f>
        <v/>
      </c>
      <c r="O500" s="23" t="n"/>
      <c r="P500" s="22" t="n">
        <v>0</v>
      </c>
      <c r="Q500" s="22" t="n">
        <v>0</v>
      </c>
      <c r="R500" s="22" t="inlineStr">
        <is>
          <t>код</t>
        </is>
      </c>
      <c r="S500" s="26" t="inlineStr">
        <is>
          <t>відкрити</t>
        </is>
      </c>
    </row>
    <row r="501">
      <c r="A501" s="20" t="inlineStr">
        <is>
          <t>В нормі</t>
        </is>
      </c>
      <c r="B501" s="21" t="inlineStr"/>
      <c r="C501" s="22" t="inlineStr">
        <is>
          <t>12Margo</t>
        </is>
      </c>
      <c r="D501" s="21" t="inlineStr">
        <is>
          <t>Сумка для кембрика з ременем (12Margo) Tubet Італія</t>
        </is>
      </c>
      <c r="E501" s="23" t="n">
        <v>710</v>
      </c>
      <c r="F501" s="27" t="inlineStr">
        <is>
          <t>ні</t>
        </is>
      </c>
      <c r="G501" s="24" t="n">
        <v>710</v>
      </c>
      <c r="H501" s="22" t="inlineStr">
        <is>
          <t>так</t>
        </is>
      </c>
      <c r="I501" s="23" t="n"/>
      <c r="J501" s="22" t="inlineStr"/>
      <c r="K501" s="22" t="inlineStr">
        <is>
          <t>Водоспад</t>
        </is>
      </c>
      <c r="L501" s="23" t="n">
        <v>710</v>
      </c>
      <c r="M501" s="23">
        <f>IF(L501="","",E501-L501)</f>
        <v/>
      </c>
      <c r="N501" s="25">
        <f>IF(OR(L501="",L501=0),"",M501/L501)</f>
        <v/>
      </c>
      <c r="O501" s="23" t="n"/>
      <c r="P501" s="22" t="n">
        <v>0</v>
      </c>
      <c r="Q501" s="22" t="n">
        <v>0</v>
      </c>
      <c r="R501" s="22" t="inlineStr">
        <is>
          <t>код</t>
        </is>
      </c>
      <c r="S501" s="26" t="inlineStr">
        <is>
          <t>відкрити</t>
        </is>
      </c>
    </row>
    <row r="502">
      <c r="A502" s="20" t="inlineStr">
        <is>
          <t>В нормі</t>
        </is>
      </c>
      <c r="B502" s="21" t="inlineStr"/>
      <c r="C502" s="22" t="inlineStr">
        <is>
          <t>200А-60</t>
        </is>
      </c>
      <c r="D502" s="21" t="inlineStr">
        <is>
          <t>Сучкоріз / Гілкоріз Felco 200A-60</t>
        </is>
      </c>
      <c r="E502" s="23" t="n">
        <v>4690</v>
      </c>
      <c r="F502" s="27" t="inlineStr">
        <is>
          <t>ні</t>
        </is>
      </c>
      <c r="G502" s="23" t="n"/>
      <c r="H502" s="22" t="inlineStr"/>
      <c r="I502" s="24" t="n">
        <v>4690</v>
      </c>
      <c r="J502" s="27" t="inlineStr">
        <is>
          <t>ні</t>
        </is>
      </c>
      <c r="K502" s="22" t="inlineStr">
        <is>
          <t>Клуб Рослин</t>
        </is>
      </c>
      <c r="L502" s="23" t="n">
        <v>4690</v>
      </c>
      <c r="M502" s="23">
        <f>IF(L502="","",E502-L502)</f>
        <v/>
      </c>
      <c r="N502" s="25">
        <f>IF(OR(L502="",L502=0),"",M502/L502)</f>
        <v/>
      </c>
      <c r="O502" s="23" t="n"/>
      <c r="P502" s="22" t="n">
        <v>0</v>
      </c>
      <c r="Q502" s="22" t="n">
        <v>0</v>
      </c>
      <c r="R502" s="22" t="inlineStr">
        <is>
          <t>код</t>
        </is>
      </c>
      <c r="S502" s="26" t="inlineStr">
        <is>
          <t>відкрити</t>
        </is>
      </c>
    </row>
    <row r="503">
      <c r="A503" s="20" t="inlineStr">
        <is>
          <t>В нормі</t>
        </is>
      </c>
      <c r="B503" s="21" t="inlineStr"/>
      <c r="C503" s="22" t="inlineStr">
        <is>
          <t>200a-60</t>
        </is>
      </c>
      <c r="D503" s="21" t="inlineStr">
        <is>
          <t>Сучкоріз / Гілкоріз Felco 200A-60</t>
        </is>
      </c>
      <c r="E503" s="23" t="n">
        <v>4690</v>
      </c>
      <c r="F503" s="27" t="inlineStr">
        <is>
          <t>ні</t>
        </is>
      </c>
      <c r="G503" s="23" t="n"/>
      <c r="H503" s="22" t="inlineStr"/>
      <c r="I503" s="24" t="n">
        <v>4690</v>
      </c>
      <c r="J503" s="27" t="inlineStr">
        <is>
          <t>ні</t>
        </is>
      </c>
      <c r="K503" s="22" t="inlineStr">
        <is>
          <t>Клуб Рослин</t>
        </is>
      </c>
      <c r="L503" s="23" t="n">
        <v>4690</v>
      </c>
      <c r="M503" s="23">
        <f>IF(L503="","",E503-L503)</f>
        <v/>
      </c>
      <c r="N503" s="25">
        <f>IF(OR(L503="",L503=0),"",M503/L503)</f>
        <v/>
      </c>
      <c r="O503" s="23" t="n"/>
      <c r="P503" s="22" t="n">
        <v>0</v>
      </c>
      <c r="Q503" s="22" t="n">
        <v>0</v>
      </c>
      <c r="R503" s="22" t="inlineStr">
        <is>
          <t>код</t>
        </is>
      </c>
      <c r="S503" s="26" t="inlineStr">
        <is>
          <t>відкрити</t>
        </is>
      </c>
    </row>
    <row r="504">
      <c r="A504" s="20" t="inlineStr">
        <is>
          <t>В нормі</t>
        </is>
      </c>
      <c r="B504" s="21" t="inlineStr"/>
      <c r="C504" s="22" t="inlineStr">
        <is>
          <t>64628351-abbb-11ee-bf43-c87f546feb15</t>
        </is>
      </c>
      <c r="D504" s="21" t="inlineStr">
        <is>
          <t>Сучкоріз Felco 200A-60 / Гілкоріз Felco 200A-60</t>
        </is>
      </c>
      <c r="E504" s="23" t="n">
        <v>4690</v>
      </c>
      <c r="F504" s="27" t="inlineStr">
        <is>
          <t>ні</t>
        </is>
      </c>
      <c r="G504" s="23" t="n"/>
      <c r="H504" s="22" t="inlineStr"/>
      <c r="I504" s="24" t="n">
        <v>4690</v>
      </c>
      <c r="J504" s="27" t="inlineStr">
        <is>
          <t>ні</t>
        </is>
      </c>
      <c r="K504" s="22" t="inlineStr">
        <is>
          <t>Клуб Рослин</t>
        </is>
      </c>
      <c r="L504" s="23" t="n">
        <v>4690</v>
      </c>
      <c r="M504" s="23">
        <f>IF(L504="","",E504-L504)</f>
        <v/>
      </c>
      <c r="N504" s="25">
        <f>IF(OR(L504="",L504=0),"",M504/L504)</f>
        <v/>
      </c>
      <c r="O504" s="23" t="n"/>
      <c r="P504" s="22" t="n">
        <v>0</v>
      </c>
      <c r="Q504" s="22" t="n">
        <v>0</v>
      </c>
      <c r="R504" s="22" t="inlineStr">
        <is>
          <t>код</t>
        </is>
      </c>
    </row>
    <row r="505">
      <c r="A505" s="20" t="inlineStr">
        <is>
          <t>В нормі</t>
        </is>
      </c>
      <c r="B505" s="21" t="inlineStr"/>
      <c r="C505" s="22" t="inlineStr">
        <is>
          <t>N21.080</t>
        </is>
      </c>
      <c r="D505" s="21" t="inlineStr">
        <is>
          <t>Сучкоріз обвідний Lowe Natural Series (N21.080) дерев’яні ручки Німеччина</t>
        </is>
      </c>
      <c r="E505" s="23" t="n">
        <v>7599</v>
      </c>
      <c r="F505" s="22" t="inlineStr">
        <is>
          <t>так</t>
        </is>
      </c>
      <c r="G505" s="24" t="n">
        <v>7599</v>
      </c>
      <c r="H505" s="22" t="inlineStr">
        <is>
          <t>так</t>
        </is>
      </c>
      <c r="I505" s="23" t="n"/>
      <c r="J505" s="22" t="inlineStr"/>
      <c r="K505" s="22" t="inlineStr">
        <is>
          <t>Водоспад</t>
        </is>
      </c>
      <c r="L505" s="23" t="n">
        <v>7599</v>
      </c>
      <c r="M505" s="23">
        <f>IF(L505="","",E505-L505)</f>
        <v/>
      </c>
      <c r="N505" s="25">
        <f>IF(OR(L505="",L505=0),"",M505/L505)</f>
        <v/>
      </c>
      <c r="O505" s="23" t="n"/>
      <c r="P505" s="22" t="n">
        <v>0</v>
      </c>
      <c r="Q505" s="22" t="n">
        <v>0</v>
      </c>
      <c r="R505" s="22" t="inlineStr">
        <is>
          <t>код</t>
        </is>
      </c>
      <c r="S505" s="26" t="inlineStr">
        <is>
          <t>відкрити</t>
        </is>
      </c>
    </row>
    <row r="506">
      <c r="A506" s="20" t="inlineStr">
        <is>
          <t>В нормі</t>
        </is>
      </c>
      <c r="B506" s="21" t="inlineStr"/>
      <c r="C506" s="22" t="inlineStr">
        <is>
          <t>SD-100-BT</t>
        </is>
      </c>
      <c r="D506" s="21" t="inlineStr">
        <is>
          <t>Точилка алмазна складна АРС / ARS Butterfly (SD-100-BT) Японія</t>
        </is>
      </c>
      <c r="E506" s="23" t="n">
        <v>799</v>
      </c>
      <c r="F506" s="27" t="inlineStr">
        <is>
          <t>ні</t>
        </is>
      </c>
      <c r="G506" s="24" t="n">
        <v>799</v>
      </c>
      <c r="H506" s="27" t="inlineStr">
        <is>
          <t>ні</t>
        </is>
      </c>
      <c r="I506" s="23" t="n"/>
      <c r="J506" s="22" t="inlineStr"/>
      <c r="K506" s="22" t="inlineStr">
        <is>
          <t>Водоспад</t>
        </is>
      </c>
      <c r="L506" s="23" t="n">
        <v>799</v>
      </c>
      <c r="M506" s="23">
        <f>IF(L506="","",E506-L506)</f>
        <v/>
      </c>
      <c r="N506" s="25">
        <f>IF(OR(L506="",L506=0),"",M506/L506)</f>
        <v/>
      </c>
      <c r="O506" s="23" t="n"/>
      <c r="P506" s="22" t="n">
        <v>0</v>
      </c>
      <c r="Q506" s="22" t="n">
        <v>0</v>
      </c>
      <c r="R506" s="22" t="inlineStr">
        <is>
          <t>код</t>
        </is>
      </c>
      <c r="S506" s="26" t="inlineStr">
        <is>
          <t>відкрити</t>
        </is>
      </c>
    </row>
    <row r="507">
      <c r="A507" s="20" t="inlineStr">
        <is>
          <t>В нормі</t>
        </is>
      </c>
      <c r="B507" s="21" t="inlineStr"/>
      <c r="C507" s="22" t="inlineStr">
        <is>
          <t>KST412</t>
        </is>
      </c>
      <c r="D507" s="21" t="inlineStr">
        <is>
          <t>Точильний камінь Okatsune 400 Grit (KST412) Японія</t>
        </is>
      </c>
      <c r="E507" s="23" t="n">
        <v>825</v>
      </c>
      <c r="F507" s="22" t="inlineStr">
        <is>
          <t>так</t>
        </is>
      </c>
      <c r="G507" s="24" t="n">
        <v>825</v>
      </c>
      <c r="H507" s="22" t="inlineStr">
        <is>
          <t>так</t>
        </is>
      </c>
      <c r="I507" s="23" t="n">
        <v>825</v>
      </c>
      <c r="J507" s="22" t="inlineStr">
        <is>
          <t>так</t>
        </is>
      </c>
      <c r="K507" s="22" t="inlineStr">
        <is>
          <t>Водоспад</t>
        </is>
      </c>
      <c r="L507" s="23" t="n">
        <v>825</v>
      </c>
      <c r="M507" s="23">
        <f>IF(L507="","",E507-L507)</f>
        <v/>
      </c>
      <c r="N507" s="25">
        <f>IF(OR(L507="",L507=0),"",M507/L507)</f>
        <v/>
      </c>
      <c r="O507" s="23" t="n"/>
      <c r="P507" s="22" t="n">
        <v>0</v>
      </c>
      <c r="Q507" s="22" t="n">
        <v>0</v>
      </c>
      <c r="R507" s="22" t="inlineStr">
        <is>
          <t>код</t>
        </is>
      </c>
      <c r="S507" s="26" t="inlineStr">
        <is>
          <t>відкрити</t>
        </is>
      </c>
    </row>
    <row r="508">
      <c r="A508" s="20" t="inlineStr">
        <is>
          <t>В нормі</t>
        </is>
      </c>
      <c r="B508" s="21" t="inlineStr"/>
      <c r="C508" s="22" t="inlineStr">
        <is>
          <t>902</t>
        </is>
      </c>
      <c r="D508" s="21" t="inlineStr">
        <is>
          <t>Точильний камінь алмаз 100 мм (500-2000 grit) Felco 902</t>
        </is>
      </c>
      <c r="E508" s="23" t="n">
        <v>959</v>
      </c>
      <c r="F508" s="22" t="inlineStr">
        <is>
          <t>так</t>
        </is>
      </c>
      <c r="G508" s="24" t="n">
        <v>959</v>
      </c>
      <c r="H508" s="22" t="inlineStr">
        <is>
          <t>так</t>
        </is>
      </c>
      <c r="I508" s="23" t="n"/>
      <c r="J508" s="22" t="inlineStr"/>
      <c r="K508" s="22" t="inlineStr">
        <is>
          <t>Водоспад</t>
        </is>
      </c>
      <c r="L508" s="23" t="n">
        <v>959</v>
      </c>
      <c r="M508" s="23">
        <f>IF(L508="","",E508-L508)</f>
        <v/>
      </c>
      <c r="N508" s="25">
        <f>IF(OR(L508="",L508=0),"",M508/L508)</f>
        <v/>
      </c>
      <c r="O508" s="23" t="n"/>
      <c r="P508" s="22" t="n">
        <v>0</v>
      </c>
      <c r="Q508" s="22" t="n">
        <v>0</v>
      </c>
      <c r="R508" s="22" t="inlineStr">
        <is>
          <t>код</t>
        </is>
      </c>
      <c r="S508" s="26" t="inlineStr">
        <is>
          <t>відкрити</t>
        </is>
      </c>
    </row>
    <row r="509">
      <c r="A509" s="20" t="inlineStr">
        <is>
          <t>В нормі</t>
        </is>
      </c>
      <c r="B509" s="21" t="inlineStr"/>
      <c r="C509" s="22" t="inlineStr">
        <is>
          <t>905</t>
        </is>
      </c>
      <c r="D509" s="21" t="inlineStr">
        <is>
          <t>Точильний інструмент Фелко / Felco 905 Швейцарія</t>
        </is>
      </c>
      <c r="E509" s="23" t="n">
        <v>1480</v>
      </c>
      <c r="F509" s="22" t="inlineStr">
        <is>
          <t>так</t>
        </is>
      </c>
      <c r="G509" s="23" t="n"/>
      <c r="H509" s="22" t="inlineStr"/>
      <c r="I509" s="24" t="n">
        <v>1480</v>
      </c>
      <c r="J509" s="22" t="inlineStr">
        <is>
          <t>так</t>
        </is>
      </c>
      <c r="K509" s="22" t="inlineStr">
        <is>
          <t>Клуб Рослин</t>
        </is>
      </c>
      <c r="L509" s="23" t="n">
        <v>1480</v>
      </c>
      <c r="M509" s="23">
        <f>IF(L509="","",E509-L509)</f>
        <v/>
      </c>
      <c r="N509" s="25">
        <f>IF(OR(L509="",L509=0),"",M509/L509)</f>
        <v/>
      </c>
      <c r="O509" s="23" t="n"/>
      <c r="P509" s="22" t="n">
        <v>0</v>
      </c>
      <c r="Q509" s="22" t="n">
        <v>0</v>
      </c>
      <c r="R509" s="22" t="inlineStr">
        <is>
          <t>схожа назва</t>
        </is>
      </c>
      <c r="S509" s="26" t="inlineStr">
        <is>
          <t>відкрити</t>
        </is>
      </c>
    </row>
    <row r="510">
      <c r="A510" s="20" t="inlineStr">
        <is>
          <t>В нормі</t>
        </is>
      </c>
      <c r="B510" s="21" t="inlineStr"/>
      <c r="C510" s="22" t="inlineStr">
        <is>
          <t>906</t>
        </is>
      </c>
      <c r="D510" s="21" t="inlineStr">
        <is>
          <t>Точильний інструмент Фелко / Felco 906 Швейцарія</t>
        </is>
      </c>
      <c r="E510" s="23" t="n">
        <v>930</v>
      </c>
      <c r="F510" s="22" t="inlineStr">
        <is>
          <t>так</t>
        </is>
      </c>
      <c r="G510" s="23" t="n"/>
      <c r="H510" s="22" t="inlineStr"/>
      <c r="I510" s="24" t="n">
        <v>930</v>
      </c>
      <c r="J510" s="22" t="inlineStr">
        <is>
          <t>так</t>
        </is>
      </c>
      <c r="K510" s="22" t="inlineStr">
        <is>
          <t>Клуб Рослин</t>
        </is>
      </c>
      <c r="L510" s="23" t="n">
        <v>930</v>
      </c>
      <c r="M510" s="23">
        <f>IF(L510="","",E510-L510)</f>
        <v/>
      </c>
      <c r="N510" s="25">
        <f>IF(OR(L510="",L510=0),"",M510/L510)</f>
        <v/>
      </c>
      <c r="O510" s="23" t="n"/>
      <c r="P510" s="22" t="n">
        <v>0</v>
      </c>
      <c r="Q510" s="22" t="n">
        <v>0</v>
      </c>
      <c r="R510" s="22" t="inlineStr">
        <is>
          <t>схожа назва</t>
        </is>
      </c>
      <c r="S510" s="26" t="inlineStr">
        <is>
          <t>відкрити</t>
        </is>
      </c>
    </row>
    <row r="511">
      <c r="A511" s="20" t="inlineStr">
        <is>
          <t>В нормі</t>
        </is>
      </c>
      <c r="B511" s="21" t="inlineStr"/>
      <c r="C511" s="22" t="inlineStr">
        <is>
          <t>SP-426</t>
        </is>
      </c>
      <c r="D511" s="21" t="inlineStr">
        <is>
          <t>Фіксатор центрального болта до сучкорізів ARS LPB SERIES, LPA-30L</t>
        </is>
      </c>
      <c r="E511" s="23" t="n">
        <v>87</v>
      </c>
      <c r="F511" s="27" t="inlineStr">
        <is>
          <t>ні</t>
        </is>
      </c>
      <c r="G511" s="23" t="n"/>
      <c r="H511" s="22" t="inlineStr"/>
      <c r="I511" s="24" t="n">
        <v>87</v>
      </c>
      <c r="J511" s="22" t="inlineStr">
        <is>
          <t>так</t>
        </is>
      </c>
      <c r="K511" s="22" t="inlineStr">
        <is>
          <t>Клуб Рослин</t>
        </is>
      </c>
      <c r="L511" s="23" t="n">
        <v>87</v>
      </c>
      <c r="M511" s="23">
        <f>IF(L511="","",E511-L511)</f>
        <v/>
      </c>
      <c r="N511" s="25">
        <f>IF(OR(L511="",L511=0),"",M511/L511)</f>
        <v/>
      </c>
      <c r="O511" s="23" t="n"/>
      <c r="P511" s="22" t="n">
        <v>0</v>
      </c>
      <c r="Q511" s="22" t="n">
        <v>0</v>
      </c>
      <c r="R511" s="22" t="inlineStr">
        <is>
          <t>код</t>
        </is>
      </c>
    </row>
    <row r="512">
      <c r="A512" s="20" t="inlineStr">
        <is>
          <t>В нормі</t>
        </is>
      </c>
      <c r="B512" s="21" t="inlineStr"/>
      <c r="C512" s="22" t="inlineStr">
        <is>
          <t>121000550502</t>
        </is>
      </c>
      <c r="D512" s="21" t="inlineStr">
        <is>
          <t>Чохол для секатора Due Buoi (121000550502) Італія</t>
        </is>
      </c>
      <c r="E512" s="23" t="n">
        <v>890</v>
      </c>
      <c r="F512" s="27" t="inlineStr">
        <is>
          <t>ні</t>
        </is>
      </c>
      <c r="G512" s="23" t="n"/>
      <c r="H512" s="22" t="inlineStr"/>
      <c r="I512" s="24" t="n">
        <v>890</v>
      </c>
      <c r="J512" s="22" t="inlineStr">
        <is>
          <t>так</t>
        </is>
      </c>
      <c r="K512" s="22" t="inlineStr">
        <is>
          <t>Клуб Рослин</t>
        </is>
      </c>
      <c r="L512" s="23" t="n">
        <v>890</v>
      </c>
      <c r="M512" s="23">
        <f>IF(L512="","",E512-L512)</f>
        <v/>
      </c>
      <c r="N512" s="25">
        <f>IF(OR(L512="",L512=0),"",M512/L512)</f>
        <v/>
      </c>
      <c r="O512" s="23" t="n"/>
      <c r="P512" s="22" t="n">
        <v>0</v>
      </c>
      <c r="Q512" s="22" t="n">
        <v>0</v>
      </c>
      <c r="R512" s="22" t="inlineStr">
        <is>
          <t>код</t>
        </is>
      </c>
      <c r="S512" s="26" t="inlineStr">
        <is>
          <t>відкрити</t>
        </is>
      </c>
    </row>
    <row r="513">
      <c r="A513" s="20" t="inlineStr">
        <is>
          <t>В нормі</t>
        </is>
      </c>
      <c r="B513" s="21" t="inlineStr">
        <is>
          <t>Немає в наявності в жодного постачальника</t>
        </is>
      </c>
      <c r="C513" s="22" t="inlineStr">
        <is>
          <t>131419</t>
        </is>
      </c>
      <c r="D513" s="21" t="inlineStr">
        <is>
          <t>Чохол камуфляжний 80 см (131419) для лопати Fiskars Solid 1066715</t>
        </is>
      </c>
      <c r="E513" s="23" t="n">
        <v>999</v>
      </c>
      <c r="F513" s="22" t="inlineStr">
        <is>
          <t>так</t>
        </is>
      </c>
      <c r="G513" s="24" t="n">
        <v>999</v>
      </c>
      <c r="H513" s="27" t="inlineStr">
        <is>
          <t>ні</t>
        </is>
      </c>
      <c r="I513" s="23" t="n"/>
      <c r="J513" s="22" t="inlineStr"/>
      <c r="K513" s="22" t="inlineStr">
        <is>
          <t>Водоспад</t>
        </is>
      </c>
      <c r="L513" s="23" t="n">
        <v>999</v>
      </c>
      <c r="M513" s="23">
        <f>IF(L513="","",E513-L513)</f>
        <v/>
      </c>
      <c r="N513" s="25">
        <f>IF(OR(L513="",L513=0),"",M513/L513)</f>
        <v/>
      </c>
      <c r="O513" s="23" t="n"/>
      <c r="P513" s="22" t="n">
        <v>0</v>
      </c>
      <c r="Q513" s="22" t="n">
        <v>0</v>
      </c>
      <c r="R513" s="22" t="inlineStr">
        <is>
          <t>код</t>
        </is>
      </c>
      <c r="S513" s="26" t="inlineStr">
        <is>
          <t>відкрити</t>
        </is>
      </c>
    </row>
    <row r="514">
      <c r="A514" s="20" t="inlineStr">
        <is>
          <t>В нормі</t>
        </is>
      </c>
      <c r="B514" s="21" t="inlineStr">
        <is>
          <t>Немає в наявності в жодного постачальника</t>
        </is>
      </c>
      <c r="C514" s="22" t="inlineStr">
        <is>
          <t>131426</t>
        </is>
      </c>
      <c r="D514" s="21" t="inlineStr">
        <is>
          <t>Чохол чорний 126 см (131426) для лопати Fiskars Solid 1066716</t>
        </is>
      </c>
      <c r="E514" s="23" t="n">
        <v>1199</v>
      </c>
      <c r="F514" s="22" t="inlineStr">
        <is>
          <t>так</t>
        </is>
      </c>
      <c r="G514" s="24" t="n">
        <v>1199</v>
      </c>
      <c r="H514" s="27" t="inlineStr">
        <is>
          <t>ні</t>
        </is>
      </c>
      <c r="I514" s="23" t="n"/>
      <c r="J514" s="22" t="inlineStr"/>
      <c r="K514" s="22" t="inlineStr">
        <is>
          <t>Водоспад</t>
        </is>
      </c>
      <c r="L514" s="23" t="n">
        <v>1199</v>
      </c>
      <c r="M514" s="23">
        <f>IF(L514="","",E514-L514)</f>
        <v/>
      </c>
      <c r="N514" s="25">
        <f>IF(OR(L514="",L514=0),"",M514/L514)</f>
        <v/>
      </c>
      <c r="O514" s="23" t="n"/>
      <c r="P514" s="22" t="n">
        <v>0</v>
      </c>
      <c r="Q514" s="22" t="n">
        <v>0</v>
      </c>
      <c r="R514" s="22" t="inlineStr">
        <is>
          <t>код</t>
        </is>
      </c>
      <c r="S514" s="26" t="inlineStr">
        <is>
          <t>відкрити</t>
        </is>
      </c>
    </row>
    <row r="515">
      <c r="A515" s="20" t="inlineStr">
        <is>
          <t>В нормі</t>
        </is>
      </c>
      <c r="B515" s="21" t="inlineStr">
        <is>
          <t>Немає в наявності в жодного постачальника</t>
        </is>
      </c>
      <c r="C515" s="22" t="inlineStr">
        <is>
          <t>131418</t>
        </is>
      </c>
      <c r="D515" s="21" t="inlineStr">
        <is>
          <t>Чохол чорний 80 см (131418) для лопати Fiskars Solid 1066715</t>
        </is>
      </c>
      <c r="E515" s="23" t="n">
        <v>999</v>
      </c>
      <c r="F515" s="22" t="inlineStr">
        <is>
          <t>так</t>
        </is>
      </c>
      <c r="G515" s="24" t="n">
        <v>999</v>
      </c>
      <c r="H515" s="27" t="inlineStr">
        <is>
          <t>ні</t>
        </is>
      </c>
      <c r="I515" s="23" t="n"/>
      <c r="J515" s="22" t="inlineStr"/>
      <c r="K515" s="22" t="inlineStr">
        <is>
          <t>Водоспад</t>
        </is>
      </c>
      <c r="L515" s="23" t="n">
        <v>999</v>
      </c>
      <c r="M515" s="23">
        <f>IF(L515="","",E515-L515)</f>
        <v/>
      </c>
      <c r="N515" s="25">
        <f>IF(OR(L515="",L515=0),"",M515/L515)</f>
        <v/>
      </c>
      <c r="O515" s="23" t="n"/>
      <c r="P515" s="22" t="n">
        <v>0</v>
      </c>
      <c r="Q515" s="22" t="n">
        <v>0</v>
      </c>
      <c r="R515" s="22" t="inlineStr">
        <is>
          <t>код</t>
        </is>
      </c>
      <c r="S515" s="26" t="inlineStr">
        <is>
          <t>відкрити</t>
        </is>
      </c>
    </row>
    <row r="516">
      <c r="A516" s="20" t="inlineStr">
        <is>
          <t>В нормі</t>
        </is>
      </c>
      <c r="B516" s="21" t="inlineStr"/>
      <c r="C516" s="22" t="inlineStr">
        <is>
          <t>KST133</t>
        </is>
      </c>
      <c r="D516" s="21" t="inlineStr">
        <is>
          <t>Чохол шкіряний Окатсуне / Okatsune (KST133) Японія</t>
        </is>
      </c>
      <c r="E516" s="23" t="n">
        <v>1090</v>
      </c>
      <c r="F516" s="22" t="inlineStr">
        <is>
          <t>так</t>
        </is>
      </c>
      <c r="G516" s="24" t="n">
        <v>1090</v>
      </c>
      <c r="H516" s="22" t="inlineStr">
        <is>
          <t>так</t>
        </is>
      </c>
      <c r="I516" s="23" t="n">
        <v>990</v>
      </c>
      <c r="J516" s="27" t="inlineStr">
        <is>
          <t>ні</t>
        </is>
      </c>
      <c r="K516" s="22" t="inlineStr">
        <is>
          <t>Водоспад</t>
        </is>
      </c>
      <c r="L516" s="23" t="n">
        <v>1090</v>
      </c>
      <c r="M516" s="23">
        <f>IF(L516="","",E516-L516)</f>
        <v/>
      </c>
      <c r="N516" s="25">
        <f>IF(OR(L516="",L516=0),"",M516/L516)</f>
        <v/>
      </c>
      <c r="O516" s="23" t="n"/>
      <c r="P516" s="22" t="n">
        <v>0</v>
      </c>
      <c r="Q516" s="22" t="n">
        <v>0</v>
      </c>
      <c r="R516" s="22" t="inlineStr">
        <is>
          <t>код</t>
        </is>
      </c>
      <c r="S516" s="26" t="inlineStr">
        <is>
          <t>відкрити</t>
        </is>
      </c>
    </row>
    <row r="517">
      <c r="A517" s="20" t="inlineStr">
        <is>
          <t>В нормі</t>
        </is>
      </c>
      <c r="B517" s="21" t="inlineStr"/>
      <c r="C517" s="22" t="inlineStr">
        <is>
          <t>1297010133</t>
        </is>
      </c>
      <c r="D517" s="21" t="inlineStr">
        <is>
          <t>Чохол шкіряний для секатора Due Buoi (1297010133) Італія</t>
        </is>
      </c>
      <c r="E517" s="23" t="n">
        <v>720</v>
      </c>
      <c r="F517" s="22" t="inlineStr">
        <is>
          <t>так</t>
        </is>
      </c>
      <c r="G517" s="24" t="n">
        <v>720</v>
      </c>
      <c r="H517" s="22" t="inlineStr">
        <is>
          <t>так</t>
        </is>
      </c>
      <c r="I517" s="23" t="n"/>
      <c r="J517" s="22" t="inlineStr"/>
      <c r="K517" s="22" t="inlineStr">
        <is>
          <t>Водоспад</t>
        </is>
      </c>
      <c r="L517" s="23" t="n">
        <v>720</v>
      </c>
      <c r="M517" s="23">
        <f>IF(L517="","",E517-L517)</f>
        <v/>
      </c>
      <c r="N517" s="25">
        <f>IF(OR(L517="",L517=0),"",M517/L517)</f>
        <v/>
      </c>
      <c r="O517" s="23" t="n"/>
      <c r="P517" s="22" t="n">
        <v>0</v>
      </c>
      <c r="Q517" s="22" t="n">
        <v>0</v>
      </c>
      <c r="R517" s="22" t="inlineStr">
        <is>
          <t>код</t>
        </is>
      </c>
      <c r="S517" s="26" t="inlineStr">
        <is>
          <t>відкрити</t>
        </is>
      </c>
    </row>
    <row r="518">
      <c r="A518" s="20" t="inlineStr">
        <is>
          <t>В нормі</t>
        </is>
      </c>
      <c r="B518" s="21" t="inlineStr"/>
      <c r="C518" s="22" t="inlineStr">
        <is>
          <t>600/11</t>
        </is>
      </c>
      <c r="D518" s="21" t="inlineStr">
        <is>
          <t>Щеплювальний ніж Тіна / Tina (600/11) Німеччина</t>
        </is>
      </c>
      <c r="E518" s="23" t="n">
        <v>5499</v>
      </c>
      <c r="F518" s="27" t="inlineStr">
        <is>
          <t>ні</t>
        </is>
      </c>
      <c r="G518" s="24" t="n">
        <v>5499</v>
      </c>
      <c r="H518" s="22" t="inlineStr">
        <is>
          <t>так</t>
        </is>
      </c>
      <c r="I518" s="23" t="n"/>
      <c r="J518" s="22" t="inlineStr"/>
      <c r="K518" s="22" t="inlineStr">
        <is>
          <t>Водоспад</t>
        </is>
      </c>
      <c r="L518" s="23" t="n">
        <v>5499</v>
      </c>
      <c r="M518" s="23">
        <f>IF(L518="","",E518-L518)</f>
        <v/>
      </c>
      <c r="N518" s="25">
        <f>IF(OR(L518="",L518=0),"",M518/L518)</f>
        <v/>
      </c>
      <c r="O518" s="23" t="n"/>
      <c r="P518" s="22" t="n">
        <v>0</v>
      </c>
      <c r="Q518" s="22" t="n">
        <v>0</v>
      </c>
      <c r="R518" s="22" t="inlineStr">
        <is>
          <t>код</t>
        </is>
      </c>
      <c r="S518" s="26" t="inlineStr">
        <is>
          <t>відкрити</t>
        </is>
      </c>
    </row>
    <row r="519">
      <c r="A519" s="20" t="inlineStr">
        <is>
          <t>В нормі</t>
        </is>
      </c>
      <c r="B519" s="21" t="inlineStr"/>
      <c r="C519" s="22" t="inlineStr">
        <is>
          <t>635/12</t>
        </is>
      </c>
      <c r="D519" s="21" t="inlineStr">
        <is>
          <t>Щеплювальний ніж Тіна / Tina (635/12) Німеччина</t>
        </is>
      </c>
      <c r="E519" s="23" t="n">
        <v>8999</v>
      </c>
      <c r="F519" s="27" t="inlineStr">
        <is>
          <t>ні</t>
        </is>
      </c>
      <c r="G519" s="24" t="n">
        <v>8999</v>
      </c>
      <c r="H519" s="27" t="inlineStr">
        <is>
          <t>ні</t>
        </is>
      </c>
      <c r="I519" s="23" t="n"/>
      <c r="J519" s="22" t="inlineStr"/>
      <c r="K519" s="22" t="inlineStr">
        <is>
          <t>Водоспад</t>
        </is>
      </c>
      <c r="L519" s="23" t="n">
        <v>8999</v>
      </c>
      <c r="M519" s="23">
        <f>IF(L519="","",E519-L519)</f>
        <v/>
      </c>
      <c r="N519" s="25">
        <f>IF(OR(L519="",L519=0),"",M519/L519)</f>
        <v/>
      </c>
      <c r="O519" s="23" t="n"/>
      <c r="P519" s="22" t="n">
        <v>0</v>
      </c>
      <c r="Q519" s="22" t="n">
        <v>0</v>
      </c>
      <c r="R519" s="22" t="inlineStr">
        <is>
          <t>код</t>
        </is>
      </c>
      <c r="S519" s="26" t="inlineStr">
        <is>
          <t>відкрити</t>
        </is>
      </c>
    </row>
    <row r="520">
      <c r="A520" s="20" t="inlineStr">
        <is>
          <t>В нормі</t>
        </is>
      </c>
      <c r="B520" s="21" t="inlineStr"/>
      <c r="C520" s="22" t="inlineStr">
        <is>
          <t>211P-SP-OT</t>
        </is>
      </c>
      <c r="D520" s="21" t="inlineStr">
        <is>
          <t>Щеплювальний ніж для окулірування з відокремлювачем кори Due Buoi 211P-SP-OT Італія</t>
        </is>
      </c>
      <c r="E520" s="23" t="n">
        <v>1990</v>
      </c>
      <c r="F520" s="22" t="inlineStr">
        <is>
          <t>так</t>
        </is>
      </c>
      <c r="G520" s="24" t="n">
        <v>1990</v>
      </c>
      <c r="H520" s="22" t="inlineStr">
        <is>
          <t>так</t>
        </is>
      </c>
      <c r="I520" s="23" t="n"/>
      <c r="J520" s="22" t="inlineStr"/>
      <c r="K520" s="22" t="inlineStr">
        <is>
          <t>Водоспад</t>
        </is>
      </c>
      <c r="L520" s="23" t="n">
        <v>1990</v>
      </c>
      <c r="M520" s="23">
        <f>IF(L520="","",E520-L520)</f>
        <v/>
      </c>
      <c r="N520" s="25">
        <f>IF(OR(L520="",L520=0),"",M520/L520)</f>
        <v/>
      </c>
      <c r="O520" s="23" t="n"/>
      <c r="P520" s="22" t="n">
        <v>0</v>
      </c>
      <c r="Q520" s="22" t="n">
        <v>0</v>
      </c>
      <c r="R520" s="22" t="inlineStr">
        <is>
          <t>код</t>
        </is>
      </c>
      <c r="S520" s="26" t="inlineStr">
        <is>
          <t>відкрити</t>
        </is>
      </c>
    </row>
    <row r="521">
      <c r="A521" s="20" t="inlineStr">
        <is>
          <t>В нормі</t>
        </is>
      </c>
      <c r="B521" s="21" t="inlineStr"/>
      <c r="C521" s="22" t="inlineStr">
        <is>
          <t>641/10L</t>
        </is>
      </c>
      <c r="D521" s="21" t="inlineStr">
        <is>
          <t>Щеплювальний ніж для шульги Тіна / Tina (641/10L) Німеччина</t>
        </is>
      </c>
      <c r="E521" s="23" t="n">
        <v>7299</v>
      </c>
      <c r="F521" s="27" t="inlineStr">
        <is>
          <t>ні</t>
        </is>
      </c>
      <c r="G521" s="24" t="n">
        <v>7299</v>
      </c>
      <c r="H521" s="22" t="inlineStr">
        <is>
          <t>так</t>
        </is>
      </c>
      <c r="I521" s="23" t="n"/>
      <c r="J521" s="22" t="inlineStr"/>
      <c r="K521" s="22" t="inlineStr">
        <is>
          <t>Водоспад</t>
        </is>
      </c>
      <c r="L521" s="23" t="n">
        <v>7299</v>
      </c>
      <c r="M521" s="23">
        <f>IF(L521="","",E521-L521)</f>
        <v/>
      </c>
      <c r="N521" s="25">
        <f>IF(OR(L521="",L521=0),"",M521/L521)</f>
        <v/>
      </c>
      <c r="O521" s="23" t="n"/>
      <c r="P521" s="22" t="n">
        <v>0</v>
      </c>
      <c r="Q521" s="22" t="n">
        <v>0</v>
      </c>
      <c r="R521" s="22" t="inlineStr">
        <is>
          <t>код</t>
        </is>
      </c>
      <c r="S521" s="26" t="inlineStr">
        <is>
          <t>відкрити</t>
        </is>
      </c>
    </row>
    <row r="522">
      <c r="A522" s="20" t="inlineStr">
        <is>
          <t>В нормі</t>
        </is>
      </c>
      <c r="B522" s="21" t="inlineStr"/>
      <c r="C522" s="22" t="inlineStr">
        <is>
          <t>224P-SP-OT</t>
        </is>
      </c>
      <c r="D522" s="21" t="inlineStr">
        <is>
          <t>Щеплювальний ніж з відділювачем кори Due Buoi 224P-SP-OT Італія</t>
        </is>
      </c>
      <c r="E522" s="23" t="n">
        <v>1360</v>
      </c>
      <c r="F522" s="27" t="inlineStr">
        <is>
          <t>ні</t>
        </is>
      </c>
      <c r="G522" s="24" t="n">
        <v>1360</v>
      </c>
      <c r="H522" s="27" t="inlineStr">
        <is>
          <t>ні</t>
        </is>
      </c>
      <c r="I522" s="23" t="n">
        <v>1520</v>
      </c>
      <c r="J522" s="27" t="inlineStr">
        <is>
          <t>ні</t>
        </is>
      </c>
      <c r="K522" s="22" t="inlineStr">
        <is>
          <t>Водоспад</t>
        </is>
      </c>
      <c r="L522" s="23" t="n">
        <v>1360</v>
      </c>
      <c r="M522" s="23">
        <f>IF(L522="","",E522-L522)</f>
        <v/>
      </c>
      <c r="N522" s="25">
        <f>IF(OR(L522="",L522=0),"",M522/L522)</f>
        <v/>
      </c>
      <c r="O522" s="23" t="n"/>
      <c r="P522" s="22" t="n">
        <v>0</v>
      </c>
      <c r="Q522" s="22" t="n">
        <v>0</v>
      </c>
      <c r="R522" s="22" t="inlineStr">
        <is>
          <t>код</t>
        </is>
      </c>
      <c r="S522" s="26" t="inlineStr">
        <is>
          <t>відкрити</t>
        </is>
      </c>
    </row>
    <row r="523">
      <c r="A523" s="20" t="inlineStr">
        <is>
          <t>В нормі</t>
        </is>
      </c>
      <c r="B523" s="21" t="inlineStr"/>
      <c r="C523" s="22" t="inlineStr">
        <is>
          <t>641/10F</t>
        </is>
      </c>
      <c r="D523" s="21" t="inlineStr">
        <is>
          <t>Щеплювальний ніж з відокремлювачем кори Тіна / Tina (641/10F ) Німеччина</t>
        </is>
      </c>
      <c r="E523" s="23" t="n">
        <v>6499</v>
      </c>
      <c r="F523" s="27" t="inlineStr">
        <is>
          <t>ні</t>
        </is>
      </c>
      <c r="G523" s="24" t="n">
        <v>6499</v>
      </c>
      <c r="H523" s="27" t="inlineStr">
        <is>
          <t>ні</t>
        </is>
      </c>
      <c r="I523" s="23" t="n"/>
      <c r="J523" s="22" t="inlineStr"/>
      <c r="K523" s="22" t="inlineStr">
        <is>
          <t>Водоспад</t>
        </is>
      </c>
      <c r="L523" s="23" t="n">
        <v>6499</v>
      </c>
      <c r="M523" s="23">
        <f>IF(L523="","",E523-L523)</f>
        <v/>
      </c>
      <c r="N523" s="25">
        <f>IF(OR(L523="",L523=0),"",M523/L523)</f>
        <v/>
      </c>
      <c r="O523" s="23" t="n"/>
      <c r="P523" s="22" t="n">
        <v>0</v>
      </c>
      <c r="Q523" s="22" t="n">
        <v>0</v>
      </c>
      <c r="R523" s="22" t="inlineStr">
        <is>
          <t>код</t>
        </is>
      </c>
      <c r="S523" s="26" t="inlineStr">
        <is>
          <t>відкрити</t>
        </is>
      </c>
    </row>
    <row r="524">
      <c r="A524" s="20" t="inlineStr">
        <is>
          <t>В нормі</t>
        </is>
      </c>
      <c r="B524" s="21" t="inlineStr"/>
      <c r="C524" s="22" t="inlineStr">
        <is>
          <t>645/10F</t>
        </is>
      </c>
      <c r="D524" s="21" t="inlineStr">
        <is>
          <t>Щеплювальний ніж з відокремлювачем кори Тіна / Tina (645/10F ) Німеччина</t>
        </is>
      </c>
      <c r="E524" s="23" t="n">
        <v>6599</v>
      </c>
      <c r="F524" s="27" t="inlineStr">
        <is>
          <t>ні</t>
        </is>
      </c>
      <c r="G524" s="24" t="n">
        <v>6599</v>
      </c>
      <c r="H524" s="22" t="inlineStr">
        <is>
          <t>так</t>
        </is>
      </c>
      <c r="I524" s="23" t="n">
        <v>6599</v>
      </c>
      <c r="J524" s="27" t="inlineStr">
        <is>
          <t>ні</t>
        </is>
      </c>
      <c r="K524" s="22" t="inlineStr">
        <is>
          <t>Водоспад</t>
        </is>
      </c>
      <c r="L524" s="23" t="n">
        <v>6599</v>
      </c>
      <c r="M524" s="23">
        <f>IF(L524="","",E524-L524)</f>
        <v/>
      </c>
      <c r="N524" s="25">
        <f>IF(OR(L524="",L524=0),"",M524/L524)</f>
        <v/>
      </c>
      <c r="O524" s="23" t="n"/>
      <c r="P524" s="22" t="n">
        <v>0</v>
      </c>
      <c r="Q524" s="22" t="n">
        <v>0</v>
      </c>
      <c r="R524" s="22" t="inlineStr">
        <is>
          <t>код</t>
        </is>
      </c>
      <c r="S524" s="26" t="inlineStr">
        <is>
          <t>відкрити</t>
        </is>
      </c>
    </row>
    <row r="525">
      <c r="A525" s="20" t="inlineStr">
        <is>
          <t>В нормі</t>
        </is>
      </c>
      <c r="B525" s="21" t="inlineStr"/>
      <c r="C525" s="22" t="inlineStr">
        <is>
          <t>600А/12</t>
        </is>
      </c>
      <c r="D525" s="21" t="inlineStr">
        <is>
          <t>Щеплювальний ніж універсальний Тіна / Tina (600А/12) Німеччина</t>
        </is>
      </c>
      <c r="E525" s="23" t="n">
        <v>6499</v>
      </c>
      <c r="F525" s="27" t="inlineStr">
        <is>
          <t>ні</t>
        </is>
      </c>
      <c r="G525" s="24" t="n">
        <v>6499</v>
      </c>
      <c r="H525" s="22" t="inlineStr">
        <is>
          <t>так</t>
        </is>
      </c>
      <c r="I525" s="23" t="n"/>
      <c r="J525" s="22" t="inlineStr"/>
      <c r="K525" s="22" t="inlineStr">
        <is>
          <t>Водоспад</t>
        </is>
      </c>
      <c r="L525" s="23" t="n">
        <v>6499</v>
      </c>
      <c r="M525" s="23">
        <f>IF(L525="","",E525-L525)</f>
        <v/>
      </c>
      <c r="N525" s="25">
        <f>IF(OR(L525="",L525=0),"",M525/L525)</f>
        <v/>
      </c>
      <c r="O525" s="23" t="n"/>
      <c r="P525" s="22" t="n">
        <v>0</v>
      </c>
      <c r="Q525" s="22" t="n">
        <v>0</v>
      </c>
      <c r="R525" s="22" t="inlineStr">
        <is>
          <t>код</t>
        </is>
      </c>
      <c r="S525" s="26" t="inlineStr">
        <is>
          <t>відкрити</t>
        </is>
      </c>
    </row>
    <row r="526">
      <c r="A526" s="20" t="inlineStr">
        <is>
          <t>В нормі</t>
        </is>
      </c>
      <c r="B526" s="21" t="inlineStr"/>
      <c r="C526" s="22" t="inlineStr">
        <is>
          <t>3.90.20</t>
        </is>
      </c>
      <c r="D526" s="21" t="inlineStr">
        <is>
          <t>​​​​​​​Ніж для щеплення Victorinox 3.90.20 Швейцарія</t>
        </is>
      </c>
      <c r="E526" s="23" t="n">
        <v>1449</v>
      </c>
      <c r="F526" s="27" t="inlineStr">
        <is>
          <t>ні</t>
        </is>
      </c>
      <c r="G526" s="24" t="n">
        <v>1449</v>
      </c>
      <c r="H526" s="27" t="inlineStr">
        <is>
          <t>ні</t>
        </is>
      </c>
      <c r="I526" s="23" t="n"/>
      <c r="J526" s="22" t="inlineStr"/>
      <c r="K526" s="22" t="inlineStr">
        <is>
          <t>Водоспад</t>
        </is>
      </c>
      <c r="L526" s="23" t="n">
        <v>1449</v>
      </c>
      <c r="M526" s="23">
        <f>IF(L526="","",E526-L526)</f>
        <v/>
      </c>
      <c r="N526" s="25">
        <f>IF(OR(L526="",L526=0),"",M526/L526)</f>
        <v/>
      </c>
      <c r="O526" s="23" t="n"/>
      <c r="P526" s="22" t="n">
        <v>0</v>
      </c>
      <c r="Q526" s="22" t="n">
        <v>0</v>
      </c>
      <c r="R526" s="22" t="inlineStr">
        <is>
          <t>код</t>
        </is>
      </c>
      <c r="S526" s="26" t="inlineStr">
        <is>
          <t>відкрити</t>
        </is>
      </c>
    </row>
  </sheetData>
  <autoFilter ref="A1:S526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2" r:id="rId20"/>
    <hyperlink xmlns:r="http://schemas.openxmlformats.org/officeDocument/2006/relationships" ref="S23" r:id="rId21"/>
    <hyperlink xmlns:r="http://schemas.openxmlformats.org/officeDocument/2006/relationships" ref="S24" r:id="rId22"/>
    <hyperlink xmlns:r="http://schemas.openxmlformats.org/officeDocument/2006/relationships" ref="S25" r:id="rId23"/>
    <hyperlink xmlns:r="http://schemas.openxmlformats.org/officeDocument/2006/relationships" ref="S26" r:id="rId24"/>
    <hyperlink xmlns:r="http://schemas.openxmlformats.org/officeDocument/2006/relationships" ref="S27" r:id="rId25"/>
    <hyperlink xmlns:r="http://schemas.openxmlformats.org/officeDocument/2006/relationships" ref="S28" r:id="rId26"/>
    <hyperlink xmlns:r="http://schemas.openxmlformats.org/officeDocument/2006/relationships" ref="S29" r:id="rId27"/>
    <hyperlink xmlns:r="http://schemas.openxmlformats.org/officeDocument/2006/relationships" ref="S32" r:id="rId28"/>
    <hyperlink xmlns:r="http://schemas.openxmlformats.org/officeDocument/2006/relationships" ref="S33" r:id="rId29"/>
    <hyperlink xmlns:r="http://schemas.openxmlformats.org/officeDocument/2006/relationships" ref="S34" r:id="rId30"/>
    <hyperlink xmlns:r="http://schemas.openxmlformats.org/officeDocument/2006/relationships" ref="S35" r:id="rId31"/>
    <hyperlink xmlns:r="http://schemas.openxmlformats.org/officeDocument/2006/relationships" ref="S36" r:id="rId32"/>
    <hyperlink xmlns:r="http://schemas.openxmlformats.org/officeDocument/2006/relationships" ref="S38" r:id="rId33"/>
    <hyperlink xmlns:r="http://schemas.openxmlformats.org/officeDocument/2006/relationships" ref="S39" r:id="rId34"/>
    <hyperlink xmlns:r="http://schemas.openxmlformats.org/officeDocument/2006/relationships" ref="S40" r:id="rId35"/>
    <hyperlink xmlns:r="http://schemas.openxmlformats.org/officeDocument/2006/relationships" ref="S41" r:id="rId36"/>
    <hyperlink xmlns:r="http://schemas.openxmlformats.org/officeDocument/2006/relationships" ref="S42" r:id="rId37"/>
    <hyperlink xmlns:r="http://schemas.openxmlformats.org/officeDocument/2006/relationships" ref="S43" r:id="rId38"/>
    <hyperlink xmlns:r="http://schemas.openxmlformats.org/officeDocument/2006/relationships" ref="S44" r:id="rId39"/>
    <hyperlink xmlns:r="http://schemas.openxmlformats.org/officeDocument/2006/relationships" ref="S45" r:id="rId40"/>
    <hyperlink xmlns:r="http://schemas.openxmlformats.org/officeDocument/2006/relationships" ref="S47" r:id="rId41"/>
    <hyperlink xmlns:r="http://schemas.openxmlformats.org/officeDocument/2006/relationships" ref="S48" r:id="rId42"/>
    <hyperlink xmlns:r="http://schemas.openxmlformats.org/officeDocument/2006/relationships" ref="S49" r:id="rId43"/>
    <hyperlink xmlns:r="http://schemas.openxmlformats.org/officeDocument/2006/relationships" ref="S50" r:id="rId44"/>
    <hyperlink xmlns:r="http://schemas.openxmlformats.org/officeDocument/2006/relationships" ref="S51" r:id="rId45"/>
    <hyperlink xmlns:r="http://schemas.openxmlformats.org/officeDocument/2006/relationships" ref="S53" r:id="rId46"/>
    <hyperlink xmlns:r="http://schemas.openxmlformats.org/officeDocument/2006/relationships" ref="S54" r:id="rId47"/>
    <hyperlink xmlns:r="http://schemas.openxmlformats.org/officeDocument/2006/relationships" ref="S55" r:id="rId48"/>
    <hyperlink xmlns:r="http://schemas.openxmlformats.org/officeDocument/2006/relationships" ref="S56" r:id="rId49"/>
    <hyperlink xmlns:r="http://schemas.openxmlformats.org/officeDocument/2006/relationships" ref="S57" r:id="rId50"/>
    <hyperlink xmlns:r="http://schemas.openxmlformats.org/officeDocument/2006/relationships" ref="S58" r:id="rId51"/>
    <hyperlink xmlns:r="http://schemas.openxmlformats.org/officeDocument/2006/relationships" ref="S59" r:id="rId52"/>
    <hyperlink xmlns:r="http://schemas.openxmlformats.org/officeDocument/2006/relationships" ref="S60" r:id="rId53"/>
    <hyperlink xmlns:r="http://schemas.openxmlformats.org/officeDocument/2006/relationships" ref="S61" r:id="rId54"/>
    <hyperlink xmlns:r="http://schemas.openxmlformats.org/officeDocument/2006/relationships" ref="S62" r:id="rId55"/>
    <hyperlink xmlns:r="http://schemas.openxmlformats.org/officeDocument/2006/relationships" ref="S63" r:id="rId56"/>
    <hyperlink xmlns:r="http://schemas.openxmlformats.org/officeDocument/2006/relationships" ref="S64" r:id="rId57"/>
    <hyperlink xmlns:r="http://schemas.openxmlformats.org/officeDocument/2006/relationships" ref="S65" r:id="rId58"/>
    <hyperlink xmlns:r="http://schemas.openxmlformats.org/officeDocument/2006/relationships" ref="S66" r:id="rId59"/>
    <hyperlink xmlns:r="http://schemas.openxmlformats.org/officeDocument/2006/relationships" ref="S67" r:id="rId60"/>
    <hyperlink xmlns:r="http://schemas.openxmlformats.org/officeDocument/2006/relationships" ref="S68" r:id="rId61"/>
    <hyperlink xmlns:r="http://schemas.openxmlformats.org/officeDocument/2006/relationships" ref="S69" r:id="rId62"/>
    <hyperlink xmlns:r="http://schemas.openxmlformats.org/officeDocument/2006/relationships" ref="S70" r:id="rId63"/>
    <hyperlink xmlns:r="http://schemas.openxmlformats.org/officeDocument/2006/relationships" ref="S71" r:id="rId64"/>
    <hyperlink xmlns:r="http://schemas.openxmlformats.org/officeDocument/2006/relationships" ref="S72" r:id="rId65"/>
    <hyperlink xmlns:r="http://schemas.openxmlformats.org/officeDocument/2006/relationships" ref="S73" r:id="rId66"/>
    <hyperlink xmlns:r="http://schemas.openxmlformats.org/officeDocument/2006/relationships" ref="S74" r:id="rId67"/>
    <hyperlink xmlns:r="http://schemas.openxmlformats.org/officeDocument/2006/relationships" ref="S75" r:id="rId68"/>
    <hyperlink xmlns:r="http://schemas.openxmlformats.org/officeDocument/2006/relationships" ref="S76" r:id="rId69"/>
    <hyperlink xmlns:r="http://schemas.openxmlformats.org/officeDocument/2006/relationships" ref="S77" r:id="rId70"/>
    <hyperlink xmlns:r="http://schemas.openxmlformats.org/officeDocument/2006/relationships" ref="S78" r:id="rId71"/>
    <hyperlink xmlns:r="http://schemas.openxmlformats.org/officeDocument/2006/relationships" ref="S79" r:id="rId72"/>
    <hyperlink xmlns:r="http://schemas.openxmlformats.org/officeDocument/2006/relationships" ref="S80" r:id="rId73"/>
    <hyperlink xmlns:r="http://schemas.openxmlformats.org/officeDocument/2006/relationships" ref="S81" r:id="rId74"/>
    <hyperlink xmlns:r="http://schemas.openxmlformats.org/officeDocument/2006/relationships" ref="S82" r:id="rId75"/>
    <hyperlink xmlns:r="http://schemas.openxmlformats.org/officeDocument/2006/relationships" ref="S83" r:id="rId76"/>
    <hyperlink xmlns:r="http://schemas.openxmlformats.org/officeDocument/2006/relationships" ref="S84" r:id="rId77"/>
    <hyperlink xmlns:r="http://schemas.openxmlformats.org/officeDocument/2006/relationships" ref="S85" r:id="rId78"/>
    <hyperlink xmlns:r="http://schemas.openxmlformats.org/officeDocument/2006/relationships" ref="S86" r:id="rId79"/>
    <hyperlink xmlns:r="http://schemas.openxmlformats.org/officeDocument/2006/relationships" ref="S87" r:id="rId80"/>
    <hyperlink xmlns:r="http://schemas.openxmlformats.org/officeDocument/2006/relationships" ref="S88" r:id="rId81"/>
    <hyperlink xmlns:r="http://schemas.openxmlformats.org/officeDocument/2006/relationships" ref="S89" r:id="rId82"/>
    <hyperlink xmlns:r="http://schemas.openxmlformats.org/officeDocument/2006/relationships" ref="S90" r:id="rId83"/>
    <hyperlink xmlns:r="http://schemas.openxmlformats.org/officeDocument/2006/relationships" ref="S91" r:id="rId84"/>
    <hyperlink xmlns:r="http://schemas.openxmlformats.org/officeDocument/2006/relationships" ref="S92" r:id="rId85"/>
    <hyperlink xmlns:r="http://schemas.openxmlformats.org/officeDocument/2006/relationships" ref="S93" r:id="rId86"/>
    <hyperlink xmlns:r="http://schemas.openxmlformats.org/officeDocument/2006/relationships" ref="S94" r:id="rId87"/>
    <hyperlink xmlns:r="http://schemas.openxmlformats.org/officeDocument/2006/relationships" ref="S95" r:id="rId88"/>
    <hyperlink xmlns:r="http://schemas.openxmlformats.org/officeDocument/2006/relationships" ref="S96" r:id="rId89"/>
    <hyperlink xmlns:r="http://schemas.openxmlformats.org/officeDocument/2006/relationships" ref="S97" r:id="rId90"/>
    <hyperlink xmlns:r="http://schemas.openxmlformats.org/officeDocument/2006/relationships" ref="S98" r:id="rId91"/>
    <hyperlink xmlns:r="http://schemas.openxmlformats.org/officeDocument/2006/relationships" ref="S99" r:id="rId92"/>
    <hyperlink xmlns:r="http://schemas.openxmlformats.org/officeDocument/2006/relationships" ref="S100" r:id="rId93"/>
    <hyperlink xmlns:r="http://schemas.openxmlformats.org/officeDocument/2006/relationships" ref="S101" r:id="rId94"/>
    <hyperlink xmlns:r="http://schemas.openxmlformats.org/officeDocument/2006/relationships" ref="S102" r:id="rId95"/>
    <hyperlink xmlns:r="http://schemas.openxmlformats.org/officeDocument/2006/relationships" ref="S103" r:id="rId96"/>
    <hyperlink xmlns:r="http://schemas.openxmlformats.org/officeDocument/2006/relationships" ref="S104" r:id="rId97"/>
    <hyperlink xmlns:r="http://schemas.openxmlformats.org/officeDocument/2006/relationships" ref="S105" r:id="rId98"/>
    <hyperlink xmlns:r="http://schemas.openxmlformats.org/officeDocument/2006/relationships" ref="S106" r:id="rId99"/>
    <hyperlink xmlns:r="http://schemas.openxmlformats.org/officeDocument/2006/relationships" ref="S107" r:id="rId100"/>
    <hyperlink xmlns:r="http://schemas.openxmlformats.org/officeDocument/2006/relationships" ref="S108" r:id="rId101"/>
    <hyperlink xmlns:r="http://schemas.openxmlformats.org/officeDocument/2006/relationships" ref="S109" r:id="rId102"/>
    <hyperlink xmlns:r="http://schemas.openxmlformats.org/officeDocument/2006/relationships" ref="S110" r:id="rId103"/>
    <hyperlink xmlns:r="http://schemas.openxmlformats.org/officeDocument/2006/relationships" ref="S111" r:id="rId104"/>
    <hyperlink xmlns:r="http://schemas.openxmlformats.org/officeDocument/2006/relationships" ref="S112" r:id="rId105"/>
    <hyperlink xmlns:r="http://schemas.openxmlformats.org/officeDocument/2006/relationships" ref="S113" r:id="rId106"/>
    <hyperlink xmlns:r="http://schemas.openxmlformats.org/officeDocument/2006/relationships" ref="S114" r:id="rId107"/>
    <hyperlink xmlns:r="http://schemas.openxmlformats.org/officeDocument/2006/relationships" ref="S115" r:id="rId108"/>
    <hyperlink xmlns:r="http://schemas.openxmlformats.org/officeDocument/2006/relationships" ref="S116" r:id="rId109"/>
    <hyperlink xmlns:r="http://schemas.openxmlformats.org/officeDocument/2006/relationships" ref="S117" r:id="rId110"/>
    <hyperlink xmlns:r="http://schemas.openxmlformats.org/officeDocument/2006/relationships" ref="S118" r:id="rId111"/>
    <hyperlink xmlns:r="http://schemas.openxmlformats.org/officeDocument/2006/relationships" ref="S119" r:id="rId112"/>
    <hyperlink xmlns:r="http://schemas.openxmlformats.org/officeDocument/2006/relationships" ref="S120" r:id="rId113"/>
    <hyperlink xmlns:r="http://schemas.openxmlformats.org/officeDocument/2006/relationships" ref="S121" r:id="rId114"/>
    <hyperlink xmlns:r="http://schemas.openxmlformats.org/officeDocument/2006/relationships" ref="S122" r:id="rId115"/>
    <hyperlink xmlns:r="http://schemas.openxmlformats.org/officeDocument/2006/relationships" ref="S123" r:id="rId116"/>
    <hyperlink xmlns:r="http://schemas.openxmlformats.org/officeDocument/2006/relationships" ref="S124" r:id="rId117"/>
    <hyperlink xmlns:r="http://schemas.openxmlformats.org/officeDocument/2006/relationships" ref="S125" r:id="rId118"/>
    <hyperlink xmlns:r="http://schemas.openxmlformats.org/officeDocument/2006/relationships" ref="S126" r:id="rId119"/>
    <hyperlink xmlns:r="http://schemas.openxmlformats.org/officeDocument/2006/relationships" ref="S127" r:id="rId120"/>
    <hyperlink xmlns:r="http://schemas.openxmlformats.org/officeDocument/2006/relationships" ref="S128" r:id="rId121"/>
    <hyperlink xmlns:r="http://schemas.openxmlformats.org/officeDocument/2006/relationships" ref="S129" r:id="rId122"/>
    <hyperlink xmlns:r="http://schemas.openxmlformats.org/officeDocument/2006/relationships" ref="S130" r:id="rId123"/>
    <hyperlink xmlns:r="http://schemas.openxmlformats.org/officeDocument/2006/relationships" ref="S131" r:id="rId124"/>
    <hyperlink xmlns:r="http://schemas.openxmlformats.org/officeDocument/2006/relationships" ref="S132" r:id="rId125"/>
    <hyperlink xmlns:r="http://schemas.openxmlformats.org/officeDocument/2006/relationships" ref="S133" r:id="rId126"/>
    <hyperlink xmlns:r="http://schemas.openxmlformats.org/officeDocument/2006/relationships" ref="S134" r:id="rId127"/>
    <hyperlink xmlns:r="http://schemas.openxmlformats.org/officeDocument/2006/relationships" ref="S135" r:id="rId128"/>
    <hyperlink xmlns:r="http://schemas.openxmlformats.org/officeDocument/2006/relationships" ref="S136" r:id="rId129"/>
    <hyperlink xmlns:r="http://schemas.openxmlformats.org/officeDocument/2006/relationships" ref="S137" r:id="rId130"/>
    <hyperlink xmlns:r="http://schemas.openxmlformats.org/officeDocument/2006/relationships" ref="S138" r:id="rId131"/>
    <hyperlink xmlns:r="http://schemas.openxmlformats.org/officeDocument/2006/relationships" ref="S139" r:id="rId132"/>
    <hyperlink xmlns:r="http://schemas.openxmlformats.org/officeDocument/2006/relationships" ref="S140" r:id="rId133"/>
    <hyperlink xmlns:r="http://schemas.openxmlformats.org/officeDocument/2006/relationships" ref="S141" r:id="rId134"/>
    <hyperlink xmlns:r="http://schemas.openxmlformats.org/officeDocument/2006/relationships" ref="S142" r:id="rId135"/>
    <hyperlink xmlns:r="http://schemas.openxmlformats.org/officeDocument/2006/relationships" ref="S143" r:id="rId136"/>
    <hyperlink xmlns:r="http://schemas.openxmlformats.org/officeDocument/2006/relationships" ref="S144" r:id="rId137"/>
    <hyperlink xmlns:r="http://schemas.openxmlformats.org/officeDocument/2006/relationships" ref="S145" r:id="rId138"/>
    <hyperlink xmlns:r="http://schemas.openxmlformats.org/officeDocument/2006/relationships" ref="S146" r:id="rId139"/>
    <hyperlink xmlns:r="http://schemas.openxmlformats.org/officeDocument/2006/relationships" ref="S147" r:id="rId140"/>
    <hyperlink xmlns:r="http://schemas.openxmlformats.org/officeDocument/2006/relationships" ref="S148" r:id="rId141"/>
    <hyperlink xmlns:r="http://schemas.openxmlformats.org/officeDocument/2006/relationships" ref="S149" r:id="rId142"/>
    <hyperlink xmlns:r="http://schemas.openxmlformats.org/officeDocument/2006/relationships" ref="S150" r:id="rId143"/>
    <hyperlink xmlns:r="http://schemas.openxmlformats.org/officeDocument/2006/relationships" ref="S151" r:id="rId144"/>
    <hyperlink xmlns:r="http://schemas.openxmlformats.org/officeDocument/2006/relationships" ref="S152" r:id="rId145"/>
    <hyperlink xmlns:r="http://schemas.openxmlformats.org/officeDocument/2006/relationships" ref="S153" r:id="rId146"/>
    <hyperlink xmlns:r="http://schemas.openxmlformats.org/officeDocument/2006/relationships" ref="S154" r:id="rId147"/>
    <hyperlink xmlns:r="http://schemas.openxmlformats.org/officeDocument/2006/relationships" ref="S155" r:id="rId148"/>
    <hyperlink xmlns:r="http://schemas.openxmlformats.org/officeDocument/2006/relationships" ref="S156" r:id="rId149"/>
    <hyperlink xmlns:r="http://schemas.openxmlformats.org/officeDocument/2006/relationships" ref="S157" r:id="rId150"/>
    <hyperlink xmlns:r="http://schemas.openxmlformats.org/officeDocument/2006/relationships" ref="S158" r:id="rId151"/>
    <hyperlink xmlns:r="http://schemas.openxmlformats.org/officeDocument/2006/relationships" ref="S159" r:id="rId152"/>
    <hyperlink xmlns:r="http://schemas.openxmlformats.org/officeDocument/2006/relationships" ref="S160" r:id="rId153"/>
    <hyperlink xmlns:r="http://schemas.openxmlformats.org/officeDocument/2006/relationships" ref="S161" r:id="rId154"/>
    <hyperlink xmlns:r="http://schemas.openxmlformats.org/officeDocument/2006/relationships" ref="S162" r:id="rId155"/>
    <hyperlink xmlns:r="http://schemas.openxmlformats.org/officeDocument/2006/relationships" ref="S163" r:id="rId156"/>
    <hyperlink xmlns:r="http://schemas.openxmlformats.org/officeDocument/2006/relationships" ref="S164" r:id="rId157"/>
    <hyperlink xmlns:r="http://schemas.openxmlformats.org/officeDocument/2006/relationships" ref="S165" r:id="rId158"/>
    <hyperlink xmlns:r="http://schemas.openxmlformats.org/officeDocument/2006/relationships" ref="S166" r:id="rId159"/>
    <hyperlink xmlns:r="http://schemas.openxmlformats.org/officeDocument/2006/relationships" ref="S167" r:id="rId160"/>
    <hyperlink xmlns:r="http://schemas.openxmlformats.org/officeDocument/2006/relationships" ref="S168" r:id="rId161"/>
    <hyperlink xmlns:r="http://schemas.openxmlformats.org/officeDocument/2006/relationships" ref="S169" r:id="rId162"/>
    <hyperlink xmlns:r="http://schemas.openxmlformats.org/officeDocument/2006/relationships" ref="S170" r:id="rId163"/>
    <hyperlink xmlns:r="http://schemas.openxmlformats.org/officeDocument/2006/relationships" ref="S171" r:id="rId164"/>
    <hyperlink xmlns:r="http://schemas.openxmlformats.org/officeDocument/2006/relationships" ref="S172" r:id="rId165"/>
    <hyperlink xmlns:r="http://schemas.openxmlformats.org/officeDocument/2006/relationships" ref="S173" r:id="rId166"/>
    <hyperlink xmlns:r="http://schemas.openxmlformats.org/officeDocument/2006/relationships" ref="S174" r:id="rId167"/>
    <hyperlink xmlns:r="http://schemas.openxmlformats.org/officeDocument/2006/relationships" ref="S175" r:id="rId168"/>
    <hyperlink xmlns:r="http://schemas.openxmlformats.org/officeDocument/2006/relationships" ref="S176" r:id="rId169"/>
    <hyperlink xmlns:r="http://schemas.openxmlformats.org/officeDocument/2006/relationships" ref="S177" r:id="rId170"/>
    <hyperlink xmlns:r="http://schemas.openxmlformats.org/officeDocument/2006/relationships" ref="S178" r:id="rId171"/>
    <hyperlink xmlns:r="http://schemas.openxmlformats.org/officeDocument/2006/relationships" ref="S179" r:id="rId172"/>
    <hyperlink xmlns:r="http://schemas.openxmlformats.org/officeDocument/2006/relationships" ref="S180" r:id="rId173"/>
    <hyperlink xmlns:r="http://schemas.openxmlformats.org/officeDocument/2006/relationships" ref="S181" r:id="rId174"/>
    <hyperlink xmlns:r="http://schemas.openxmlformats.org/officeDocument/2006/relationships" ref="S182" r:id="rId175"/>
    <hyperlink xmlns:r="http://schemas.openxmlformats.org/officeDocument/2006/relationships" ref="S183" r:id="rId176"/>
    <hyperlink xmlns:r="http://schemas.openxmlformats.org/officeDocument/2006/relationships" ref="S184" r:id="rId177"/>
    <hyperlink xmlns:r="http://schemas.openxmlformats.org/officeDocument/2006/relationships" ref="S185" r:id="rId178"/>
    <hyperlink xmlns:r="http://schemas.openxmlformats.org/officeDocument/2006/relationships" ref="S186" r:id="rId179"/>
    <hyperlink xmlns:r="http://schemas.openxmlformats.org/officeDocument/2006/relationships" ref="S187" r:id="rId180"/>
    <hyperlink xmlns:r="http://schemas.openxmlformats.org/officeDocument/2006/relationships" ref="S188" r:id="rId181"/>
    <hyperlink xmlns:r="http://schemas.openxmlformats.org/officeDocument/2006/relationships" ref="S189" r:id="rId182"/>
    <hyperlink xmlns:r="http://schemas.openxmlformats.org/officeDocument/2006/relationships" ref="S190" r:id="rId183"/>
    <hyperlink xmlns:r="http://schemas.openxmlformats.org/officeDocument/2006/relationships" ref="S191" r:id="rId184"/>
    <hyperlink xmlns:r="http://schemas.openxmlformats.org/officeDocument/2006/relationships" ref="S192" r:id="rId185"/>
    <hyperlink xmlns:r="http://schemas.openxmlformats.org/officeDocument/2006/relationships" ref="S193" r:id="rId186"/>
    <hyperlink xmlns:r="http://schemas.openxmlformats.org/officeDocument/2006/relationships" ref="S194" r:id="rId187"/>
    <hyperlink xmlns:r="http://schemas.openxmlformats.org/officeDocument/2006/relationships" ref="S195" r:id="rId188"/>
    <hyperlink xmlns:r="http://schemas.openxmlformats.org/officeDocument/2006/relationships" ref="S196" r:id="rId189"/>
    <hyperlink xmlns:r="http://schemas.openxmlformats.org/officeDocument/2006/relationships" ref="S197" r:id="rId190"/>
    <hyperlink xmlns:r="http://schemas.openxmlformats.org/officeDocument/2006/relationships" ref="S198" r:id="rId191"/>
    <hyperlink xmlns:r="http://schemas.openxmlformats.org/officeDocument/2006/relationships" ref="S199" r:id="rId192"/>
    <hyperlink xmlns:r="http://schemas.openxmlformats.org/officeDocument/2006/relationships" ref="S200" r:id="rId193"/>
    <hyperlink xmlns:r="http://schemas.openxmlformats.org/officeDocument/2006/relationships" ref="S201" r:id="rId194"/>
    <hyperlink xmlns:r="http://schemas.openxmlformats.org/officeDocument/2006/relationships" ref="S202" r:id="rId195"/>
    <hyperlink xmlns:r="http://schemas.openxmlformats.org/officeDocument/2006/relationships" ref="S203" r:id="rId196"/>
    <hyperlink xmlns:r="http://schemas.openxmlformats.org/officeDocument/2006/relationships" ref="S204" r:id="rId197"/>
    <hyperlink xmlns:r="http://schemas.openxmlformats.org/officeDocument/2006/relationships" ref="S206" r:id="rId198"/>
    <hyperlink xmlns:r="http://schemas.openxmlformats.org/officeDocument/2006/relationships" ref="S207" r:id="rId199"/>
    <hyperlink xmlns:r="http://schemas.openxmlformats.org/officeDocument/2006/relationships" ref="S208" r:id="rId200"/>
    <hyperlink xmlns:r="http://schemas.openxmlformats.org/officeDocument/2006/relationships" ref="S209" r:id="rId201"/>
    <hyperlink xmlns:r="http://schemas.openxmlformats.org/officeDocument/2006/relationships" ref="S210" r:id="rId202"/>
    <hyperlink xmlns:r="http://schemas.openxmlformats.org/officeDocument/2006/relationships" ref="S211" r:id="rId203"/>
    <hyperlink xmlns:r="http://schemas.openxmlformats.org/officeDocument/2006/relationships" ref="S212" r:id="rId204"/>
    <hyperlink xmlns:r="http://schemas.openxmlformats.org/officeDocument/2006/relationships" ref="S213" r:id="rId205"/>
    <hyperlink xmlns:r="http://schemas.openxmlformats.org/officeDocument/2006/relationships" ref="S214" r:id="rId206"/>
    <hyperlink xmlns:r="http://schemas.openxmlformats.org/officeDocument/2006/relationships" ref="S215" r:id="rId207"/>
    <hyperlink xmlns:r="http://schemas.openxmlformats.org/officeDocument/2006/relationships" ref="S216" r:id="rId208"/>
    <hyperlink xmlns:r="http://schemas.openxmlformats.org/officeDocument/2006/relationships" ref="S217" r:id="rId209"/>
    <hyperlink xmlns:r="http://schemas.openxmlformats.org/officeDocument/2006/relationships" ref="S218" r:id="rId210"/>
    <hyperlink xmlns:r="http://schemas.openxmlformats.org/officeDocument/2006/relationships" ref="S219" r:id="rId211"/>
    <hyperlink xmlns:r="http://schemas.openxmlformats.org/officeDocument/2006/relationships" ref="S220" r:id="rId212"/>
    <hyperlink xmlns:r="http://schemas.openxmlformats.org/officeDocument/2006/relationships" ref="S221" r:id="rId213"/>
    <hyperlink xmlns:r="http://schemas.openxmlformats.org/officeDocument/2006/relationships" ref="S222" r:id="rId214"/>
    <hyperlink xmlns:r="http://schemas.openxmlformats.org/officeDocument/2006/relationships" ref="S223" r:id="rId215"/>
    <hyperlink xmlns:r="http://schemas.openxmlformats.org/officeDocument/2006/relationships" ref="S224" r:id="rId216"/>
    <hyperlink xmlns:r="http://schemas.openxmlformats.org/officeDocument/2006/relationships" ref="S225" r:id="rId217"/>
    <hyperlink xmlns:r="http://schemas.openxmlformats.org/officeDocument/2006/relationships" ref="S226" r:id="rId218"/>
    <hyperlink xmlns:r="http://schemas.openxmlformats.org/officeDocument/2006/relationships" ref="S227" r:id="rId219"/>
    <hyperlink xmlns:r="http://schemas.openxmlformats.org/officeDocument/2006/relationships" ref="S228" r:id="rId220"/>
    <hyperlink xmlns:r="http://schemas.openxmlformats.org/officeDocument/2006/relationships" ref="S229" r:id="rId221"/>
    <hyperlink xmlns:r="http://schemas.openxmlformats.org/officeDocument/2006/relationships" ref="S230" r:id="rId222"/>
    <hyperlink xmlns:r="http://schemas.openxmlformats.org/officeDocument/2006/relationships" ref="S231" r:id="rId223"/>
    <hyperlink xmlns:r="http://schemas.openxmlformats.org/officeDocument/2006/relationships" ref="S232" r:id="rId224"/>
    <hyperlink xmlns:r="http://schemas.openxmlformats.org/officeDocument/2006/relationships" ref="S233" r:id="rId225"/>
    <hyperlink xmlns:r="http://schemas.openxmlformats.org/officeDocument/2006/relationships" ref="S234" r:id="rId226"/>
    <hyperlink xmlns:r="http://schemas.openxmlformats.org/officeDocument/2006/relationships" ref="S235" r:id="rId227"/>
    <hyperlink xmlns:r="http://schemas.openxmlformats.org/officeDocument/2006/relationships" ref="S236" r:id="rId228"/>
    <hyperlink xmlns:r="http://schemas.openxmlformats.org/officeDocument/2006/relationships" ref="S237" r:id="rId229"/>
    <hyperlink xmlns:r="http://schemas.openxmlformats.org/officeDocument/2006/relationships" ref="S238" r:id="rId230"/>
    <hyperlink xmlns:r="http://schemas.openxmlformats.org/officeDocument/2006/relationships" ref="S239" r:id="rId231"/>
    <hyperlink xmlns:r="http://schemas.openxmlformats.org/officeDocument/2006/relationships" ref="S240" r:id="rId232"/>
    <hyperlink xmlns:r="http://schemas.openxmlformats.org/officeDocument/2006/relationships" ref="S241" r:id="rId233"/>
    <hyperlink xmlns:r="http://schemas.openxmlformats.org/officeDocument/2006/relationships" ref="S242" r:id="rId234"/>
    <hyperlink xmlns:r="http://schemas.openxmlformats.org/officeDocument/2006/relationships" ref="S244" r:id="rId235"/>
    <hyperlink xmlns:r="http://schemas.openxmlformats.org/officeDocument/2006/relationships" ref="S245" r:id="rId236"/>
    <hyperlink xmlns:r="http://schemas.openxmlformats.org/officeDocument/2006/relationships" ref="S246" r:id="rId237"/>
    <hyperlink xmlns:r="http://schemas.openxmlformats.org/officeDocument/2006/relationships" ref="S247" r:id="rId238"/>
    <hyperlink xmlns:r="http://schemas.openxmlformats.org/officeDocument/2006/relationships" ref="S248" r:id="rId239"/>
    <hyperlink xmlns:r="http://schemas.openxmlformats.org/officeDocument/2006/relationships" ref="S249" r:id="rId240"/>
    <hyperlink xmlns:r="http://schemas.openxmlformats.org/officeDocument/2006/relationships" ref="S250" r:id="rId241"/>
    <hyperlink xmlns:r="http://schemas.openxmlformats.org/officeDocument/2006/relationships" ref="S251" r:id="rId242"/>
    <hyperlink xmlns:r="http://schemas.openxmlformats.org/officeDocument/2006/relationships" ref="S252" r:id="rId243"/>
    <hyperlink xmlns:r="http://schemas.openxmlformats.org/officeDocument/2006/relationships" ref="S253" r:id="rId244"/>
    <hyperlink xmlns:r="http://schemas.openxmlformats.org/officeDocument/2006/relationships" ref="S254" r:id="rId245"/>
    <hyperlink xmlns:r="http://schemas.openxmlformats.org/officeDocument/2006/relationships" ref="S255" r:id="rId246"/>
    <hyperlink xmlns:r="http://schemas.openxmlformats.org/officeDocument/2006/relationships" ref="S256" r:id="rId247"/>
    <hyperlink xmlns:r="http://schemas.openxmlformats.org/officeDocument/2006/relationships" ref="S257" r:id="rId248"/>
    <hyperlink xmlns:r="http://schemas.openxmlformats.org/officeDocument/2006/relationships" ref="S258" r:id="rId249"/>
    <hyperlink xmlns:r="http://schemas.openxmlformats.org/officeDocument/2006/relationships" ref="S260" r:id="rId250"/>
    <hyperlink xmlns:r="http://schemas.openxmlformats.org/officeDocument/2006/relationships" ref="S261" r:id="rId251"/>
    <hyperlink xmlns:r="http://schemas.openxmlformats.org/officeDocument/2006/relationships" ref="S262" r:id="rId252"/>
    <hyperlink xmlns:r="http://schemas.openxmlformats.org/officeDocument/2006/relationships" ref="S263" r:id="rId253"/>
    <hyperlink xmlns:r="http://schemas.openxmlformats.org/officeDocument/2006/relationships" ref="S264" r:id="rId254"/>
    <hyperlink xmlns:r="http://schemas.openxmlformats.org/officeDocument/2006/relationships" ref="S265" r:id="rId255"/>
    <hyperlink xmlns:r="http://schemas.openxmlformats.org/officeDocument/2006/relationships" ref="S266" r:id="rId256"/>
    <hyperlink xmlns:r="http://schemas.openxmlformats.org/officeDocument/2006/relationships" ref="S267" r:id="rId257"/>
    <hyperlink xmlns:r="http://schemas.openxmlformats.org/officeDocument/2006/relationships" ref="S268" r:id="rId258"/>
    <hyperlink xmlns:r="http://schemas.openxmlformats.org/officeDocument/2006/relationships" ref="S269" r:id="rId259"/>
    <hyperlink xmlns:r="http://schemas.openxmlformats.org/officeDocument/2006/relationships" ref="S270" r:id="rId260"/>
    <hyperlink xmlns:r="http://schemas.openxmlformats.org/officeDocument/2006/relationships" ref="S271" r:id="rId261"/>
    <hyperlink xmlns:r="http://schemas.openxmlformats.org/officeDocument/2006/relationships" ref="S272" r:id="rId262"/>
    <hyperlink xmlns:r="http://schemas.openxmlformats.org/officeDocument/2006/relationships" ref="S273" r:id="rId263"/>
    <hyperlink xmlns:r="http://schemas.openxmlformats.org/officeDocument/2006/relationships" ref="S274" r:id="rId264"/>
    <hyperlink xmlns:r="http://schemas.openxmlformats.org/officeDocument/2006/relationships" ref="S275" r:id="rId265"/>
    <hyperlink xmlns:r="http://schemas.openxmlformats.org/officeDocument/2006/relationships" ref="S276" r:id="rId266"/>
    <hyperlink xmlns:r="http://schemas.openxmlformats.org/officeDocument/2006/relationships" ref="S277" r:id="rId267"/>
    <hyperlink xmlns:r="http://schemas.openxmlformats.org/officeDocument/2006/relationships" ref="S278" r:id="rId268"/>
    <hyperlink xmlns:r="http://schemas.openxmlformats.org/officeDocument/2006/relationships" ref="S279" r:id="rId269"/>
    <hyperlink xmlns:r="http://schemas.openxmlformats.org/officeDocument/2006/relationships" ref="S280" r:id="rId270"/>
    <hyperlink xmlns:r="http://schemas.openxmlformats.org/officeDocument/2006/relationships" ref="S281" r:id="rId271"/>
    <hyperlink xmlns:r="http://schemas.openxmlformats.org/officeDocument/2006/relationships" ref="S282" r:id="rId272"/>
    <hyperlink xmlns:r="http://schemas.openxmlformats.org/officeDocument/2006/relationships" ref="S283" r:id="rId273"/>
    <hyperlink xmlns:r="http://schemas.openxmlformats.org/officeDocument/2006/relationships" ref="S284" r:id="rId274"/>
    <hyperlink xmlns:r="http://schemas.openxmlformats.org/officeDocument/2006/relationships" ref="S285" r:id="rId275"/>
    <hyperlink xmlns:r="http://schemas.openxmlformats.org/officeDocument/2006/relationships" ref="S286" r:id="rId276"/>
    <hyperlink xmlns:r="http://schemas.openxmlformats.org/officeDocument/2006/relationships" ref="S287" r:id="rId277"/>
    <hyperlink xmlns:r="http://schemas.openxmlformats.org/officeDocument/2006/relationships" ref="S288" r:id="rId278"/>
    <hyperlink xmlns:r="http://schemas.openxmlformats.org/officeDocument/2006/relationships" ref="S289" r:id="rId279"/>
    <hyperlink xmlns:r="http://schemas.openxmlformats.org/officeDocument/2006/relationships" ref="S290" r:id="rId280"/>
    <hyperlink xmlns:r="http://schemas.openxmlformats.org/officeDocument/2006/relationships" ref="S291" r:id="rId281"/>
    <hyperlink xmlns:r="http://schemas.openxmlformats.org/officeDocument/2006/relationships" ref="S292" r:id="rId282"/>
    <hyperlink xmlns:r="http://schemas.openxmlformats.org/officeDocument/2006/relationships" ref="S293" r:id="rId283"/>
    <hyperlink xmlns:r="http://schemas.openxmlformats.org/officeDocument/2006/relationships" ref="S294" r:id="rId284"/>
    <hyperlink xmlns:r="http://schemas.openxmlformats.org/officeDocument/2006/relationships" ref="S295" r:id="rId285"/>
    <hyperlink xmlns:r="http://schemas.openxmlformats.org/officeDocument/2006/relationships" ref="S296" r:id="rId286"/>
    <hyperlink xmlns:r="http://schemas.openxmlformats.org/officeDocument/2006/relationships" ref="S297" r:id="rId287"/>
    <hyperlink xmlns:r="http://schemas.openxmlformats.org/officeDocument/2006/relationships" ref="S298" r:id="rId288"/>
    <hyperlink xmlns:r="http://schemas.openxmlformats.org/officeDocument/2006/relationships" ref="S299" r:id="rId289"/>
    <hyperlink xmlns:r="http://schemas.openxmlformats.org/officeDocument/2006/relationships" ref="S300" r:id="rId290"/>
    <hyperlink xmlns:r="http://schemas.openxmlformats.org/officeDocument/2006/relationships" ref="S302" r:id="rId291"/>
    <hyperlink xmlns:r="http://schemas.openxmlformats.org/officeDocument/2006/relationships" ref="S303" r:id="rId292"/>
    <hyperlink xmlns:r="http://schemas.openxmlformats.org/officeDocument/2006/relationships" ref="S304" r:id="rId293"/>
    <hyperlink xmlns:r="http://schemas.openxmlformats.org/officeDocument/2006/relationships" ref="S305" r:id="rId294"/>
    <hyperlink xmlns:r="http://schemas.openxmlformats.org/officeDocument/2006/relationships" ref="S306" r:id="rId295"/>
    <hyperlink xmlns:r="http://schemas.openxmlformats.org/officeDocument/2006/relationships" ref="S307" r:id="rId296"/>
    <hyperlink xmlns:r="http://schemas.openxmlformats.org/officeDocument/2006/relationships" ref="S308" r:id="rId297"/>
    <hyperlink xmlns:r="http://schemas.openxmlformats.org/officeDocument/2006/relationships" ref="S309" r:id="rId298"/>
    <hyperlink xmlns:r="http://schemas.openxmlformats.org/officeDocument/2006/relationships" ref="S310" r:id="rId299"/>
    <hyperlink xmlns:r="http://schemas.openxmlformats.org/officeDocument/2006/relationships" ref="S311" r:id="rId300"/>
    <hyperlink xmlns:r="http://schemas.openxmlformats.org/officeDocument/2006/relationships" ref="S312" r:id="rId301"/>
    <hyperlink xmlns:r="http://schemas.openxmlformats.org/officeDocument/2006/relationships" ref="S313" r:id="rId302"/>
    <hyperlink xmlns:r="http://schemas.openxmlformats.org/officeDocument/2006/relationships" ref="S314" r:id="rId303"/>
    <hyperlink xmlns:r="http://schemas.openxmlformats.org/officeDocument/2006/relationships" ref="S315" r:id="rId304"/>
    <hyperlink xmlns:r="http://schemas.openxmlformats.org/officeDocument/2006/relationships" ref="S316" r:id="rId305"/>
    <hyperlink xmlns:r="http://schemas.openxmlformats.org/officeDocument/2006/relationships" ref="S317" r:id="rId306"/>
    <hyperlink xmlns:r="http://schemas.openxmlformats.org/officeDocument/2006/relationships" ref="S318" r:id="rId307"/>
    <hyperlink xmlns:r="http://schemas.openxmlformats.org/officeDocument/2006/relationships" ref="S319" r:id="rId308"/>
    <hyperlink xmlns:r="http://schemas.openxmlformats.org/officeDocument/2006/relationships" ref="S320" r:id="rId309"/>
    <hyperlink xmlns:r="http://schemas.openxmlformats.org/officeDocument/2006/relationships" ref="S321" r:id="rId310"/>
    <hyperlink xmlns:r="http://schemas.openxmlformats.org/officeDocument/2006/relationships" ref="S322" r:id="rId311"/>
    <hyperlink xmlns:r="http://schemas.openxmlformats.org/officeDocument/2006/relationships" ref="S323" r:id="rId312"/>
    <hyperlink xmlns:r="http://schemas.openxmlformats.org/officeDocument/2006/relationships" ref="S324" r:id="rId313"/>
    <hyperlink xmlns:r="http://schemas.openxmlformats.org/officeDocument/2006/relationships" ref="S325" r:id="rId314"/>
    <hyperlink xmlns:r="http://schemas.openxmlformats.org/officeDocument/2006/relationships" ref="S326" r:id="rId315"/>
    <hyperlink xmlns:r="http://schemas.openxmlformats.org/officeDocument/2006/relationships" ref="S327" r:id="rId316"/>
    <hyperlink xmlns:r="http://schemas.openxmlformats.org/officeDocument/2006/relationships" ref="S328" r:id="rId317"/>
    <hyperlink xmlns:r="http://schemas.openxmlformats.org/officeDocument/2006/relationships" ref="S329" r:id="rId318"/>
    <hyperlink xmlns:r="http://schemas.openxmlformats.org/officeDocument/2006/relationships" ref="S330" r:id="rId319"/>
    <hyperlink xmlns:r="http://schemas.openxmlformats.org/officeDocument/2006/relationships" ref="S331" r:id="rId320"/>
    <hyperlink xmlns:r="http://schemas.openxmlformats.org/officeDocument/2006/relationships" ref="S332" r:id="rId321"/>
    <hyperlink xmlns:r="http://schemas.openxmlformats.org/officeDocument/2006/relationships" ref="S333" r:id="rId322"/>
    <hyperlink xmlns:r="http://schemas.openxmlformats.org/officeDocument/2006/relationships" ref="S334" r:id="rId323"/>
    <hyperlink xmlns:r="http://schemas.openxmlformats.org/officeDocument/2006/relationships" ref="S335" r:id="rId324"/>
    <hyperlink xmlns:r="http://schemas.openxmlformats.org/officeDocument/2006/relationships" ref="S336" r:id="rId325"/>
    <hyperlink xmlns:r="http://schemas.openxmlformats.org/officeDocument/2006/relationships" ref="S337" r:id="rId326"/>
    <hyperlink xmlns:r="http://schemas.openxmlformats.org/officeDocument/2006/relationships" ref="S338" r:id="rId327"/>
    <hyperlink xmlns:r="http://schemas.openxmlformats.org/officeDocument/2006/relationships" ref="S339" r:id="rId328"/>
    <hyperlink xmlns:r="http://schemas.openxmlformats.org/officeDocument/2006/relationships" ref="S340" r:id="rId329"/>
    <hyperlink xmlns:r="http://schemas.openxmlformats.org/officeDocument/2006/relationships" ref="S341" r:id="rId330"/>
    <hyperlink xmlns:r="http://schemas.openxmlformats.org/officeDocument/2006/relationships" ref="S342" r:id="rId331"/>
    <hyperlink xmlns:r="http://schemas.openxmlformats.org/officeDocument/2006/relationships" ref="S343" r:id="rId332"/>
    <hyperlink xmlns:r="http://schemas.openxmlformats.org/officeDocument/2006/relationships" ref="S344" r:id="rId333"/>
    <hyperlink xmlns:r="http://schemas.openxmlformats.org/officeDocument/2006/relationships" ref="S345" r:id="rId334"/>
    <hyperlink xmlns:r="http://schemas.openxmlformats.org/officeDocument/2006/relationships" ref="S346" r:id="rId335"/>
    <hyperlink xmlns:r="http://schemas.openxmlformats.org/officeDocument/2006/relationships" ref="S347" r:id="rId336"/>
    <hyperlink xmlns:r="http://schemas.openxmlformats.org/officeDocument/2006/relationships" ref="S348" r:id="rId337"/>
    <hyperlink xmlns:r="http://schemas.openxmlformats.org/officeDocument/2006/relationships" ref="S349" r:id="rId338"/>
    <hyperlink xmlns:r="http://schemas.openxmlformats.org/officeDocument/2006/relationships" ref="S350" r:id="rId339"/>
    <hyperlink xmlns:r="http://schemas.openxmlformats.org/officeDocument/2006/relationships" ref="S351" r:id="rId340"/>
    <hyperlink xmlns:r="http://schemas.openxmlformats.org/officeDocument/2006/relationships" ref="S352" r:id="rId341"/>
    <hyperlink xmlns:r="http://schemas.openxmlformats.org/officeDocument/2006/relationships" ref="S353" r:id="rId342"/>
    <hyperlink xmlns:r="http://schemas.openxmlformats.org/officeDocument/2006/relationships" ref="S354" r:id="rId343"/>
    <hyperlink xmlns:r="http://schemas.openxmlformats.org/officeDocument/2006/relationships" ref="S355" r:id="rId344"/>
    <hyperlink xmlns:r="http://schemas.openxmlformats.org/officeDocument/2006/relationships" ref="S356" r:id="rId345"/>
    <hyperlink xmlns:r="http://schemas.openxmlformats.org/officeDocument/2006/relationships" ref="S357" r:id="rId346"/>
    <hyperlink xmlns:r="http://schemas.openxmlformats.org/officeDocument/2006/relationships" ref="S358" r:id="rId347"/>
    <hyperlink xmlns:r="http://schemas.openxmlformats.org/officeDocument/2006/relationships" ref="S359" r:id="rId348"/>
    <hyperlink xmlns:r="http://schemas.openxmlformats.org/officeDocument/2006/relationships" ref="S360" r:id="rId349"/>
    <hyperlink xmlns:r="http://schemas.openxmlformats.org/officeDocument/2006/relationships" ref="S361" r:id="rId350"/>
    <hyperlink xmlns:r="http://schemas.openxmlformats.org/officeDocument/2006/relationships" ref="S362" r:id="rId351"/>
    <hyperlink xmlns:r="http://schemas.openxmlformats.org/officeDocument/2006/relationships" ref="S363" r:id="rId352"/>
    <hyperlink xmlns:r="http://schemas.openxmlformats.org/officeDocument/2006/relationships" ref="S364" r:id="rId353"/>
    <hyperlink xmlns:r="http://schemas.openxmlformats.org/officeDocument/2006/relationships" ref="S365" r:id="rId354"/>
    <hyperlink xmlns:r="http://schemas.openxmlformats.org/officeDocument/2006/relationships" ref="S366" r:id="rId355"/>
    <hyperlink xmlns:r="http://schemas.openxmlformats.org/officeDocument/2006/relationships" ref="S367" r:id="rId356"/>
    <hyperlink xmlns:r="http://schemas.openxmlformats.org/officeDocument/2006/relationships" ref="S368" r:id="rId357"/>
    <hyperlink xmlns:r="http://schemas.openxmlformats.org/officeDocument/2006/relationships" ref="S369" r:id="rId358"/>
    <hyperlink xmlns:r="http://schemas.openxmlformats.org/officeDocument/2006/relationships" ref="S370" r:id="rId359"/>
    <hyperlink xmlns:r="http://schemas.openxmlformats.org/officeDocument/2006/relationships" ref="S371" r:id="rId360"/>
    <hyperlink xmlns:r="http://schemas.openxmlformats.org/officeDocument/2006/relationships" ref="S372" r:id="rId361"/>
    <hyperlink xmlns:r="http://schemas.openxmlformats.org/officeDocument/2006/relationships" ref="S373" r:id="rId362"/>
    <hyperlink xmlns:r="http://schemas.openxmlformats.org/officeDocument/2006/relationships" ref="S374" r:id="rId363"/>
    <hyperlink xmlns:r="http://schemas.openxmlformats.org/officeDocument/2006/relationships" ref="S375" r:id="rId364"/>
    <hyperlink xmlns:r="http://schemas.openxmlformats.org/officeDocument/2006/relationships" ref="S376" r:id="rId365"/>
    <hyperlink xmlns:r="http://schemas.openxmlformats.org/officeDocument/2006/relationships" ref="S377" r:id="rId366"/>
    <hyperlink xmlns:r="http://schemas.openxmlformats.org/officeDocument/2006/relationships" ref="S378" r:id="rId367"/>
    <hyperlink xmlns:r="http://schemas.openxmlformats.org/officeDocument/2006/relationships" ref="S379" r:id="rId368"/>
    <hyperlink xmlns:r="http://schemas.openxmlformats.org/officeDocument/2006/relationships" ref="S380" r:id="rId369"/>
    <hyperlink xmlns:r="http://schemas.openxmlformats.org/officeDocument/2006/relationships" ref="S381" r:id="rId370"/>
    <hyperlink xmlns:r="http://schemas.openxmlformats.org/officeDocument/2006/relationships" ref="S382" r:id="rId371"/>
    <hyperlink xmlns:r="http://schemas.openxmlformats.org/officeDocument/2006/relationships" ref="S383" r:id="rId372"/>
    <hyperlink xmlns:r="http://schemas.openxmlformats.org/officeDocument/2006/relationships" ref="S384" r:id="rId373"/>
    <hyperlink xmlns:r="http://schemas.openxmlformats.org/officeDocument/2006/relationships" ref="S385" r:id="rId374"/>
    <hyperlink xmlns:r="http://schemas.openxmlformats.org/officeDocument/2006/relationships" ref="S386" r:id="rId375"/>
    <hyperlink xmlns:r="http://schemas.openxmlformats.org/officeDocument/2006/relationships" ref="S387" r:id="rId376"/>
    <hyperlink xmlns:r="http://schemas.openxmlformats.org/officeDocument/2006/relationships" ref="S388" r:id="rId377"/>
    <hyperlink xmlns:r="http://schemas.openxmlformats.org/officeDocument/2006/relationships" ref="S389" r:id="rId378"/>
    <hyperlink xmlns:r="http://schemas.openxmlformats.org/officeDocument/2006/relationships" ref="S390" r:id="rId379"/>
    <hyperlink xmlns:r="http://schemas.openxmlformats.org/officeDocument/2006/relationships" ref="S391" r:id="rId380"/>
    <hyperlink xmlns:r="http://schemas.openxmlformats.org/officeDocument/2006/relationships" ref="S392" r:id="rId381"/>
    <hyperlink xmlns:r="http://schemas.openxmlformats.org/officeDocument/2006/relationships" ref="S393" r:id="rId382"/>
    <hyperlink xmlns:r="http://schemas.openxmlformats.org/officeDocument/2006/relationships" ref="S394" r:id="rId383"/>
    <hyperlink xmlns:r="http://schemas.openxmlformats.org/officeDocument/2006/relationships" ref="S395" r:id="rId384"/>
    <hyperlink xmlns:r="http://schemas.openxmlformats.org/officeDocument/2006/relationships" ref="S396" r:id="rId385"/>
    <hyperlink xmlns:r="http://schemas.openxmlformats.org/officeDocument/2006/relationships" ref="S397" r:id="rId386"/>
    <hyperlink xmlns:r="http://schemas.openxmlformats.org/officeDocument/2006/relationships" ref="S398" r:id="rId387"/>
    <hyperlink xmlns:r="http://schemas.openxmlformats.org/officeDocument/2006/relationships" ref="S399" r:id="rId388"/>
    <hyperlink xmlns:r="http://schemas.openxmlformats.org/officeDocument/2006/relationships" ref="S400" r:id="rId389"/>
    <hyperlink xmlns:r="http://schemas.openxmlformats.org/officeDocument/2006/relationships" ref="S401" r:id="rId390"/>
    <hyperlink xmlns:r="http://schemas.openxmlformats.org/officeDocument/2006/relationships" ref="S402" r:id="rId391"/>
    <hyperlink xmlns:r="http://schemas.openxmlformats.org/officeDocument/2006/relationships" ref="S403" r:id="rId392"/>
    <hyperlink xmlns:r="http://schemas.openxmlformats.org/officeDocument/2006/relationships" ref="S404" r:id="rId393"/>
    <hyperlink xmlns:r="http://schemas.openxmlformats.org/officeDocument/2006/relationships" ref="S405" r:id="rId394"/>
    <hyperlink xmlns:r="http://schemas.openxmlformats.org/officeDocument/2006/relationships" ref="S406" r:id="rId395"/>
    <hyperlink xmlns:r="http://schemas.openxmlformats.org/officeDocument/2006/relationships" ref="S407" r:id="rId396"/>
    <hyperlink xmlns:r="http://schemas.openxmlformats.org/officeDocument/2006/relationships" ref="S408" r:id="rId397"/>
    <hyperlink xmlns:r="http://schemas.openxmlformats.org/officeDocument/2006/relationships" ref="S409" r:id="rId398"/>
    <hyperlink xmlns:r="http://schemas.openxmlformats.org/officeDocument/2006/relationships" ref="S410" r:id="rId399"/>
    <hyperlink xmlns:r="http://schemas.openxmlformats.org/officeDocument/2006/relationships" ref="S411" r:id="rId400"/>
    <hyperlink xmlns:r="http://schemas.openxmlformats.org/officeDocument/2006/relationships" ref="S412" r:id="rId401"/>
    <hyperlink xmlns:r="http://schemas.openxmlformats.org/officeDocument/2006/relationships" ref="S413" r:id="rId402"/>
    <hyperlink xmlns:r="http://schemas.openxmlformats.org/officeDocument/2006/relationships" ref="S414" r:id="rId403"/>
    <hyperlink xmlns:r="http://schemas.openxmlformats.org/officeDocument/2006/relationships" ref="S415" r:id="rId404"/>
    <hyperlink xmlns:r="http://schemas.openxmlformats.org/officeDocument/2006/relationships" ref="S417" r:id="rId405"/>
    <hyperlink xmlns:r="http://schemas.openxmlformats.org/officeDocument/2006/relationships" ref="S418" r:id="rId406"/>
    <hyperlink xmlns:r="http://schemas.openxmlformats.org/officeDocument/2006/relationships" ref="S419" r:id="rId407"/>
    <hyperlink xmlns:r="http://schemas.openxmlformats.org/officeDocument/2006/relationships" ref="S420" r:id="rId408"/>
    <hyperlink xmlns:r="http://schemas.openxmlformats.org/officeDocument/2006/relationships" ref="S421" r:id="rId409"/>
    <hyperlink xmlns:r="http://schemas.openxmlformats.org/officeDocument/2006/relationships" ref="S422" r:id="rId410"/>
    <hyperlink xmlns:r="http://schemas.openxmlformats.org/officeDocument/2006/relationships" ref="S423" r:id="rId411"/>
    <hyperlink xmlns:r="http://schemas.openxmlformats.org/officeDocument/2006/relationships" ref="S424" r:id="rId412"/>
    <hyperlink xmlns:r="http://schemas.openxmlformats.org/officeDocument/2006/relationships" ref="S425" r:id="rId413"/>
    <hyperlink xmlns:r="http://schemas.openxmlformats.org/officeDocument/2006/relationships" ref="S426" r:id="rId414"/>
    <hyperlink xmlns:r="http://schemas.openxmlformats.org/officeDocument/2006/relationships" ref="S427" r:id="rId415"/>
    <hyperlink xmlns:r="http://schemas.openxmlformats.org/officeDocument/2006/relationships" ref="S428" r:id="rId416"/>
    <hyperlink xmlns:r="http://schemas.openxmlformats.org/officeDocument/2006/relationships" ref="S429" r:id="rId417"/>
    <hyperlink xmlns:r="http://schemas.openxmlformats.org/officeDocument/2006/relationships" ref="S430" r:id="rId418"/>
    <hyperlink xmlns:r="http://schemas.openxmlformats.org/officeDocument/2006/relationships" ref="S431" r:id="rId419"/>
    <hyperlink xmlns:r="http://schemas.openxmlformats.org/officeDocument/2006/relationships" ref="S432" r:id="rId420"/>
    <hyperlink xmlns:r="http://schemas.openxmlformats.org/officeDocument/2006/relationships" ref="S433" r:id="rId421"/>
    <hyperlink xmlns:r="http://schemas.openxmlformats.org/officeDocument/2006/relationships" ref="S434" r:id="rId422"/>
    <hyperlink xmlns:r="http://schemas.openxmlformats.org/officeDocument/2006/relationships" ref="S435" r:id="rId423"/>
    <hyperlink xmlns:r="http://schemas.openxmlformats.org/officeDocument/2006/relationships" ref="S436" r:id="rId424"/>
    <hyperlink xmlns:r="http://schemas.openxmlformats.org/officeDocument/2006/relationships" ref="S437" r:id="rId425"/>
    <hyperlink xmlns:r="http://schemas.openxmlformats.org/officeDocument/2006/relationships" ref="S438" r:id="rId426"/>
    <hyperlink xmlns:r="http://schemas.openxmlformats.org/officeDocument/2006/relationships" ref="S439" r:id="rId427"/>
    <hyperlink xmlns:r="http://schemas.openxmlformats.org/officeDocument/2006/relationships" ref="S440" r:id="rId428"/>
    <hyperlink xmlns:r="http://schemas.openxmlformats.org/officeDocument/2006/relationships" ref="S441" r:id="rId429"/>
    <hyperlink xmlns:r="http://schemas.openxmlformats.org/officeDocument/2006/relationships" ref="S442" r:id="rId430"/>
    <hyperlink xmlns:r="http://schemas.openxmlformats.org/officeDocument/2006/relationships" ref="S443" r:id="rId431"/>
    <hyperlink xmlns:r="http://schemas.openxmlformats.org/officeDocument/2006/relationships" ref="S444" r:id="rId432"/>
    <hyperlink xmlns:r="http://schemas.openxmlformats.org/officeDocument/2006/relationships" ref="S445" r:id="rId433"/>
    <hyperlink xmlns:r="http://schemas.openxmlformats.org/officeDocument/2006/relationships" ref="S446" r:id="rId434"/>
    <hyperlink xmlns:r="http://schemas.openxmlformats.org/officeDocument/2006/relationships" ref="S447" r:id="rId435"/>
    <hyperlink xmlns:r="http://schemas.openxmlformats.org/officeDocument/2006/relationships" ref="S448" r:id="rId436"/>
    <hyperlink xmlns:r="http://schemas.openxmlformats.org/officeDocument/2006/relationships" ref="S449" r:id="rId437"/>
    <hyperlink xmlns:r="http://schemas.openxmlformats.org/officeDocument/2006/relationships" ref="S450" r:id="rId438"/>
    <hyperlink xmlns:r="http://schemas.openxmlformats.org/officeDocument/2006/relationships" ref="S451" r:id="rId439"/>
    <hyperlink xmlns:r="http://schemas.openxmlformats.org/officeDocument/2006/relationships" ref="S452" r:id="rId440"/>
    <hyperlink xmlns:r="http://schemas.openxmlformats.org/officeDocument/2006/relationships" ref="S453" r:id="rId441"/>
    <hyperlink xmlns:r="http://schemas.openxmlformats.org/officeDocument/2006/relationships" ref="S454" r:id="rId442"/>
    <hyperlink xmlns:r="http://schemas.openxmlformats.org/officeDocument/2006/relationships" ref="S455" r:id="rId443"/>
    <hyperlink xmlns:r="http://schemas.openxmlformats.org/officeDocument/2006/relationships" ref="S456" r:id="rId444"/>
    <hyperlink xmlns:r="http://schemas.openxmlformats.org/officeDocument/2006/relationships" ref="S457" r:id="rId445"/>
    <hyperlink xmlns:r="http://schemas.openxmlformats.org/officeDocument/2006/relationships" ref="S458" r:id="rId446"/>
    <hyperlink xmlns:r="http://schemas.openxmlformats.org/officeDocument/2006/relationships" ref="S459" r:id="rId447"/>
    <hyperlink xmlns:r="http://schemas.openxmlformats.org/officeDocument/2006/relationships" ref="S460" r:id="rId448"/>
    <hyperlink xmlns:r="http://schemas.openxmlformats.org/officeDocument/2006/relationships" ref="S461" r:id="rId449"/>
    <hyperlink xmlns:r="http://schemas.openxmlformats.org/officeDocument/2006/relationships" ref="S462" r:id="rId450"/>
    <hyperlink xmlns:r="http://schemas.openxmlformats.org/officeDocument/2006/relationships" ref="S463" r:id="rId451"/>
    <hyperlink xmlns:r="http://schemas.openxmlformats.org/officeDocument/2006/relationships" ref="S464" r:id="rId452"/>
    <hyperlink xmlns:r="http://schemas.openxmlformats.org/officeDocument/2006/relationships" ref="S465" r:id="rId453"/>
    <hyperlink xmlns:r="http://schemas.openxmlformats.org/officeDocument/2006/relationships" ref="S466" r:id="rId454"/>
    <hyperlink xmlns:r="http://schemas.openxmlformats.org/officeDocument/2006/relationships" ref="S467" r:id="rId455"/>
    <hyperlink xmlns:r="http://schemas.openxmlformats.org/officeDocument/2006/relationships" ref="S468" r:id="rId456"/>
    <hyperlink xmlns:r="http://schemas.openxmlformats.org/officeDocument/2006/relationships" ref="S469" r:id="rId457"/>
    <hyperlink xmlns:r="http://schemas.openxmlformats.org/officeDocument/2006/relationships" ref="S470" r:id="rId458"/>
    <hyperlink xmlns:r="http://schemas.openxmlformats.org/officeDocument/2006/relationships" ref="S471" r:id="rId459"/>
    <hyperlink xmlns:r="http://schemas.openxmlformats.org/officeDocument/2006/relationships" ref="S472" r:id="rId460"/>
    <hyperlink xmlns:r="http://schemas.openxmlformats.org/officeDocument/2006/relationships" ref="S473" r:id="rId461"/>
    <hyperlink xmlns:r="http://schemas.openxmlformats.org/officeDocument/2006/relationships" ref="S474" r:id="rId462"/>
    <hyperlink xmlns:r="http://schemas.openxmlformats.org/officeDocument/2006/relationships" ref="S475" r:id="rId463"/>
    <hyperlink xmlns:r="http://schemas.openxmlformats.org/officeDocument/2006/relationships" ref="S476" r:id="rId464"/>
    <hyperlink xmlns:r="http://schemas.openxmlformats.org/officeDocument/2006/relationships" ref="S477" r:id="rId465"/>
    <hyperlink xmlns:r="http://schemas.openxmlformats.org/officeDocument/2006/relationships" ref="S478" r:id="rId466"/>
    <hyperlink xmlns:r="http://schemas.openxmlformats.org/officeDocument/2006/relationships" ref="S479" r:id="rId467"/>
    <hyperlink xmlns:r="http://schemas.openxmlformats.org/officeDocument/2006/relationships" ref="S480" r:id="rId468"/>
    <hyperlink xmlns:r="http://schemas.openxmlformats.org/officeDocument/2006/relationships" ref="S481" r:id="rId469"/>
    <hyperlink xmlns:r="http://schemas.openxmlformats.org/officeDocument/2006/relationships" ref="S482" r:id="rId470"/>
    <hyperlink xmlns:r="http://schemas.openxmlformats.org/officeDocument/2006/relationships" ref="S483" r:id="rId471"/>
    <hyperlink xmlns:r="http://schemas.openxmlformats.org/officeDocument/2006/relationships" ref="S484" r:id="rId472"/>
    <hyperlink xmlns:r="http://schemas.openxmlformats.org/officeDocument/2006/relationships" ref="S485" r:id="rId473"/>
    <hyperlink xmlns:r="http://schemas.openxmlformats.org/officeDocument/2006/relationships" ref="S486" r:id="rId474"/>
    <hyperlink xmlns:r="http://schemas.openxmlformats.org/officeDocument/2006/relationships" ref="S487" r:id="rId475"/>
    <hyperlink xmlns:r="http://schemas.openxmlformats.org/officeDocument/2006/relationships" ref="S488" r:id="rId476"/>
    <hyperlink xmlns:r="http://schemas.openxmlformats.org/officeDocument/2006/relationships" ref="S489" r:id="rId477"/>
    <hyperlink xmlns:r="http://schemas.openxmlformats.org/officeDocument/2006/relationships" ref="S490" r:id="rId478"/>
    <hyperlink xmlns:r="http://schemas.openxmlformats.org/officeDocument/2006/relationships" ref="S491" r:id="rId479"/>
    <hyperlink xmlns:r="http://schemas.openxmlformats.org/officeDocument/2006/relationships" ref="S492" r:id="rId480"/>
    <hyperlink xmlns:r="http://schemas.openxmlformats.org/officeDocument/2006/relationships" ref="S493" r:id="rId481"/>
    <hyperlink xmlns:r="http://schemas.openxmlformats.org/officeDocument/2006/relationships" ref="S494" r:id="rId482"/>
    <hyperlink xmlns:r="http://schemas.openxmlformats.org/officeDocument/2006/relationships" ref="S495" r:id="rId483"/>
    <hyperlink xmlns:r="http://schemas.openxmlformats.org/officeDocument/2006/relationships" ref="S496" r:id="rId484"/>
    <hyperlink xmlns:r="http://schemas.openxmlformats.org/officeDocument/2006/relationships" ref="S497" r:id="rId485"/>
    <hyperlink xmlns:r="http://schemas.openxmlformats.org/officeDocument/2006/relationships" ref="S498" r:id="rId486"/>
    <hyperlink xmlns:r="http://schemas.openxmlformats.org/officeDocument/2006/relationships" ref="S499" r:id="rId487"/>
    <hyperlink xmlns:r="http://schemas.openxmlformats.org/officeDocument/2006/relationships" ref="S500" r:id="rId488"/>
    <hyperlink xmlns:r="http://schemas.openxmlformats.org/officeDocument/2006/relationships" ref="S501" r:id="rId489"/>
    <hyperlink xmlns:r="http://schemas.openxmlformats.org/officeDocument/2006/relationships" ref="S502" r:id="rId490"/>
    <hyperlink xmlns:r="http://schemas.openxmlformats.org/officeDocument/2006/relationships" ref="S503" r:id="rId491"/>
    <hyperlink xmlns:r="http://schemas.openxmlformats.org/officeDocument/2006/relationships" ref="S505" r:id="rId492"/>
    <hyperlink xmlns:r="http://schemas.openxmlformats.org/officeDocument/2006/relationships" ref="S506" r:id="rId493"/>
    <hyperlink xmlns:r="http://schemas.openxmlformats.org/officeDocument/2006/relationships" ref="S507" r:id="rId494"/>
    <hyperlink xmlns:r="http://schemas.openxmlformats.org/officeDocument/2006/relationships" ref="S508" r:id="rId495"/>
    <hyperlink xmlns:r="http://schemas.openxmlformats.org/officeDocument/2006/relationships" ref="S509" r:id="rId496"/>
    <hyperlink xmlns:r="http://schemas.openxmlformats.org/officeDocument/2006/relationships" ref="S510" r:id="rId497"/>
    <hyperlink xmlns:r="http://schemas.openxmlformats.org/officeDocument/2006/relationships" ref="S512" r:id="rId498"/>
    <hyperlink xmlns:r="http://schemas.openxmlformats.org/officeDocument/2006/relationships" ref="S513" r:id="rId499"/>
    <hyperlink xmlns:r="http://schemas.openxmlformats.org/officeDocument/2006/relationships" ref="S514" r:id="rId500"/>
    <hyperlink xmlns:r="http://schemas.openxmlformats.org/officeDocument/2006/relationships" ref="S515" r:id="rId501"/>
    <hyperlink xmlns:r="http://schemas.openxmlformats.org/officeDocument/2006/relationships" ref="S516" r:id="rId502"/>
    <hyperlink xmlns:r="http://schemas.openxmlformats.org/officeDocument/2006/relationships" ref="S517" r:id="rId503"/>
    <hyperlink xmlns:r="http://schemas.openxmlformats.org/officeDocument/2006/relationships" ref="S518" r:id="rId504"/>
    <hyperlink xmlns:r="http://schemas.openxmlformats.org/officeDocument/2006/relationships" ref="S519" r:id="rId505"/>
    <hyperlink xmlns:r="http://schemas.openxmlformats.org/officeDocument/2006/relationships" ref="S520" r:id="rId506"/>
    <hyperlink xmlns:r="http://schemas.openxmlformats.org/officeDocument/2006/relationships" ref="S521" r:id="rId507"/>
    <hyperlink xmlns:r="http://schemas.openxmlformats.org/officeDocument/2006/relationships" ref="S522" r:id="rId508"/>
    <hyperlink xmlns:r="http://schemas.openxmlformats.org/officeDocument/2006/relationships" ref="S523" r:id="rId509"/>
    <hyperlink xmlns:r="http://schemas.openxmlformats.org/officeDocument/2006/relationships" ref="S524" r:id="rId510"/>
    <hyperlink xmlns:r="http://schemas.openxmlformats.org/officeDocument/2006/relationships" ref="S525" r:id="rId511"/>
    <hyperlink xmlns:r="http://schemas.openxmlformats.org/officeDocument/2006/relationships" ref="S526" r:id="rId5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3" customWidth="1" min="4" max="4"/>
    <col width="56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 ht="32" customHeight="1">
      <c r="A1" s="1" t="inlineStr">
        <is>
          <t>Дата</t>
        </is>
      </c>
      <c r="B1" s="1" t="inlineStr">
        <is>
          <t>Хто змінив</t>
        </is>
      </c>
      <c r="C1" s="1" t="inlineStr">
        <is>
          <t>Мій ID</t>
        </is>
      </c>
      <c r="D1" s="1" t="inlineStr">
        <is>
          <t>ID у постачальника</t>
        </is>
      </c>
      <c r="E1" s="1" t="inlineStr">
        <is>
          <t>Товар</t>
        </is>
      </c>
      <c r="F1" s="1" t="inlineStr">
        <is>
          <t>Було, грн</t>
        </is>
      </c>
      <c r="G1" s="1" t="inlineStr">
        <is>
          <t>Стало, грн</t>
        </is>
      </c>
      <c r="H1" s="1" t="inlineStr">
        <is>
          <t>Зміна, грн</t>
        </is>
      </c>
      <c r="I1" s="1" t="inlineStr">
        <is>
          <t>Зміна, %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46" customWidth="1" min="4" max="4"/>
    <col width="10" customWidth="1" min="5" max="5"/>
  </cols>
  <sheetData>
    <row r="1" ht="32" customHeight="1">
      <c r="A1" s="1" t="inlineStr">
        <is>
          <t>Постачальник</t>
        </is>
      </c>
      <c r="B1" s="1" t="inlineStr">
        <is>
          <t>Мій ID</t>
        </is>
      </c>
      <c r="C1" s="1" t="inlineStr">
        <is>
          <t>ID у постачальника</t>
        </is>
      </c>
      <c r="D1" s="1" t="inlineStr">
        <is>
          <t>Товар</t>
        </is>
      </c>
      <c r="E1" s="1" t="inlineStr">
        <is>
          <t>08.10</t>
        </is>
      </c>
    </row>
    <row r="2">
      <c r="A2" s="22" t="inlineStr">
        <is>
          <t>Водоспад</t>
        </is>
      </c>
      <c r="B2" s="22" t="inlineStr">
        <is>
          <t>123100400</t>
        </is>
      </c>
      <c r="C2" s="22" t="inlineStr">
        <is>
          <t>42494</t>
        </is>
      </c>
      <c r="D2" s="22" t="inlineStr">
        <is>
          <t>Точильний камінь 4000/1000 S&amp;R (123100400) Німеччина</t>
        </is>
      </c>
      <c r="E2" s="23" t="n">
        <v>5690</v>
      </c>
    </row>
    <row r="3">
      <c r="A3" s="22" t="inlineStr">
        <is>
          <t>Водоспад</t>
        </is>
      </c>
      <c r="B3" s="22" t="inlineStr">
        <is>
          <t>123100402</t>
        </is>
      </c>
      <c r="C3" s="22" t="inlineStr">
        <is>
          <t>42494</t>
        </is>
      </c>
      <c r="D3" s="22" t="inlineStr">
        <is>
          <t>Набір точильних каменів 120/240 та 4000/1000 гріт S&amp;R (123100402) Німеччина</t>
        </is>
      </c>
      <c r="E3" s="23" t="n">
        <v>5690</v>
      </c>
    </row>
    <row r="4">
      <c r="A4" s="22" t="inlineStr">
        <is>
          <t>Клуб Рослин</t>
        </is>
      </c>
      <c r="B4" s="22" t="inlineStr">
        <is>
          <t>SD-95-PN</t>
        </is>
      </c>
      <c r="C4" s="22" t="inlineStr">
        <is>
          <t>15592</t>
        </is>
      </c>
      <c r="D4" s="22" t="inlineStr">
        <is>
          <t>Точилка діамантова для вигнутих країв АРС / ARS Pen (SD-95-PN) Японія</t>
        </is>
      </c>
      <c r="E4" s="23" t="n">
        <v>1599</v>
      </c>
    </row>
    <row r="5">
      <c r="A5" s="22" t="inlineStr">
        <is>
          <t>Водоспад</t>
        </is>
      </c>
      <c r="B5" s="22" t="inlineStr">
        <is>
          <t>0.600.8B2.100</t>
        </is>
      </c>
      <c r="C5" s="22" t="inlineStr">
        <is>
          <t>41370</t>
        </is>
      </c>
      <c r="D5" s="22" t="inlineStr">
        <is>
          <t>Секатор Bosch EasyPrune акумуляторний (0.600.8B2.100) Німеччина</t>
        </is>
      </c>
      <c r="E5" s="23" t="n">
        <v>5802</v>
      </c>
    </row>
    <row r="6">
      <c r="A6" s="22" t="inlineStr">
        <is>
          <t>Клуб Рослин</t>
        </is>
      </c>
      <c r="B6" s="22" t="inlineStr">
        <is>
          <t>7249</t>
        </is>
      </c>
      <c r="C6" s="22" t="inlineStr">
        <is>
          <t>15530</t>
        </is>
      </c>
      <c r="D6" s="22" t="inlineStr">
        <is>
          <t>Добриво Преміум Фоліар Premium Foliar 19-19-19+ТЕ 15 кг AgroWork Туреччина</t>
        </is>
      </c>
      <c r="E6" s="23" t="n">
        <v>2799</v>
      </c>
    </row>
    <row r="7">
      <c r="A7" s="22" t="inlineStr">
        <is>
          <t>Клуб Рослин</t>
        </is>
      </c>
      <c r="B7" s="22" t="inlineStr">
        <is>
          <t>120500200101</t>
        </is>
      </c>
      <c r="C7" s="22" t="inlineStr">
        <is>
          <t>10596</t>
        </is>
      </c>
      <c r="D7" s="22" t="inlineStr">
        <is>
          <t>Маркер перманентний Baumschulen чорний 2 мм (120500200101) Німеччина</t>
        </is>
      </c>
      <c r="E7" s="23" t="n">
        <v>178</v>
      </c>
    </row>
    <row r="8">
      <c r="A8" s="22" t="inlineStr">
        <is>
          <t>Водоспад</t>
        </is>
      </c>
      <c r="B8" s="22" t="inlineStr">
        <is>
          <t>P57-25-F</t>
        </is>
      </c>
      <c r="C8" s="22" t="inlineStr">
        <is>
          <t>42609</t>
        </is>
      </c>
      <c r="D8" s="22" t="inlineStr">
        <is>
          <t>Кущоріз Bahco P57-25-F Бахо</t>
        </is>
      </c>
      <c r="E8" s="23" t="n">
        <v>2590</v>
      </c>
    </row>
    <row r="9">
      <c r="A9" s="22" t="inlineStr">
        <is>
          <t>Водоспад</t>
        </is>
      </c>
      <c r="B9" s="22" t="inlineStr">
        <is>
          <t>PX-M3-R500P</t>
        </is>
      </c>
      <c r="C9" s="22" t="inlineStr">
        <is>
          <t>37459</t>
        </is>
      </c>
      <c r="D9" s="22" t="inlineStr">
        <is>
          <t>Секатор Bahco PX-M3 для обрізки саду</t>
        </is>
      </c>
      <c r="E9" s="23" t="n">
        <v>2050</v>
      </c>
    </row>
    <row r="10">
      <c r="A10" s="22" t="inlineStr">
        <is>
          <t>Клуб Рослин</t>
        </is>
      </c>
      <c r="B10" s="22" t="inlineStr">
        <is>
          <t>PX-M3-R500P</t>
        </is>
      </c>
      <c r="C10" s="22" t="inlineStr">
        <is>
          <t>11858</t>
        </is>
      </c>
      <c r="D10" s="22" t="inlineStr">
        <is>
          <t>Секатор Bahco PX-M3 для обрізки саду</t>
        </is>
      </c>
      <c r="E10" s="23" t="n">
        <v>2950</v>
      </c>
    </row>
    <row r="11">
      <c r="A11" s="22" t="inlineStr">
        <is>
          <t>Водоспад</t>
        </is>
      </c>
      <c r="B11" s="22" t="inlineStr">
        <is>
          <t>11827</t>
        </is>
      </c>
      <c r="C11" s="22" t="inlineStr">
        <is>
          <t>41088</t>
        </is>
      </c>
      <c r="D11" s="22" t="inlineStr">
        <is>
          <t>Ніж Morakniv Companion MG Olive (11827) Mora Швеція</t>
        </is>
      </c>
      <c r="E11" s="23" t="n">
        <v>799</v>
      </c>
    </row>
    <row r="12">
      <c r="A12" s="22" t="inlineStr">
        <is>
          <t>Водоспад</t>
        </is>
      </c>
      <c r="B12" s="22" t="inlineStr">
        <is>
          <t>Rain1</t>
        </is>
      </c>
      <c r="C12" s="22" t="inlineStr">
        <is>
          <t>40534</t>
        </is>
      </c>
      <c r="D12" s="22" t="inlineStr">
        <is>
          <t>Опадомір (дощомір) пластиковий 0-50 mm L/m2 (Rain1) Corteva</t>
        </is>
      </c>
      <c r="E12" s="23" t="n">
        <v>220</v>
      </c>
    </row>
    <row r="13">
      <c r="A13" s="22" t="inlineStr">
        <is>
          <t>Водоспад</t>
        </is>
      </c>
      <c r="B13" s="22" t="inlineStr">
        <is>
          <t>BCL20IB</t>
        </is>
      </c>
      <c r="C13" s="22" t="inlineStr">
        <is>
          <t>39101</t>
        </is>
      </c>
      <c r="D13" s="22" t="inlineStr">
        <is>
          <t>Секатор акумуляторний Bahco BCL20IB Бахо</t>
        </is>
      </c>
      <c r="E13" s="23" t="n">
        <v>16999</v>
      </c>
    </row>
    <row r="14">
      <c r="A14" s="22" t="inlineStr">
        <is>
          <t>Водоспад</t>
        </is>
      </c>
      <c r="B14" s="22" t="inlineStr">
        <is>
          <t>UV-32Е</t>
        </is>
      </c>
      <c r="C14" s="22" t="inlineStr">
        <is>
          <t>37716</t>
        </is>
      </c>
      <c r="D14" s="22" t="inlineStr">
        <is>
          <t>Пила АРС / ARS (UV-32E) серповидна з кобурою Японія</t>
        </is>
      </c>
      <c r="E14" s="23" t="n">
        <v>1690</v>
      </c>
    </row>
    <row r="15">
      <c r="A15" s="22" t="inlineStr">
        <is>
          <t>Клуб Рослин</t>
        </is>
      </c>
      <c r="B15" s="22" t="inlineStr">
        <is>
          <t>120500100606</t>
        </is>
      </c>
      <c r="C15" s="22" t="inlineStr">
        <is>
          <t>9546</t>
        </is>
      </c>
      <c r="D15" s="22" t="inlineStr">
        <is>
          <t>Етикетки на дроті білі ПВХ 2.0 х 10 см 250 шт Німеччина</t>
        </is>
      </c>
      <c r="E15" s="23" t="n">
        <v>519</v>
      </c>
    </row>
    <row r="16">
      <c r="A16" s="22" t="inlineStr">
        <is>
          <t>Клуб Рослин</t>
        </is>
      </c>
      <c r="B16" s="22" t="inlineStr">
        <is>
          <t>120500100703</t>
        </is>
      </c>
      <c r="C16" s="22" t="inlineStr">
        <is>
          <t>9565</t>
        </is>
      </c>
      <c r="D16" s="22" t="inlineStr">
        <is>
          <t>Етикетки-кілочки для рослин PET-R білі 1.6 х 10 см 500 шт</t>
        </is>
      </c>
      <c r="E16" s="23" t="n">
        <v>725</v>
      </c>
    </row>
    <row r="17">
      <c r="A17" s="22" t="inlineStr">
        <is>
          <t>Водоспад</t>
        </is>
      </c>
      <c r="B17" s="22" t="inlineStr">
        <is>
          <t>KST 231</t>
        </is>
      </c>
      <c r="C17" s="22" t="inlineStr">
        <is>
          <t>33336</t>
        </is>
      </c>
      <c r="D17" s="22" t="inlineStr">
        <is>
          <t>Садові ножиці для живоплоту Окатсуне / Okatsune (KST 231) Японія</t>
        </is>
      </c>
      <c r="E17" s="23" t="n">
        <v>5390</v>
      </c>
    </row>
    <row r="18">
      <c r="A18" s="22" t="inlineStr">
        <is>
          <t>Клуб Рослин</t>
        </is>
      </c>
      <c r="B18" s="22" t="inlineStr">
        <is>
          <t>KST 231</t>
        </is>
      </c>
      <c r="C18" s="22" t="inlineStr">
        <is>
          <t>11768</t>
        </is>
      </c>
      <c r="D18" s="22" t="inlineStr">
        <is>
          <t>Садові ножиці для живоплоту Окатсуне / Okatsune (KST 231) Японія</t>
        </is>
      </c>
      <c r="E18" s="23" t="n">
        <v>5390</v>
      </c>
    </row>
    <row r="19">
      <c r="A19" s="22" t="inlineStr">
        <is>
          <t>Клуб Рослин</t>
        </is>
      </c>
      <c r="B19" s="22" t="inlineStr">
        <is>
          <t>120500200110</t>
        </is>
      </c>
      <c r="C19" s="22" t="inlineStr">
        <is>
          <t>10599</t>
        </is>
      </c>
      <c r="D19" s="22" t="inlineStr">
        <is>
          <t>Маркер перманентний Edding 400 чорний 1.0 мм Німеччина</t>
        </is>
      </c>
      <c r="E19" s="23" t="n">
        <v>178</v>
      </c>
    </row>
    <row r="20">
      <c r="A20" s="22" t="inlineStr">
        <is>
          <t>Клуб Рослин</t>
        </is>
      </c>
      <c r="B20" s="22" t="inlineStr">
        <is>
          <t>120500200103</t>
        </is>
      </c>
      <c r="C20" s="22" t="inlineStr">
        <is>
          <t>10601</t>
        </is>
      </c>
      <c r="D20" s="22" t="inlineStr">
        <is>
          <t>Маркер перманентний Pancolor Lumocolor 303F червоний 0.6 мм Staedtler Німеччина</t>
        </is>
      </c>
      <c r="E20" s="23" t="n">
        <v>200</v>
      </c>
    </row>
    <row r="21">
      <c r="A21" s="22" t="inlineStr">
        <is>
          <t>Клуб Рослин</t>
        </is>
      </c>
      <c r="B21" s="22" t="inlineStr">
        <is>
          <t>120500200104</t>
        </is>
      </c>
      <c r="C21" s="22" t="inlineStr">
        <is>
          <t>10602</t>
        </is>
      </c>
      <c r="D21" s="22" t="inlineStr">
        <is>
          <t>Маркер перманентний Pancolor Lumocolor 303M чорний 1.0 мм (120500200104) Staedtler Німеччина</t>
        </is>
      </c>
      <c r="E21" s="23" t="n">
        <v>200</v>
      </c>
    </row>
    <row r="22">
      <c r="A22" s="22" t="inlineStr">
        <is>
          <t>Клуб Рослин</t>
        </is>
      </c>
      <c r="B22" s="22" t="inlineStr">
        <is>
          <t>P127-19</t>
        </is>
      </c>
      <c r="C22" s="22" t="inlineStr">
        <is>
          <t>11036</t>
        </is>
      </c>
      <c r="D22" s="22" t="inlineStr">
        <is>
          <t>Ножиці для збору врожаю P127-19 Bahco</t>
        </is>
      </c>
      <c r="E22" s="23" t="n">
        <v>540</v>
      </c>
    </row>
    <row r="23">
      <c r="A23" s="22" t="inlineStr">
        <is>
          <t>Водоспад</t>
        </is>
      </c>
      <c r="B23" s="22" t="inlineStr">
        <is>
          <t>5386</t>
        </is>
      </c>
      <c r="C23" s="22" t="inlineStr">
        <is>
          <t>37067</t>
        </is>
      </c>
      <c r="D23" s="22" t="inlineStr">
        <is>
          <t>Садові ножиці для кущів Окатсуне / Okatsune (KST 216)</t>
        </is>
      </c>
      <c r="E23" s="23" t="n">
        <v>4490</v>
      </c>
    </row>
    <row r="24">
      <c r="A24" s="22" t="inlineStr">
        <is>
          <t>Клуб Рослин</t>
        </is>
      </c>
      <c r="B24" s="22" t="inlineStr">
        <is>
          <t>5386</t>
        </is>
      </c>
      <c r="C24" s="22" t="inlineStr">
        <is>
          <t>11765</t>
        </is>
      </c>
      <c r="D24" s="22" t="inlineStr">
        <is>
          <t>Садові ножиці для кущів Окатсуне / Okatsune (KST 216)</t>
        </is>
      </c>
      <c r="E24" s="23" t="n">
        <v>4490</v>
      </c>
    </row>
    <row r="25">
      <c r="A25" s="22" t="inlineStr">
        <is>
          <t>Водоспад</t>
        </is>
      </c>
      <c r="B25" s="22" t="inlineStr">
        <is>
          <t>KST 216</t>
        </is>
      </c>
      <c r="C25" s="22" t="inlineStr">
        <is>
          <t>37067</t>
        </is>
      </c>
      <c r="D25" s="22" t="inlineStr">
        <is>
          <t>Садові ножиці для кущів Окатсуне / Okatsune (KST216) Японія</t>
        </is>
      </c>
      <c r="E25" s="23" t="n">
        <v>4490</v>
      </c>
    </row>
    <row r="26">
      <c r="A26" s="22" t="inlineStr">
        <is>
          <t>Клуб Рослин</t>
        </is>
      </c>
      <c r="B26" s="22" t="inlineStr">
        <is>
          <t>KST 216</t>
        </is>
      </c>
      <c r="C26" s="22" t="inlineStr">
        <is>
          <t>11765</t>
        </is>
      </c>
      <c r="D26" s="22" t="inlineStr">
        <is>
          <t>Садові ножиці для кущів Окатсуне / Okatsune (KST216) Японія</t>
        </is>
      </c>
      <c r="E26" s="23" t="n">
        <v>4490</v>
      </c>
    </row>
    <row r="27">
      <c r="A27" s="22" t="inlineStr">
        <is>
          <t>Водоспад</t>
        </is>
      </c>
      <c r="B27" s="22" t="inlineStr">
        <is>
          <t>2C 380/20</t>
        </is>
      </c>
      <c r="C27" s="22" t="inlineStr">
        <is>
          <t>40745</t>
        </is>
      </c>
      <c r="D27" s="22" t="inlineStr">
        <is>
          <t>Секатор Due Cigni 200 мм (2C 380/20) Італія</t>
        </is>
      </c>
      <c r="E27" s="23" t="n">
        <v>2129</v>
      </c>
    </row>
    <row r="28">
      <c r="A28" s="22" t="inlineStr">
        <is>
          <t>Водоспад</t>
        </is>
      </c>
      <c r="B28" s="22" t="inlineStr">
        <is>
          <t>R260A</t>
        </is>
      </c>
      <c r="C28" s="22" t="inlineStr">
        <is>
          <t>36425</t>
        </is>
      </c>
      <c r="D28" s="22" t="inlineStr">
        <is>
          <t>Запасне опорне лезо для сучкоріза Bahco P-160 R260A</t>
        </is>
      </c>
      <c r="E28" s="23" t="n">
        <v>1090</v>
      </c>
    </row>
    <row r="29">
      <c r="A29" s="22" t="inlineStr">
        <is>
          <t>Клуб Рослин</t>
        </is>
      </c>
      <c r="B29" s="22" t="inlineStr">
        <is>
          <t>R260A</t>
        </is>
      </c>
      <c r="C29" s="22" t="inlineStr">
        <is>
          <t>10270</t>
        </is>
      </c>
      <c r="D29" s="22" t="inlineStr">
        <is>
          <t>Запасне опорне лезо для сучкоріза Bahco P-160 R260A</t>
        </is>
      </c>
      <c r="E29" s="23" t="n">
        <v>1090</v>
      </c>
    </row>
    <row r="30">
      <c r="A30" s="22" t="inlineStr">
        <is>
          <t>Водоспад</t>
        </is>
      </c>
      <c r="B30" s="22" t="inlineStr">
        <is>
          <t>23FCSPE12</t>
        </is>
      </c>
      <c r="C30" s="22" t="inlineStr">
        <is>
          <t>40553</t>
        </is>
      </c>
      <c r="D30" s="22" t="inlineStr">
        <is>
          <t>Підв`язка для рослин 12 см Х 1000 шт гнучкий сталевий дріт у паперовій оболонці (23FCSPE12) Італія</t>
        </is>
      </c>
      <c r="E30" s="23" t="n">
        <v>105</v>
      </c>
    </row>
    <row r="31">
      <c r="A31" s="22" t="inlineStr">
        <is>
          <t>Водоспад</t>
        </is>
      </c>
      <c r="B31" s="22" t="inlineStr">
        <is>
          <t>KST404</t>
        </is>
      </c>
      <c r="C31" s="22" t="inlineStr">
        <is>
          <t>42364</t>
        </is>
      </c>
      <c r="D31" s="22" t="inlineStr">
        <is>
          <t>Серп садовий Окатсуне / Okatsune (KST 404) Японія</t>
        </is>
      </c>
      <c r="E31" s="23" t="n">
        <v>1250</v>
      </c>
    </row>
    <row r="32">
      <c r="A32" s="22" t="inlineStr">
        <is>
          <t>Клуб Рослин</t>
        </is>
      </c>
      <c r="B32" s="22" t="inlineStr">
        <is>
          <t>KST404</t>
        </is>
      </c>
      <c r="C32" s="22" t="inlineStr">
        <is>
          <t>16236</t>
        </is>
      </c>
      <c r="D32" s="22" t="inlineStr">
        <is>
          <t>Серп садовий Окатсуне / Okatsune (KST 404) Японія</t>
        </is>
      </c>
      <c r="E32" s="23" t="n">
        <v>1190</v>
      </c>
    </row>
    <row r="33">
      <c r="A33" s="22" t="inlineStr">
        <is>
          <t>Водоспад</t>
        </is>
      </c>
      <c r="B33" s="22" t="inlineStr">
        <is>
          <t>23FIPEGRVS3</t>
        </is>
      </c>
      <c r="C33" s="22" t="inlineStr">
        <is>
          <t>40549</t>
        </is>
      </c>
      <c r="D33" s="22" t="inlineStr">
        <is>
          <t>Агротрубка (кембрик) для підв`язки рослин 3 мм 1 кг 230 м Super extra cordioli (23FIPEGRVS3) Італія</t>
        </is>
      </c>
      <c r="E33" s="23" t="n">
        <v>345</v>
      </c>
    </row>
    <row r="34">
      <c r="A34" s="22" t="inlineStr">
        <is>
          <t>Водоспад</t>
        </is>
      </c>
      <c r="B34" s="22" t="inlineStr">
        <is>
          <t>Lopata_M</t>
        </is>
      </c>
      <c r="C34" s="22" t="inlineStr">
        <is>
          <t>41509</t>
        </is>
      </c>
      <c r="D34" s="22" t="inlineStr">
        <is>
          <t>Лопата саперна Нівакі / Niwaki 820x160x28 мм 0.98 кг (Lopata_M) Японія</t>
        </is>
      </c>
      <c r="E34" s="23" t="n">
        <v>4599</v>
      </c>
    </row>
    <row r="35">
      <c r="A35" s="22" t="inlineStr">
        <is>
          <t>Водоспад</t>
        </is>
      </c>
      <c r="B35" s="22" t="inlineStr">
        <is>
          <t>KST108</t>
        </is>
      </c>
      <c r="C35" s="22" t="inlineStr">
        <is>
          <t>33897</t>
        </is>
      </c>
      <c r="D35" s="22" t="inlineStr">
        <is>
          <t>Чохол шкіряний Окатсуне / Okatsune (KST108) Японія</t>
        </is>
      </c>
      <c r="E35" s="23" t="n">
        <v>990</v>
      </c>
    </row>
    <row r="36">
      <c r="A36" s="22" t="inlineStr">
        <is>
          <t>Клуб Рослин</t>
        </is>
      </c>
      <c r="B36" s="22" t="inlineStr">
        <is>
          <t>KST108</t>
        </is>
      </c>
      <c r="C36" s="22" t="inlineStr">
        <is>
          <t>16233</t>
        </is>
      </c>
      <c r="D36" s="22" t="inlineStr">
        <is>
          <t>Чохол шкіряний Окатсуне / Okatsune (KST108) Японія</t>
        </is>
      </c>
      <c r="E36" s="23" t="n">
        <v>890</v>
      </c>
    </row>
    <row r="37">
      <c r="A37" s="22" t="inlineStr">
        <is>
          <t>Клуб Рослин</t>
        </is>
      </c>
      <c r="B37" s="22" t="inlineStr">
        <is>
          <t>6b06622a-abbb-11ee-bf43-c87f546feb15</t>
        </is>
      </c>
      <c r="C37" s="22" t="inlineStr">
        <is>
          <t>10512</t>
        </is>
      </c>
      <c r="D37" s="22" t="inlineStr">
        <is>
          <t>Лопата штикова Bellota 3103 MFVA.B Іспанія</t>
        </is>
      </c>
      <c r="E37" s="23" t="n">
        <v>1310</v>
      </c>
    </row>
    <row r="38">
      <c r="A38" s="22" t="inlineStr">
        <is>
          <t>Клуб Рослин</t>
        </is>
      </c>
      <c r="B38" s="22" t="inlineStr">
        <is>
          <t>7d31f229-bf5c-11ee-bf58-c87f546feb15</t>
        </is>
      </c>
      <c r="C38" s="22" t="inlineStr">
        <is>
          <t>10316</t>
        </is>
      </c>
      <c r="D38" s="22" t="inlineStr">
        <is>
          <t>Коса 660 мм Bellota 2509-26.B Іспанія</t>
        </is>
      </c>
      <c r="E38" s="23" t="n">
        <v>4679</v>
      </c>
    </row>
    <row r="39">
      <c r="A39" s="22" t="inlineStr">
        <is>
          <t>Водоспад</t>
        </is>
      </c>
      <c r="B39" s="22" t="inlineStr">
        <is>
          <t>R185V</t>
        </is>
      </c>
      <c r="C39" s="22" t="inlineStr">
        <is>
          <t>42982</t>
        </is>
      </c>
      <c r="D39" s="22" t="inlineStr">
        <is>
          <t>Запасне лезо для гілкоріза Bahco P280 (R185V)</t>
        </is>
      </c>
      <c r="E39" s="23" t="n">
        <v>1190</v>
      </c>
    </row>
    <row r="40">
      <c r="A40" s="22" t="inlineStr">
        <is>
          <t>Водоспад</t>
        </is>
      </c>
      <c r="B40" s="22" t="inlineStr">
        <is>
          <t>446-24</t>
        </is>
      </c>
      <c r="C40" s="22" t="inlineStr">
        <is>
          <t>32906</t>
        </is>
      </c>
      <c r="D40" s="22" t="inlineStr">
        <is>
          <t>Садова пила складна Silky Ultra Accel Curve 240-7.5 (446-24) Японія</t>
        </is>
      </c>
      <c r="E40" s="23" t="n">
        <v>2990</v>
      </c>
    </row>
    <row r="41">
      <c r="A41" s="22" t="inlineStr">
        <is>
          <t>Водоспад</t>
        </is>
      </c>
      <c r="B41" s="22" t="inlineStr">
        <is>
          <t>23FIPEGRVS2</t>
        </is>
      </c>
      <c r="C41" s="22" t="inlineStr">
        <is>
          <t>40551</t>
        </is>
      </c>
      <c r="D41" s="22" t="inlineStr">
        <is>
          <t>Агротрубка (кембрик) для підв`язки рослин 2 мм 1кг 320 м Super extra cordioli (23FIPEGRVS2) Італія</t>
        </is>
      </c>
      <c r="E41" s="23" t="n">
        <v>350</v>
      </c>
    </row>
    <row r="42">
      <c r="A42" s="22" t="inlineStr">
        <is>
          <t>Водоспад</t>
        </is>
      </c>
      <c r="B42" s="22" t="inlineStr">
        <is>
          <t>23FIPEGRVS6</t>
        </is>
      </c>
      <c r="C42" s="22" t="inlineStr">
        <is>
          <t>40546</t>
        </is>
      </c>
      <c r="D42" s="22" t="inlineStr">
        <is>
          <t>Агротрубка (кембрик) для підв`язки рослин 6 мм 1 кг 98 м Super extra cordioli (23FIPEGRVS6) Італія</t>
        </is>
      </c>
      <c r="E42" s="23" t="n">
        <v>360</v>
      </c>
    </row>
    <row r="43">
      <c r="A43" s="22" t="inlineStr">
        <is>
          <t>Водоспад</t>
        </is>
      </c>
      <c r="B43" s="22" t="inlineStr">
        <is>
          <t>LAP-KNIFE</t>
        </is>
      </c>
      <c r="C43" s="22" t="inlineStr">
        <is>
          <t>42195</t>
        </is>
      </c>
      <c r="D43" s="22" t="inlineStr">
        <is>
          <t>Набір Bahco laplander 396 пилка + Knife 2446 ніж (LAP-KNIFE)</t>
        </is>
      </c>
      <c r="E43" s="23" t="n">
        <v>1430</v>
      </c>
    </row>
    <row r="44">
      <c r="A44" s="22" t="inlineStr">
        <is>
          <t>Клуб Рослин</t>
        </is>
      </c>
      <c r="B44" s="22" t="inlineStr">
        <is>
          <t>121000332326</t>
        </is>
      </c>
      <c r="C44" s="22" t="inlineStr">
        <is>
          <t>16438</t>
        </is>
      </c>
      <c r="D44" s="22" t="inlineStr">
        <is>
          <t>Масло камелии антикоррозионное Kurobara Tsubak 100 млi Hanakumagawa Япония</t>
        </is>
      </c>
      <c r="E44" s="23" t="n">
        <v>455</v>
      </c>
    </row>
    <row r="45">
      <c r="A45" s="22" t="inlineStr">
        <is>
          <t>Водоспад</t>
        </is>
      </c>
      <c r="B45" s="22" t="inlineStr">
        <is>
          <t>P34-27A-F</t>
        </is>
      </c>
      <c r="C45" s="22" t="inlineStr">
        <is>
          <t>32551</t>
        </is>
      </c>
      <c r="D45" s="22" t="inlineStr">
        <is>
          <t>Висоторіз Bahco P34-27A-F</t>
        </is>
      </c>
      <c r="E45" s="23" t="n">
        <v>2190</v>
      </c>
    </row>
    <row r="46">
      <c r="A46" s="22" t="inlineStr">
        <is>
          <t>Клуб Рослин</t>
        </is>
      </c>
      <c r="B46" s="22" t="inlineStr">
        <is>
          <t>P34-27A-F</t>
        </is>
      </c>
      <c r="C46" s="22" t="inlineStr">
        <is>
          <t>12035</t>
        </is>
      </c>
      <c r="D46" s="22" t="inlineStr">
        <is>
          <t>Висоторіз Bahco P34-27A-F</t>
        </is>
      </c>
      <c r="E46" s="23" t="n">
        <v>2190</v>
      </c>
    </row>
    <row r="47">
      <c r="A47" s="22" t="inlineStr">
        <is>
          <t>Водоспад</t>
        </is>
      </c>
      <c r="B47" s="22" t="inlineStr">
        <is>
          <t>5170007N</t>
        </is>
      </c>
      <c r="C47" s="22" t="inlineStr">
        <is>
          <t>40796</t>
        </is>
      </c>
      <c r="D47" s="22" t="inlineStr">
        <is>
          <t>Віск для щеплення червоний гранульований з фунгіцидами Plastigreffe 6535 - 500 г (5170007N) AgriChem Італія</t>
        </is>
      </c>
      <c r="E47" s="23" t="n">
        <v>325</v>
      </c>
    </row>
    <row r="48">
      <c r="A48" s="22" t="inlineStr">
        <is>
          <t>Водоспад</t>
        </is>
      </c>
      <c r="B48" s="22" t="inlineStr">
        <is>
          <t>P160-SL-75</t>
        </is>
      </c>
      <c r="C48" s="22" t="inlineStr">
        <is>
          <t>33647</t>
        </is>
      </c>
      <c r="D48" s="22" t="inlineStr">
        <is>
          <t>Гілкоріз Bahco P160-SL-75</t>
        </is>
      </c>
      <c r="E48" s="23" t="n">
        <v>4050</v>
      </c>
    </row>
    <row r="49">
      <c r="A49" s="22" t="inlineStr">
        <is>
          <t>Клуб Рослин</t>
        </is>
      </c>
      <c r="B49" s="22" t="inlineStr">
        <is>
          <t>P160-SL-75</t>
        </is>
      </c>
      <c r="C49" s="22" t="inlineStr">
        <is>
          <t>12484</t>
        </is>
      </c>
      <c r="D49" s="22" t="inlineStr">
        <is>
          <t>Гілкоріз Bahco P160-SL-75</t>
        </is>
      </c>
      <c r="E49" s="23" t="n">
        <v>4050</v>
      </c>
    </row>
    <row r="50">
      <c r="A50" s="22" t="inlineStr">
        <is>
          <t>Водоспад</t>
        </is>
      </c>
      <c r="B50" s="22" t="inlineStr">
        <is>
          <t>23FIPEGRVS4</t>
        </is>
      </c>
      <c r="C50" s="22" t="inlineStr">
        <is>
          <t>40544</t>
        </is>
      </c>
      <c r="D50" s="22" t="inlineStr">
        <is>
          <t>Агротрубка (кембрик) для підв`язки рослин 4 мм 1 кг 160 м Super extra Cordioli (23FIPEGRVS4) Італія</t>
        </is>
      </c>
      <c r="E50" s="23" t="n">
        <v>345</v>
      </c>
    </row>
    <row r="51">
      <c r="A51" s="22" t="inlineStr">
        <is>
          <t>Водоспад</t>
        </is>
      </c>
      <c r="B51" s="22" t="inlineStr">
        <is>
          <t>23FIPEGRVS5</t>
        </is>
      </c>
      <c r="C51" s="22" t="inlineStr">
        <is>
          <t>40867</t>
        </is>
      </c>
      <c r="D51" s="22" t="inlineStr">
        <is>
          <t>Агротрубка (кембрик) для підв`язки рослин 5 мм 1 кг 120 м Super extra cordioli (23FIPEGRVS5) Італія</t>
        </is>
      </c>
      <c r="E51" s="23" t="n">
        <v>345</v>
      </c>
    </row>
    <row r="52">
      <c r="A52" s="22" t="inlineStr">
        <is>
          <t>Водоспад</t>
        </is>
      </c>
      <c r="B52" s="22" t="inlineStr">
        <is>
          <t>R144PV</t>
        </is>
      </c>
      <c r="C52" s="22" t="inlineStr">
        <is>
          <t>33663</t>
        </is>
      </c>
      <c r="D52" s="22" t="inlineStr">
        <is>
          <t>Центральний болт і гайка до сучкоріза Bahco P-160 R144PV</t>
        </is>
      </c>
      <c r="E52" s="23" t="n">
        <v>350</v>
      </c>
    </row>
    <row r="53">
      <c r="A53" s="22" t="inlineStr">
        <is>
          <t>Водоспад</t>
        </is>
      </c>
      <c r="B53" s="22" t="inlineStr">
        <is>
          <t>5070007N</t>
        </is>
      </c>
      <c r="C53" s="22" t="inlineStr">
        <is>
          <t>41074</t>
        </is>
      </c>
      <c r="D53" s="22" t="inlineStr">
        <is>
          <t>Віск для щеплення троянд Plastifina 5470 - 900 г (5070007N) AgriChem Італія</t>
        </is>
      </c>
      <c r="E53" s="23" t="n">
        <v>299</v>
      </c>
    </row>
    <row r="54">
      <c r="A54" s="22" t="inlineStr">
        <is>
          <t>Водоспад</t>
        </is>
      </c>
      <c r="B54" s="22" t="inlineStr">
        <is>
          <t>97004.A</t>
        </is>
      </c>
      <c r="C54" s="22" t="inlineStr">
        <is>
          <t>42274</t>
        </is>
      </c>
      <c r="D54" s="22" t="inlineStr">
        <is>
          <t>Чохол шкіряний для секатора професійний Алтуна / Altuna (97004.A) Іспанія</t>
        </is>
      </c>
      <c r="E54" s="23" t="n">
        <v>869</v>
      </c>
    </row>
    <row r="55">
      <c r="A55" s="22" t="inlineStr">
        <is>
          <t>Клуб Рослин</t>
        </is>
      </c>
      <c r="B55" s="22" t="inlineStr">
        <is>
          <t>7245</t>
        </is>
      </c>
      <c r="C55" s="22" t="inlineStr">
        <is>
          <t>9229</t>
        </is>
      </c>
      <c r="D55" s="22" t="inlineStr">
        <is>
          <t>Добриво Терафлекс Terraflex (17-17-17+TE) 25 кг SmartGrow Бельгія</t>
        </is>
      </c>
      <c r="E55" s="23" t="n">
        <v>3879</v>
      </c>
    </row>
    <row r="56">
      <c r="A56" s="22" t="inlineStr">
        <is>
          <t>Водоспад</t>
        </is>
      </c>
      <c r="B56" s="22" t="inlineStr">
        <is>
          <t>NJP811</t>
        </is>
      </c>
      <c r="C56" s="22" t="inlineStr">
        <is>
          <t>40174</t>
        </is>
      </c>
      <c r="D56" s="22" t="inlineStr">
        <is>
          <t>Ніж Rikugatana S нержавіюча сталь DSR1K6 DAIDO Нісаку / Nisaku (NJP811) Японія</t>
        </is>
      </c>
      <c r="E56" s="23" t="n">
        <v>2490</v>
      </c>
    </row>
    <row r="57">
      <c r="A57" s="22" t="inlineStr">
        <is>
          <t>Водоспад</t>
        </is>
      </c>
      <c r="B57" s="22" t="inlineStr">
        <is>
          <t>1001580</t>
        </is>
      </c>
      <c r="C57" s="22" t="inlineStr">
        <is>
          <t>32960</t>
        </is>
      </c>
      <c r="D57" s="22" t="inlineStr">
        <is>
          <t>Лопата совкова Fiskars ErgoComfort 132911 (1001580) Фінляндія</t>
        </is>
      </c>
      <c r="E57" s="23" t="n">
        <v>1099</v>
      </c>
    </row>
    <row r="58">
      <c r="A58" s="22" t="inlineStr">
        <is>
          <t>Водоспад</t>
        </is>
      </c>
      <c r="B58" s="22" t="inlineStr">
        <is>
          <t>202P-SP-OT-CH</t>
        </is>
      </c>
      <c r="C58" s="22" t="inlineStr">
        <is>
          <t>36457</t>
        </is>
      </c>
      <c r="D58" s="22" t="inlineStr">
        <is>
          <t>Щеплювальний ніж з відділювачем кори Due Buoi 202P-SP-OT-CH Італія</t>
        </is>
      </c>
      <c r="E58" s="23" t="n">
        <v>2250</v>
      </c>
    </row>
    <row r="59">
      <c r="A59" s="22" t="inlineStr">
        <is>
          <t>Водоспад</t>
        </is>
      </c>
      <c r="B59" s="22" t="inlineStr">
        <is>
          <t>2720006N</t>
        </is>
      </c>
      <c r="C59" s="22" t="inlineStr">
        <is>
          <t>41073</t>
        </is>
      </c>
      <c r="D59" s="22" t="inlineStr">
        <is>
          <t>Паста Арборпласт / Arborplast 5 кг для гарячого щеплення AgriChem Італія</t>
        </is>
      </c>
      <c r="E59" s="23" t="n">
        <v>1299</v>
      </c>
    </row>
    <row r="60">
      <c r="A60" s="22" t="inlineStr">
        <is>
          <t>Клуб Рослин</t>
        </is>
      </c>
      <c r="B60" s="22" t="inlineStr">
        <is>
          <t>120EU</t>
        </is>
      </c>
      <c r="C60" s="22" t="inlineStr">
        <is>
          <t>11790</t>
        </is>
      </c>
      <c r="D60" s="22" t="inlineStr">
        <is>
          <t>Секатор АРС / ARS (120EU) садовий обвідний Японія</t>
        </is>
      </c>
      <c r="E60" s="23" t="n">
        <v>1179</v>
      </c>
    </row>
    <row r="61">
      <c r="A61" s="22" t="inlineStr">
        <is>
          <t>Водоспад</t>
        </is>
      </c>
      <c r="B61" s="22" t="inlineStr">
        <is>
          <t>1001567</t>
        </is>
      </c>
      <c r="C61" s="22" t="inlineStr">
        <is>
          <t>32188</t>
        </is>
      </c>
      <c r="D61" s="22" t="inlineStr">
        <is>
          <t>Лопата штикова з телескопічною ручкою Fiskars Фіскарс SmartFit (1001567) Фінляндія</t>
        </is>
      </c>
      <c r="E61" s="23" t="n">
        <v>2199</v>
      </c>
    </row>
    <row r="62">
      <c r="A62" s="22" t="inlineStr">
        <is>
          <t>Водоспад</t>
        </is>
      </c>
      <c r="B62" s="22" t="inlineStr">
        <is>
          <t>160ZF-3.0-5</t>
        </is>
      </c>
      <c r="C62" s="22" t="inlineStr">
        <is>
          <t>41931</t>
        </is>
      </c>
      <c r="D62" s="22" t="inlineStr">
        <is>
          <t>Секатор АРС / ARS (160ZF-3.0-5) телескопічний на штанзі 1.8–3 м Японія</t>
        </is>
      </c>
      <c r="E62" s="23" t="n">
        <v>5145</v>
      </c>
    </row>
    <row r="63">
      <c r="A63" s="22" t="inlineStr">
        <is>
          <t>Клуб Рослин</t>
        </is>
      </c>
      <c r="B63" s="22" t="inlineStr">
        <is>
          <t>160ZF-3.0-5</t>
        </is>
      </c>
      <c r="C63" s="22" t="inlineStr">
        <is>
          <t>15002</t>
        </is>
      </c>
      <c r="D63" s="22" t="inlineStr">
        <is>
          <t>Секатор АРС / ARS (160ZF-3.0-5) телескопічний на штанзі 1.8–3 м Японія</t>
        </is>
      </c>
      <c r="E63" s="23" t="n">
        <v>178</v>
      </c>
    </row>
    <row r="64">
      <c r="A64" s="22" t="inlineStr">
        <is>
          <t>Водоспад</t>
        </is>
      </c>
      <c r="B64" s="22" t="inlineStr">
        <is>
          <t>160ZF-2.0-3</t>
        </is>
      </c>
      <c r="C64" s="22" t="inlineStr">
        <is>
          <t>41930</t>
        </is>
      </c>
      <c r="D64" s="22" t="inlineStr">
        <is>
          <t>Секатор АРС / ARS (160ZF-2.0-3) телескопічний на штанзі 1.2–2 м Японія</t>
        </is>
      </c>
      <c r="E64" s="23" t="n">
        <v>4870</v>
      </c>
    </row>
    <row r="65">
      <c r="A65" s="22" t="inlineStr">
        <is>
          <t>Клуб Рослин</t>
        </is>
      </c>
      <c r="B65" s="22" t="inlineStr">
        <is>
          <t>160ZF-2.0-3</t>
        </is>
      </c>
      <c r="C65" s="22" t="inlineStr">
        <is>
          <t>15001</t>
        </is>
      </c>
      <c r="D65" s="22" t="inlineStr">
        <is>
          <t>Секатор АРС / ARS (160ZF-2.0-3) телескопічний на штанзі 1.2–2 м Японія</t>
        </is>
      </c>
      <c r="E65" s="23" t="n">
        <v>178</v>
      </c>
    </row>
    <row r="66">
      <c r="A66" s="22" t="inlineStr">
        <is>
          <t>Водоспад</t>
        </is>
      </c>
      <c r="B66" s="22" t="inlineStr">
        <is>
          <t>1003621</t>
        </is>
      </c>
      <c r="C66" s="22" t="inlineStr">
        <is>
          <t>37222</t>
        </is>
      </c>
      <c r="D66" s="22" t="inlineStr">
        <is>
          <t>Великий сікач для сучків Фіскарс / Fiskars WoodXpert XA3 126005 (1003621) Фінляндія</t>
        </is>
      </c>
      <c r="E66" s="23" t="n">
        <v>3099</v>
      </c>
    </row>
    <row r="67">
      <c r="A67" s="22" t="inlineStr">
        <is>
          <t>Клуб Рослин</t>
        </is>
      </c>
      <c r="B67" s="22" t="inlineStr">
        <is>
          <t>1003621</t>
        </is>
      </c>
      <c r="C67" s="22" t="inlineStr">
        <is>
          <t>12097</t>
        </is>
      </c>
      <c r="D67" s="22" t="inlineStr">
        <is>
          <t>Великий сікач для сучків Фіскарс / Fiskars WoodXpert XA3 126005 (1003621) Фінляндія</t>
        </is>
      </c>
      <c r="E67" s="23" t="n">
        <v>727.2</v>
      </c>
    </row>
    <row r="68">
      <c r="A68" s="22" t="inlineStr">
        <is>
          <t>Водоспад</t>
        </is>
      </c>
      <c r="B68" s="22" t="inlineStr">
        <is>
          <t>1001622</t>
        </is>
      </c>
      <c r="C68" s="22" t="inlineStr">
        <is>
          <t>32175</t>
        </is>
      </c>
      <c r="D68" s="22" t="inlineStr">
        <is>
          <t>Ніж універсальний Фіскарс Fiskars з чохлом K40 125860 (1001622) Фінляндія</t>
        </is>
      </c>
      <c r="E68" s="23" t="n">
        <v>699</v>
      </c>
    </row>
    <row r="69">
      <c r="A69" s="22" t="inlineStr">
        <is>
          <t>Клуб Рослин</t>
        </is>
      </c>
      <c r="B69" s="22" t="inlineStr">
        <is>
          <t>1001622</t>
        </is>
      </c>
      <c r="C69" s="22" t="inlineStr">
        <is>
          <t>10885</t>
        </is>
      </c>
      <c r="D69" s="22" t="inlineStr">
        <is>
          <t>Ніж універсальний Фіскарс Fiskars з чохлом K40 125860 (1001622) Фінляндія</t>
        </is>
      </c>
      <c r="E69" s="23" t="n">
        <v>334</v>
      </c>
    </row>
    <row r="70">
      <c r="A70" s="22" t="inlineStr">
        <is>
          <t>Водоспад</t>
        </is>
      </c>
      <c r="B70" s="22" t="inlineStr">
        <is>
          <t>1003623</t>
        </is>
      </c>
      <c r="C70" s="22" t="inlineStr">
        <is>
          <t>37226</t>
        </is>
      </c>
      <c r="D70" s="22" t="inlineStr">
        <is>
          <t>Багор великий Фіскарс Fiskars WoodXpert XA22 126007 (1003623) Фінляндія</t>
        </is>
      </c>
      <c r="E70" s="23" t="n">
        <v>3099</v>
      </c>
    </row>
    <row r="71">
      <c r="A71" s="22" t="inlineStr">
        <is>
          <t>Клуб Рослин</t>
        </is>
      </c>
      <c r="B71" s="22" t="inlineStr">
        <is>
          <t>1003623</t>
        </is>
      </c>
      <c r="C71" s="22" t="inlineStr">
        <is>
          <t>10594</t>
        </is>
      </c>
      <c r="D71" s="22" t="inlineStr">
        <is>
          <t>Багор великий Фіскарс Fiskars WoodXpert XA22 126007 (1003623) Фінляндія</t>
        </is>
      </c>
      <c r="E71" s="23" t="n">
        <v>1433.9</v>
      </c>
    </row>
    <row r="72">
      <c r="A72" s="22" t="inlineStr">
        <is>
          <t>Водоспад</t>
        </is>
      </c>
      <c r="B72" s="22" t="inlineStr">
        <is>
          <t>1001620</t>
        </is>
      </c>
      <c r="C72" s="22" t="inlineStr">
        <is>
          <t>37352</t>
        </is>
      </c>
      <c r="D72" s="22" t="inlineStr">
        <is>
          <t>Пила ручна Фіскарс Fiskars SW84 123840 (1001620) Фінляндія</t>
        </is>
      </c>
      <c r="E72" s="23" t="n">
        <v>2499</v>
      </c>
    </row>
    <row r="73">
      <c r="A73" s="22" t="inlineStr">
        <is>
          <t>Клуб Рослин</t>
        </is>
      </c>
      <c r="B73" s="22" t="inlineStr">
        <is>
          <t>1001620</t>
        </is>
      </c>
      <c r="C73" s="22" t="inlineStr">
        <is>
          <t>11217</t>
        </is>
      </c>
      <c r="D73" s="22" t="inlineStr">
        <is>
          <t>Пила ручна Фіскарс Fiskars SW84 123840 (1001620) Фінляндія</t>
        </is>
      </c>
      <c r="E73" s="23" t="n">
        <v>1495.6</v>
      </c>
    </row>
    <row r="74">
      <c r="A74" s="22" t="inlineStr">
        <is>
          <t>Водоспад</t>
        </is>
      </c>
      <c r="B74" s="22" t="inlineStr">
        <is>
          <t>1001534</t>
        </is>
      </c>
      <c r="C74" s="22" t="inlineStr">
        <is>
          <t>32142</t>
        </is>
      </c>
      <c r="D74" s="22" t="inlineStr">
        <is>
          <t>Секатор площинний Фіскарс Fiskars FingerLoop P44 111440 (1001534) Фінляндія</t>
        </is>
      </c>
      <c r="E74" s="23" t="n">
        <v>999</v>
      </c>
    </row>
    <row r="75">
      <c r="A75" s="22" t="inlineStr">
        <is>
          <t>Клуб Рослин</t>
        </is>
      </c>
      <c r="B75" s="22" t="inlineStr">
        <is>
          <t>1001534</t>
        </is>
      </c>
      <c r="C75" s="22" t="inlineStr">
        <is>
          <t>11920</t>
        </is>
      </c>
      <c r="D75" s="22" t="inlineStr">
        <is>
          <t>Секатор площинний Фіскарс Fiskars FingerLoop P44 111440 (1001534) Фінляндія</t>
        </is>
      </c>
      <c r="E75" s="23" t="n">
        <v>646.1</v>
      </c>
    </row>
    <row r="76">
      <c r="A76" s="22" t="inlineStr">
        <is>
          <t>Водоспад</t>
        </is>
      </c>
      <c r="B76" s="22" t="inlineStr">
        <is>
          <t>1001623</t>
        </is>
      </c>
      <c r="C76" s="22" t="inlineStr">
        <is>
          <t>32622</t>
        </is>
      </c>
      <c r="D76" s="22" t="inlineStr">
        <is>
          <t>Ніж зігнутий для щеплень Фіскарс Fiskars K62 125880 (1001623) Фінляндія</t>
        </is>
      </c>
      <c r="E76" s="23" t="n">
        <v>749</v>
      </c>
    </row>
    <row r="77">
      <c r="A77" s="22" t="inlineStr">
        <is>
          <t>Клуб Рослин</t>
        </is>
      </c>
      <c r="B77" s="22" t="inlineStr">
        <is>
          <t>1001623</t>
        </is>
      </c>
      <c r="C77" s="22" t="inlineStr">
        <is>
          <t>10886</t>
        </is>
      </c>
      <c r="D77" s="22" t="inlineStr">
        <is>
          <t>Ніж зігнутий для щеплень Фіскарс Fiskars K62 125880 (1001623) Фінляндія</t>
        </is>
      </c>
      <c r="E77" s="23" t="n">
        <v>428.3</v>
      </c>
    </row>
    <row r="78">
      <c r="A78" s="22" t="inlineStr">
        <is>
          <t>Водоспад</t>
        </is>
      </c>
      <c r="B78" s="22" t="inlineStr">
        <is>
          <t>1001640</t>
        </is>
      </c>
      <c r="C78" s="22" t="inlineStr">
        <is>
          <t>32195</t>
        </is>
      </c>
      <c r="D78" s="22" t="inlineStr">
        <is>
          <t>Комплект по догляду за інвентарем Фіскарс Fiskars 110990 (1001640) Фінляндія</t>
        </is>
      </c>
      <c r="E78" s="23" t="n">
        <v>899</v>
      </c>
    </row>
    <row r="79">
      <c r="A79" s="22" t="inlineStr">
        <is>
          <t>Клуб Рослин</t>
        </is>
      </c>
      <c r="B79" s="22" t="inlineStr">
        <is>
          <t>1001640</t>
        </is>
      </c>
      <c r="C79" s="22" t="inlineStr">
        <is>
          <t>10734</t>
        </is>
      </c>
      <c r="D79" s="22" t="inlineStr">
        <is>
          <t>Комплект по догляду за інвентарем Фіскарс Fiskars 110990 (1001640) Фінляндія</t>
        </is>
      </c>
      <c r="E79" s="23" t="n">
        <v>516</v>
      </c>
    </row>
    <row r="80">
      <c r="A80" s="22" t="inlineStr">
        <is>
          <t>Водоспад</t>
        </is>
      </c>
      <c r="B80" s="22" t="inlineStr">
        <is>
          <t>1001557</t>
        </is>
      </c>
      <c r="C80" s="22" t="inlineStr">
        <is>
          <t>32615</t>
        </is>
      </c>
      <c r="D80" s="22" t="inlineStr">
        <is>
          <t>Висоторіз площинний Fiskars UP84 115390 (1001557) Фінляндія</t>
        </is>
      </c>
      <c r="E80" s="23" t="n">
        <v>4699</v>
      </c>
    </row>
    <row r="81">
      <c r="A81" s="22" t="inlineStr">
        <is>
          <t>Клуб Рослин</t>
        </is>
      </c>
      <c r="B81" s="22" t="inlineStr">
        <is>
          <t>1001557</t>
        </is>
      </c>
      <c r="C81" s="22" t="inlineStr">
        <is>
          <t>12535</t>
        </is>
      </c>
      <c r="D81" s="22" t="inlineStr">
        <is>
          <t>Висоторіз площинний Fiskars UP84 115390 (1001557) Фінляндія</t>
        </is>
      </c>
      <c r="E81" s="23" t="n">
        <v>2599.1</v>
      </c>
    </row>
    <row r="82">
      <c r="A82" s="22" t="inlineStr">
        <is>
          <t>Водоспад</t>
        </is>
      </c>
      <c r="B82" s="22" t="inlineStr">
        <is>
          <t>1001410</t>
        </is>
      </c>
      <c r="C82" s="22" t="inlineStr">
        <is>
          <t>39797</t>
        </is>
      </c>
      <c r="D82" s="22" t="inlineStr">
        <is>
          <t>Висоторіз Фіскарс Fiskars QuikFit 136525 (1001410) Фінляндія</t>
        </is>
      </c>
      <c r="E82" s="23" t="n">
        <v>1999</v>
      </c>
    </row>
    <row r="83">
      <c r="A83" s="22" t="inlineStr">
        <is>
          <t>Клуб Рослин</t>
        </is>
      </c>
      <c r="B83" s="22" t="inlineStr">
        <is>
          <t>1001410</t>
        </is>
      </c>
      <c r="C83" s="22" t="inlineStr">
        <is>
          <t>12556</t>
        </is>
      </c>
      <c r="D83" s="22" t="inlineStr">
        <is>
          <t>Висоторіз Фіскарс Fiskars QuikFit 136525 (1001410) Фінляндія</t>
        </is>
      </c>
      <c r="E83" s="23" t="n">
        <v>1128</v>
      </c>
    </row>
    <row r="84">
      <c r="A84" s="22" t="inlineStr">
        <is>
          <t>Водоспад</t>
        </is>
      </c>
      <c r="B84" s="22" t="inlineStr">
        <is>
          <t>R660V</t>
        </is>
      </c>
      <c r="C84" s="22" t="inlineStr">
        <is>
          <t>41107</t>
        </is>
      </c>
      <c r="D84" s="22" t="inlineStr">
        <is>
          <t>Запасні частини для сучкоріза (Болт і гайка для ручок) Bahco P160 ( R660V )</t>
        </is>
      </c>
      <c r="E84" s="23" t="n">
        <v>445</v>
      </c>
    </row>
    <row r="85">
      <c r="A85" s="22" t="inlineStr">
        <is>
          <t>Водоспад</t>
        </is>
      </c>
      <c r="B85" s="22" t="inlineStr">
        <is>
          <t>1001430</t>
        </is>
      </c>
      <c r="C85" s="22" t="inlineStr">
        <is>
          <t>39771</t>
        </is>
      </c>
      <c r="D85" s="22" t="inlineStr">
        <is>
          <t>Гілкоріз великий Фіскарс Fiskars SingleStep (L) L39 112450 (1001430) Фінляндія</t>
        </is>
      </c>
      <c r="E85" s="23" t="n">
        <v>1599</v>
      </c>
    </row>
    <row r="86">
      <c r="A86" s="22" t="inlineStr">
        <is>
          <t>Клуб Рослин</t>
        </is>
      </c>
      <c r="B86" s="22" t="inlineStr">
        <is>
          <t>1001430</t>
        </is>
      </c>
      <c r="C86" s="22" t="inlineStr">
        <is>
          <t>12558</t>
        </is>
      </c>
      <c r="D86" s="22" t="inlineStr">
        <is>
          <t>Гілкоріз великий Фіскарс Fiskars SingleStep (L) L39 112450 (1001430) Фінляндія</t>
        </is>
      </c>
      <c r="E86" s="23" t="n">
        <v>1118</v>
      </c>
    </row>
    <row r="87">
      <c r="A87" s="22" t="inlineStr">
        <is>
          <t>Водоспад</t>
        </is>
      </c>
      <c r="B87" s="22" t="inlineStr">
        <is>
          <t>1000612</t>
        </is>
      </c>
      <c r="C87" s="22" t="inlineStr">
        <is>
          <t>32193</t>
        </is>
      </c>
      <c r="D87" s="22" t="inlineStr">
        <is>
          <t>Пила висувна Фіскарс / Fiskars Xtract SW72 123860 (1000612) Фінляндія</t>
        </is>
      </c>
      <c r="E87" s="23" t="n">
        <v>1399</v>
      </c>
    </row>
    <row r="88">
      <c r="A88" s="22" t="inlineStr">
        <is>
          <t>Клуб Рослин</t>
        </is>
      </c>
      <c r="B88" s="22" t="inlineStr">
        <is>
          <t>1000612</t>
        </is>
      </c>
      <c r="C88" s="22" t="inlineStr">
        <is>
          <t>11222</t>
        </is>
      </c>
      <c r="D88" s="22" t="inlineStr">
        <is>
          <t>Пила висувна Фіскарс / Fiskars Xtract SW72 123860 (1000612) Фінляндія</t>
        </is>
      </c>
      <c r="E88" s="23" t="n">
        <v>878.5</v>
      </c>
    </row>
    <row r="89">
      <c r="A89" s="22" t="inlineStr">
        <is>
          <t>Водоспад</t>
        </is>
      </c>
      <c r="B89" s="22" t="inlineStr">
        <is>
          <t>1016036</t>
        </is>
      </c>
      <c r="C89" s="22" t="inlineStr">
        <is>
          <t>32980</t>
        </is>
      </c>
      <c r="D89" s="22" t="inlineStr">
        <is>
          <t>Садові граблі Фіскарс Fiskars Solid 135715 (1016036) Фінляндія</t>
        </is>
      </c>
      <c r="E89" s="23" t="n">
        <v>899</v>
      </c>
    </row>
    <row r="90">
      <c r="A90" s="22" t="inlineStr">
        <is>
          <t>Клуб Рослин</t>
        </is>
      </c>
      <c r="B90" s="22" t="inlineStr">
        <is>
          <t>1016036</t>
        </is>
      </c>
      <c r="C90" s="22" t="inlineStr">
        <is>
          <t>8920</t>
        </is>
      </c>
      <c r="D90" s="22" t="inlineStr">
        <is>
          <t>Садові граблі Фіскарс Fiskars Solid 135715 (1016036) Фінляндія</t>
        </is>
      </c>
      <c r="E90" s="23" t="n">
        <v>580.79</v>
      </c>
    </row>
    <row r="91">
      <c r="A91" s="22" t="inlineStr">
        <is>
          <t>Водоспад</t>
        </is>
      </c>
      <c r="B91" s="22" t="inlineStr">
        <is>
          <t>1001555</t>
        </is>
      </c>
      <c r="C91" s="22" t="inlineStr">
        <is>
          <t>39749</t>
        </is>
      </c>
      <c r="D91" s="22" t="inlineStr">
        <is>
          <t>Гілкоріз малий площинний Фіскарс / Fiskars PowerGear (S) L72 112200 (1001555) Фінляндія</t>
        </is>
      </c>
      <c r="E91" s="23" t="n">
        <v>1799</v>
      </c>
    </row>
    <row r="92">
      <c r="A92" s="22" t="inlineStr">
        <is>
          <t>Клуб Рослин</t>
        </is>
      </c>
      <c r="B92" s="22" t="inlineStr">
        <is>
          <t>1001555</t>
        </is>
      </c>
      <c r="C92" s="22" t="inlineStr">
        <is>
          <t>12539</t>
        </is>
      </c>
      <c r="D92" s="22" t="inlineStr">
        <is>
          <t>Гілкоріз малий площинний Фіскарс / Fiskars PowerGear (S) L72 112200 (1001555) Фінляндія</t>
        </is>
      </c>
      <c r="E92" s="23" t="n">
        <v>1168.9</v>
      </c>
    </row>
    <row r="93">
      <c r="A93" s="22" t="inlineStr">
        <is>
          <t>Водоспад</t>
        </is>
      </c>
      <c r="B93" s="22" t="inlineStr">
        <is>
          <t>1001553</t>
        </is>
      </c>
      <c r="C93" s="22" t="inlineStr">
        <is>
          <t>32618</t>
        </is>
      </c>
      <c r="D93" s="22" t="inlineStr">
        <is>
          <t>Гілкоріз площинний Фіскарс Fiskars PowerGear (M) L76 112300 (1001553) Фінляндія</t>
        </is>
      </c>
      <c r="E93" s="23" t="n">
        <v>2299</v>
      </c>
    </row>
    <row r="94">
      <c r="A94" s="22" t="inlineStr">
        <is>
          <t>Клуб Рослин</t>
        </is>
      </c>
      <c r="B94" s="22" t="inlineStr">
        <is>
          <t>1001553</t>
        </is>
      </c>
      <c r="C94" s="22" t="inlineStr">
        <is>
          <t>12542</t>
        </is>
      </c>
      <c r="D94" s="22" t="inlineStr">
        <is>
          <t>Гілкоріз площинний Фіскарс Fiskars PowerGear (M) L76 112300 (1001553) Фінляндія</t>
        </is>
      </c>
      <c r="E94" s="23" t="n">
        <v>1524.6</v>
      </c>
    </row>
    <row r="95">
      <c r="A95" s="22" t="inlineStr">
        <is>
          <t>Водоспад</t>
        </is>
      </c>
      <c r="B95" s="22" t="inlineStr">
        <is>
          <t>1013564</t>
        </is>
      </c>
      <c r="C95" s="22" t="inlineStr">
        <is>
          <t>39770</t>
        </is>
      </c>
      <c r="D95" s="22" t="inlineStr">
        <is>
          <t>Гілкоріз контактний Фіскарс Fiskars PowerStep SmartFit L86 112500 (1013564) Фінляндія</t>
        </is>
      </c>
      <c r="E95" s="23" t="n">
        <v>2899</v>
      </c>
    </row>
    <row r="96">
      <c r="A96" s="22" t="inlineStr">
        <is>
          <t>Клуб Рослин</t>
        </is>
      </c>
      <c r="B96" s="22" t="inlineStr">
        <is>
          <t>1013564</t>
        </is>
      </c>
      <c r="C96" s="22" t="inlineStr">
        <is>
          <t>12560</t>
        </is>
      </c>
      <c r="D96" s="22" t="inlineStr">
        <is>
          <t>Гілкоріз контактний Фіскарс Fiskars PowerStep SmartFit L86 112500 (1013564) Фінляндія</t>
        </is>
      </c>
      <c r="E96" s="23" t="n">
        <v>1858.6</v>
      </c>
    </row>
    <row r="97">
      <c r="A97" s="22" t="inlineStr">
        <is>
          <t>Водоспад</t>
        </is>
      </c>
      <c r="B97" s="22" t="inlineStr">
        <is>
          <t>1001433</t>
        </is>
      </c>
      <c r="C97" s="22" t="inlineStr">
        <is>
          <t>32717</t>
        </is>
      </c>
      <c r="D97" s="22" t="inlineStr">
        <is>
          <t>Кущоріз Фіскарс Fiskars SingleStep HS22 114730 (1001433) Фінляндія</t>
        </is>
      </c>
      <c r="E97" s="23" t="n">
        <v>1699</v>
      </c>
    </row>
    <row r="98">
      <c r="A98" s="22" t="inlineStr">
        <is>
          <t>Клуб Рослин</t>
        </is>
      </c>
      <c r="B98" s="22" t="inlineStr">
        <is>
          <t>1001433</t>
        </is>
      </c>
      <c r="C98" s="22" t="inlineStr">
        <is>
          <t>11027</t>
        </is>
      </c>
      <c r="D98" s="22" t="inlineStr">
        <is>
          <t>Кущоріз Фіскарс Fiskars SingleStep HS22 114730 (1001433) Фінляндія</t>
        </is>
      </c>
      <c r="E98" s="23" t="n">
        <v>958.3</v>
      </c>
    </row>
    <row r="99">
      <c r="A99" s="22" t="inlineStr">
        <is>
          <t>Клуб Рослин</t>
        </is>
      </c>
      <c r="B99" s="22" t="inlineStr">
        <is>
          <t>P173-SL-85</t>
        </is>
      </c>
      <c r="C99" s="22" t="inlineStr">
        <is>
          <t>14049</t>
        </is>
      </c>
      <c r="D99" s="22" t="inlineStr">
        <is>
          <t>Гілкоріз P173-SL-85 Bahco 850мм</t>
        </is>
      </c>
      <c r="E99" s="23" t="n">
        <v>1895</v>
      </c>
    </row>
    <row r="100">
      <c r="A100" s="22" t="inlineStr">
        <is>
          <t>Водоспад</t>
        </is>
      </c>
      <c r="B100" s="22" t="inlineStr">
        <is>
          <t>1000726</t>
        </is>
      </c>
      <c r="C100" s="22" t="inlineStr">
        <is>
          <t>33603</t>
        </is>
      </c>
      <c r="D100" s="22" t="inlineStr">
        <is>
          <t>Садовий совок Фіскарс Fiskars Premium 137200 (1000726) Фінляндія</t>
        </is>
      </c>
      <c r="E100" s="23" t="n">
        <v>549</v>
      </c>
    </row>
    <row r="101">
      <c r="A101" s="22" t="inlineStr">
        <is>
          <t>Клуб Рослин</t>
        </is>
      </c>
      <c r="B101" s="22" t="inlineStr">
        <is>
          <t>1000726</t>
        </is>
      </c>
      <c r="C101" s="22" t="inlineStr">
        <is>
          <t>12299</t>
        </is>
      </c>
      <c r="D101" s="22" t="inlineStr">
        <is>
          <t>Садовий совок Фіскарс Fiskars Premium 137200 (1000726) Фінляндія</t>
        </is>
      </c>
      <c r="E101" s="23" t="n">
        <v>282</v>
      </c>
    </row>
    <row r="102">
      <c r="A102" s="22" t="inlineStr">
        <is>
          <t>Водоспад</t>
        </is>
      </c>
      <c r="B102" s="22" t="inlineStr">
        <is>
          <t>1001565</t>
        </is>
      </c>
      <c r="C102" s="22" t="inlineStr">
        <is>
          <t>37417</t>
        </is>
      </c>
      <c r="D102" s="22" t="inlineStr">
        <is>
          <t>Ножиці для трави та живоплоту Фіскарс / Fiskars PowerLevel GS53 113710 (1001565) Фінляндія</t>
        </is>
      </c>
      <c r="E102" s="23" t="n">
        <v>3199</v>
      </c>
    </row>
    <row r="103">
      <c r="A103" s="22" t="inlineStr">
        <is>
          <t>Клуб Рослин</t>
        </is>
      </c>
      <c r="B103" s="22" t="inlineStr">
        <is>
          <t>1001565</t>
        </is>
      </c>
      <c r="C103" s="22" t="inlineStr">
        <is>
          <t>11046</t>
        </is>
      </c>
      <c r="D103" s="22" t="inlineStr">
        <is>
          <t>Ножиці для трави та живоплоту Фіскарс / Fiskars PowerLevel GS53 113710 (1001565) Фінляндія</t>
        </is>
      </c>
      <c r="E103" s="23" t="n">
        <v>2022</v>
      </c>
    </row>
    <row r="104">
      <c r="A104" s="22" t="inlineStr">
        <is>
          <t>Водоспад</t>
        </is>
      </c>
      <c r="B104" s="22" t="inlineStr">
        <is>
          <t>1001533</t>
        </is>
      </c>
      <c r="C104" s="22" t="inlineStr">
        <is>
          <t>32611</t>
        </is>
      </c>
      <c r="D104" s="22" t="inlineStr">
        <is>
          <t>Ножиці універсальні Фіскарс / Fiskars з петлею для пальців SP45 111450 (1001533) Фінляндія</t>
        </is>
      </c>
      <c r="E104" s="23" t="n">
        <v>899</v>
      </c>
    </row>
    <row r="105">
      <c r="A105" s="22" t="inlineStr">
        <is>
          <t>Клуб Рослин</t>
        </is>
      </c>
      <c r="B105" s="22" t="inlineStr">
        <is>
          <t>1001533</t>
        </is>
      </c>
      <c r="C105" s="22" t="inlineStr">
        <is>
          <t>11921</t>
        </is>
      </c>
      <c r="D105" s="22" t="inlineStr">
        <is>
          <t>Ножиці універсальні Фіскарс / Fiskars з петлею для пальців SP45 111450 (1001533) Фінляндія</t>
        </is>
      </c>
      <c r="E105" s="23" t="n">
        <v>653.4</v>
      </c>
    </row>
    <row r="106">
      <c r="A106" s="22" t="inlineStr">
        <is>
          <t>Клуб Рослин</t>
        </is>
      </c>
      <c r="B106" s="22" t="inlineStr">
        <is>
          <t>1000596</t>
        </is>
      </c>
      <c r="C106" s="22" t="inlineStr">
        <is>
          <t>11023</t>
        </is>
      </c>
      <c r="D106" s="22" t="inlineStr">
        <is>
          <t>Ножиці для живоплоту з силовим приводом Фіскарс / Fiskars PowerGear HS72 114790 (1000596) Фінляндія</t>
        </is>
      </c>
      <c r="E106" s="23" t="n">
        <v>1437.5</v>
      </c>
    </row>
    <row r="107">
      <c r="A107" s="22" t="inlineStr">
        <is>
          <t>Водоспад</t>
        </is>
      </c>
      <c r="B107" s="22" t="inlineStr">
        <is>
          <t>1000680</t>
        </is>
      </c>
      <c r="C107" s="22" t="inlineStr">
        <is>
          <t>32271</t>
        </is>
      </c>
      <c r="D107" s="22" t="inlineStr">
        <is>
          <t>Культиватор ручний 125 мм Fiskars QuikFit 136511 (1000680) Фінляндія</t>
        </is>
      </c>
      <c r="E107" s="23" t="n">
        <v>799</v>
      </c>
    </row>
    <row r="108">
      <c r="A108" s="22" t="inlineStr">
        <is>
          <t>Клуб Рослин</t>
        </is>
      </c>
      <c r="B108" s="22" t="inlineStr">
        <is>
          <t>1000680</t>
        </is>
      </c>
      <c r="C108" s="22" t="inlineStr">
        <is>
          <t>10364</t>
        </is>
      </c>
      <c r="D108" s="22" t="inlineStr">
        <is>
          <t>Культиватор ручний 125 мм Fiskars QuikFit 136511 (1000680) Фінляндія</t>
        </is>
      </c>
      <c r="E108" s="23" t="n">
        <v>480</v>
      </c>
    </row>
    <row r="109">
      <c r="A109" s="22" t="inlineStr">
        <is>
          <t>Водоспад</t>
        </is>
      </c>
      <c r="B109" s="22" t="inlineStr">
        <is>
          <t>1001432</t>
        </is>
      </c>
      <c r="C109" s="22" t="inlineStr">
        <is>
          <t>39772</t>
        </is>
      </c>
      <c r="D109" s="22" t="inlineStr">
        <is>
          <t>Гілкоріз площинний малий Фіскарс Fiskars із загнутими лезами SingleStep (S) L28 112160 (1001432) Фінляндія</t>
        </is>
      </c>
      <c r="E109" s="23" t="n">
        <v>1499</v>
      </c>
    </row>
    <row r="110">
      <c r="A110" s="22" t="inlineStr">
        <is>
          <t>Клуб Рослин</t>
        </is>
      </c>
      <c r="B110" s="22" t="inlineStr">
        <is>
          <t>1001432</t>
        </is>
      </c>
      <c r="C110" s="22" t="inlineStr">
        <is>
          <t>12557</t>
        </is>
      </c>
      <c r="D110" s="22" t="inlineStr">
        <is>
          <t>Гілкоріз площинний малий Фіскарс Fiskars із загнутими лезами SingleStep (S) L28 112160 (1001432) Фінляндія</t>
        </is>
      </c>
      <c r="E110" s="23" t="n">
        <v>1001.9</v>
      </c>
    </row>
    <row r="111">
      <c r="A111" s="22" t="inlineStr">
        <is>
          <t>Водоспад</t>
        </is>
      </c>
      <c r="B111" s="22" t="inlineStr">
        <is>
          <t>1001615</t>
        </is>
      </c>
      <c r="C111" s="22" t="inlineStr">
        <is>
          <t>37221</t>
        </is>
      </c>
      <c r="D111" s="22" t="inlineStr">
        <is>
          <t>Клин для розщеплення гвинтовий Фіскарс / Fiskars SAFE-T 120021 (1001615) Фінляндія</t>
        </is>
      </c>
      <c r="E111" s="23" t="n">
        <v>2799</v>
      </c>
    </row>
    <row r="112">
      <c r="A112" s="22" t="inlineStr">
        <is>
          <t>Клуб Рослин</t>
        </is>
      </c>
      <c r="B112" s="22" t="inlineStr">
        <is>
          <t>1001615</t>
        </is>
      </c>
      <c r="C112" s="22" t="inlineStr">
        <is>
          <t>10004</t>
        </is>
      </c>
      <c r="D112" s="22" t="inlineStr">
        <is>
          <t>Клин для розщеплення гвинтовий Фіскарс / Fiskars SAFE-T 120021 (1001615) Фінляндія</t>
        </is>
      </c>
      <c r="E112" s="23" t="n">
        <v>1844</v>
      </c>
    </row>
    <row r="113">
      <c r="A113" s="22" t="inlineStr">
        <is>
          <t>Водоспад</t>
        </is>
      </c>
      <c r="B113" s="22" t="inlineStr">
        <is>
          <t>1003609</t>
        </is>
      </c>
      <c r="C113" s="22" t="inlineStr">
        <is>
          <t>32848</t>
        </is>
      </c>
      <c r="D113" s="22" t="inlineStr">
        <is>
          <t>Малий сікач для гілок Фіскарс Fiskars WoodXpert 126004 (1003609) Фінляндія</t>
        </is>
      </c>
      <c r="E113" s="23" t="n">
        <v>2299</v>
      </c>
    </row>
    <row r="114">
      <c r="A114" s="22" t="inlineStr">
        <is>
          <t>Клуб Рослин</t>
        </is>
      </c>
      <c r="B114" s="22" t="inlineStr">
        <is>
          <t>1003609</t>
        </is>
      </c>
      <c r="C114" s="22" t="inlineStr">
        <is>
          <t>12098</t>
        </is>
      </c>
      <c r="D114" s="22" t="inlineStr">
        <is>
          <t>Малий сікач для гілок Фіскарс Fiskars WoodXpert 126004 (1003609) Фінляндія</t>
        </is>
      </c>
      <c r="E114" s="23" t="n">
        <v>1350.4</v>
      </c>
    </row>
    <row r="115">
      <c r="A115" s="22" t="inlineStr">
        <is>
          <t>Водоспад</t>
        </is>
      </c>
      <c r="B115" s="22" t="inlineStr">
        <is>
          <t>1000590</t>
        </is>
      </c>
      <c r="C115" s="22" t="inlineStr">
        <is>
          <t>32159</t>
        </is>
      </c>
      <c r="D115" s="22" t="inlineStr">
        <is>
          <t>Ножиці для трави подовжені з серво-системою Фіскарс / Fiskars GS46 113690 (1000590) Фінляндія</t>
        </is>
      </c>
      <c r="E115" s="23" t="n">
        <v>1999</v>
      </c>
    </row>
    <row r="116">
      <c r="A116" s="22" t="inlineStr">
        <is>
          <t>Клуб Рослин</t>
        </is>
      </c>
      <c r="B116" s="22" t="inlineStr">
        <is>
          <t>1000590</t>
        </is>
      </c>
      <c r="C116" s="22" t="inlineStr">
        <is>
          <t>11042</t>
        </is>
      </c>
      <c r="D116" s="22" t="inlineStr">
        <is>
          <t>Ножиці для трави подовжені з серво-системою Фіскарс / Fiskars GS46 113690 (1000590) Фінляндія</t>
        </is>
      </c>
      <c r="E116" s="23" t="n">
        <v>1393.9</v>
      </c>
    </row>
    <row r="117">
      <c r="A117" s="22" t="inlineStr">
        <is>
          <t>Водоспад</t>
        </is>
      </c>
      <c r="B117" s="22" t="inlineStr">
        <is>
          <t>1001614</t>
        </is>
      </c>
      <c r="C117" s="22" t="inlineStr">
        <is>
          <t>37219</t>
        </is>
      </c>
      <c r="D117" s="22" t="inlineStr">
        <is>
          <t>Клин для розколу колод Фіскарс / Fiskars 120010 (1001614) Фінляндія</t>
        </is>
      </c>
      <c r="E117" s="23" t="n">
        <v>899</v>
      </c>
    </row>
    <row r="118">
      <c r="A118" s="22" t="inlineStr">
        <is>
          <t>Клуб Рослин</t>
        </is>
      </c>
      <c r="B118" s="22" t="inlineStr">
        <is>
          <t>1001614</t>
        </is>
      </c>
      <c r="C118" s="22" t="inlineStr">
        <is>
          <t>10006</t>
        </is>
      </c>
      <c r="D118" s="22" t="inlineStr">
        <is>
          <t>Клин для розколу колод Фіскарс / Fiskars 120010 (1001614) Фінляндія</t>
        </is>
      </c>
      <c r="E118" s="23" t="n">
        <v>624.4</v>
      </c>
    </row>
    <row r="119">
      <c r="A119" s="22" t="inlineStr">
        <is>
          <t>Водоспад</t>
        </is>
      </c>
      <c r="B119" s="22" t="inlineStr">
        <is>
          <t>1000696</t>
        </is>
      </c>
      <c r="C119" s="22" t="inlineStr">
        <is>
          <t>32179</t>
        </is>
      </c>
      <c r="D119" s="22" t="inlineStr">
        <is>
          <t>Посадкова вилка Fiskars Solid 137030 (1000696) Фінляндія</t>
        </is>
      </c>
      <c r="E119" s="23" t="n">
        <v>249</v>
      </c>
    </row>
    <row r="120">
      <c r="A120" s="22" t="inlineStr">
        <is>
          <t>Клуб Рослин</t>
        </is>
      </c>
      <c r="B120" s="22" t="inlineStr">
        <is>
          <t>1000696</t>
        </is>
      </c>
      <c r="C120" s="22" t="inlineStr">
        <is>
          <t>8698</t>
        </is>
      </c>
      <c r="D120" s="22" t="inlineStr">
        <is>
          <t>Посадкова вилка Fiskars Solid 137030 (1000696) Фінляндія</t>
        </is>
      </c>
      <c r="E120" s="23" t="n">
        <v>108</v>
      </c>
    </row>
    <row r="121">
      <c r="A121" s="22" t="inlineStr">
        <is>
          <t>Водоспад</t>
        </is>
      </c>
      <c r="B121" s="22" t="inlineStr">
        <is>
          <t>1000661</t>
        </is>
      </c>
      <c r="C121" s="22" t="inlineStr">
        <is>
          <t>32273</t>
        </is>
      </c>
      <c r="D121" s="22" t="inlineStr">
        <is>
          <t>Штанга Фіскарс Fiskars QuikFit (L) 1560 мм 136001 (1000661) Фінляндія</t>
        </is>
      </c>
      <c r="E121" s="23" t="n">
        <v>1049</v>
      </c>
    </row>
    <row r="122">
      <c r="A122" s="22" t="inlineStr">
        <is>
          <t>Клуб Рослин</t>
        </is>
      </c>
      <c r="B122" s="22" t="inlineStr">
        <is>
          <t>1000661</t>
        </is>
      </c>
      <c r="C122" s="22" t="inlineStr">
        <is>
          <t>9044</t>
        </is>
      </c>
      <c r="D122" s="22" t="inlineStr">
        <is>
          <t>Штанга Фіскарс Fiskars QuikFit (L) 1560 мм 136001 (1000661) Фінляндія</t>
        </is>
      </c>
      <c r="E122" s="23" t="n">
        <v>528</v>
      </c>
    </row>
    <row r="123">
      <c r="A123" s="22" t="inlineStr">
        <is>
          <t>Клуб Рослин</t>
        </is>
      </c>
      <c r="B123" s="22" t="inlineStr">
        <is>
          <t>1000557</t>
        </is>
      </c>
      <c r="C123" s="22" t="inlineStr">
        <is>
          <t>11060</t>
        </is>
      </c>
      <c r="D123" s="22" t="inlineStr">
        <is>
          <t>Ножиці для трави Фіскарс / Fiskars S50 111090 (1000557) Фінляндія</t>
        </is>
      </c>
      <c r="E123" s="23" t="n">
        <v>660.7</v>
      </c>
    </row>
    <row r="124">
      <c r="A124" s="22" t="inlineStr">
        <is>
          <t>Водоспад</t>
        </is>
      </c>
      <c r="B124" s="22" t="inlineStr">
        <is>
          <t>1000600</t>
        </is>
      </c>
      <c r="C124" s="22" t="inlineStr">
        <is>
          <t>37220</t>
        </is>
      </c>
      <c r="D124" s="22" t="inlineStr">
        <is>
          <t>Клин для розщеплення Фіскарс Fiskars 120020 (1000600) Фінляндія</t>
        </is>
      </c>
      <c r="E124" s="23" t="n">
        <v>1499</v>
      </c>
    </row>
    <row r="125">
      <c r="A125" s="22" t="inlineStr">
        <is>
          <t>Клуб Рослин</t>
        </is>
      </c>
      <c r="B125" s="22" t="inlineStr">
        <is>
          <t>1000600</t>
        </is>
      </c>
      <c r="C125" s="22" t="inlineStr">
        <is>
          <t>10007</t>
        </is>
      </c>
      <c r="D125" s="22" t="inlineStr">
        <is>
          <t>Клин для розщеплення Фіскарс Fiskars 120020 (1000600) Фінляндія</t>
        </is>
      </c>
      <c r="E125" s="23" t="n">
        <v>1074.5</v>
      </c>
    </row>
    <row r="126">
      <c r="A126" s="22" t="inlineStr">
        <is>
          <t>Водоспад</t>
        </is>
      </c>
      <c r="B126" s="22" t="inlineStr">
        <is>
          <t>1001562</t>
        </is>
      </c>
      <c r="C126" s="22" t="inlineStr">
        <is>
          <t>32616</t>
        </is>
      </c>
      <c r="D126" s="22" t="inlineStr">
        <is>
          <t>Плодознімач-насадка Фіскарс / Fiskars (1001562) Фінляндія</t>
        </is>
      </c>
      <c r="E126" s="23" t="n">
        <v>899</v>
      </c>
    </row>
    <row r="127">
      <c r="A127" s="22" t="inlineStr">
        <is>
          <t>Водоспад</t>
        </is>
      </c>
      <c r="B127" s="22" t="inlineStr">
        <is>
          <t>1000601</t>
        </is>
      </c>
      <c r="C127" s="22" t="inlineStr">
        <is>
          <t>32197</t>
        </is>
      </c>
      <c r="D127" s="22" t="inlineStr">
        <is>
          <t>Точилка для сокир і ножів Фіскарс Fiskars Xsharp 120740 (1000601) Фінляндія</t>
        </is>
      </c>
      <c r="E127" s="23" t="n">
        <v>599</v>
      </c>
    </row>
    <row r="128">
      <c r="A128" s="22" t="inlineStr">
        <is>
          <t>Клуб Рослин</t>
        </is>
      </c>
      <c r="B128" s="22" t="inlineStr">
        <is>
          <t>1000601</t>
        </is>
      </c>
      <c r="C128" s="22" t="inlineStr">
        <is>
          <t>12707</t>
        </is>
      </c>
      <c r="D128" s="22" t="inlineStr">
        <is>
          <t>Точилка для сокир і ножів Фіскарс Fiskars Xsharp 120740 (1000601) Фінляндія</t>
        </is>
      </c>
      <c r="E128" s="23" t="n">
        <v>396</v>
      </c>
    </row>
    <row r="129">
      <c r="A129" s="22" t="inlineStr">
        <is>
          <t>Водоспад</t>
        </is>
      </c>
      <c r="B129" s="22" t="inlineStr">
        <is>
          <t>1000656</t>
        </is>
      </c>
      <c r="C129" s="22" t="inlineStr">
        <is>
          <t>32285</t>
        </is>
      </c>
      <c r="D129" s="22" t="inlineStr">
        <is>
          <t>Граблі Фіскарс Fiskars QuikFit 135514 (1000656) Фінляндія</t>
        </is>
      </c>
      <c r="E129" s="23" t="n">
        <v>1599</v>
      </c>
    </row>
    <row r="130">
      <c r="A130" s="22" t="inlineStr">
        <is>
          <t>Клуб Рослин</t>
        </is>
      </c>
      <c r="B130" s="22" t="inlineStr">
        <is>
          <t>1000656</t>
        </is>
      </c>
      <c r="C130" s="22" t="inlineStr">
        <is>
          <t>8951</t>
        </is>
      </c>
      <c r="D130" s="22" t="inlineStr">
        <is>
          <t>Граблі Фіскарс Fiskars QuikFit 135514 (1000656) Фінляндія</t>
        </is>
      </c>
      <c r="E130" s="23" t="n">
        <v>900.2</v>
      </c>
    </row>
    <row r="131">
      <c r="A131" s="22" t="inlineStr">
        <is>
          <t>Водоспад</t>
        </is>
      </c>
      <c r="B131" s="22" t="inlineStr">
        <is>
          <t>1000583</t>
        </is>
      </c>
      <c r="C131" s="22" t="inlineStr">
        <is>
          <t>32153</t>
        </is>
      </c>
      <c r="D131" s="22" t="inlineStr">
        <is>
          <t>Гілкоріз великий контактний Фіскарс / Fiskars PowerGear (L) L77 112580 (1000583) Фінляндія</t>
        </is>
      </c>
      <c r="E131" s="23" t="n">
        <v>2699</v>
      </c>
    </row>
    <row r="132">
      <c r="A132" s="22" t="inlineStr">
        <is>
          <t>Клуб Рослин</t>
        </is>
      </c>
      <c r="B132" s="22" t="inlineStr">
        <is>
          <t>1000583</t>
        </is>
      </c>
      <c r="C132" s="22" t="inlineStr">
        <is>
          <t>12543</t>
        </is>
      </c>
      <c r="D132" s="22" t="inlineStr">
        <is>
          <t>Гілкоріз великий контактний Фіскарс / Fiskars PowerGear (L) L77 112580 (1000583) Фінляндія</t>
        </is>
      </c>
      <c r="E132" s="23" t="n">
        <v>2003.8</v>
      </c>
    </row>
    <row r="133">
      <c r="A133" s="22" t="inlineStr">
        <is>
          <t>Водоспад</t>
        </is>
      </c>
      <c r="B133" s="22" t="inlineStr">
        <is>
          <t>1000581</t>
        </is>
      </c>
      <c r="C133" s="22" t="inlineStr">
        <is>
          <t>39747</t>
        </is>
      </c>
      <c r="D133" s="22" t="inlineStr">
        <is>
          <t>Гілкоріз малий контактний Фіскарс Fiskars PowerGear (S) L31 112170 (1000581) Фінляндія</t>
        </is>
      </c>
      <c r="E133" s="23" t="n">
        <v>1299</v>
      </c>
    </row>
    <row r="134">
      <c r="A134" s="22" t="inlineStr">
        <is>
          <t>Клуб Рослин</t>
        </is>
      </c>
      <c r="B134" s="22" t="inlineStr">
        <is>
          <t>1000581</t>
        </is>
      </c>
      <c r="C134" s="22" t="inlineStr">
        <is>
          <t>12536</t>
        </is>
      </c>
      <c r="D134" s="22" t="inlineStr">
        <is>
          <t>Гілкоріз малий контактний Фіскарс Fiskars PowerGear (S) L31 112170 (1000581) Фінляндія</t>
        </is>
      </c>
      <c r="E134" s="23" t="n">
        <v>1001.9</v>
      </c>
    </row>
    <row r="135">
      <c r="A135" s="22" t="inlineStr">
        <is>
          <t>Водоспад</t>
        </is>
      </c>
      <c r="B135" s="22" t="inlineStr">
        <is>
          <t>1000589</t>
        </is>
      </c>
      <c r="C135" s="22" t="inlineStr">
        <is>
          <t>32160</t>
        </is>
      </c>
      <c r="D135" s="22" t="inlineStr">
        <is>
          <t>Ножиці для трави з Серво-системою Фіскарс Fiskars GS42 113680 (1000589) Фінляндія</t>
        </is>
      </c>
      <c r="E135" s="23" t="n">
        <v>1399</v>
      </c>
    </row>
    <row r="136">
      <c r="A136" s="22" t="inlineStr">
        <is>
          <t>Клуб Рослин</t>
        </is>
      </c>
      <c r="B136" s="22" t="inlineStr">
        <is>
          <t>1000589</t>
        </is>
      </c>
      <c r="C136" s="22" t="inlineStr">
        <is>
          <t>11041</t>
        </is>
      </c>
      <c r="D136" s="22" t="inlineStr">
        <is>
          <t>Ножиці для трави з Серво-системою Фіскарс Fiskars GS42 113680 (1000589) Фінляндія</t>
        </is>
      </c>
      <c r="E136" s="23" t="n">
        <v>972.8</v>
      </c>
    </row>
    <row r="137">
      <c r="A137" s="22" t="inlineStr">
        <is>
          <t>Водоспад</t>
        </is>
      </c>
      <c r="B137" s="22" t="inlineStr">
        <is>
          <t>1001564</t>
        </is>
      </c>
      <c r="C137" s="22" t="inlineStr">
        <is>
          <t>32161</t>
        </is>
      </c>
      <c r="D137" s="22" t="inlineStr">
        <is>
          <t>Ножиці для живоплоту Фіскарс / Fiskars PowerLever HS52 114750 (1001564) Фінляндія</t>
        </is>
      </c>
      <c r="E137" s="23" t="n">
        <v>1799</v>
      </c>
    </row>
    <row r="138">
      <c r="A138" s="22" t="inlineStr">
        <is>
          <t>Клуб Рослин</t>
        </is>
      </c>
      <c r="B138" s="22" t="inlineStr">
        <is>
          <t>1001564</t>
        </is>
      </c>
      <c r="C138" s="22" t="inlineStr">
        <is>
          <t>11025</t>
        </is>
      </c>
      <c r="D138" s="22" t="inlineStr">
        <is>
          <t>Ножиці для живоплоту Фіскарс / Fiskars PowerLever HS52 114750 (1001564) Фінляндія</t>
        </is>
      </c>
      <c r="E138" s="23" t="n">
        <v>1350.4</v>
      </c>
    </row>
    <row r="139">
      <c r="A139" s="22" t="inlineStr">
        <is>
          <t>Водоспад</t>
        </is>
      </c>
      <c r="B139" s="22" t="inlineStr">
        <is>
          <t>1013565</t>
        </is>
      </c>
      <c r="C139" s="22" t="inlineStr">
        <is>
          <t>39775</t>
        </is>
      </c>
      <c r="D139" s="22" t="inlineStr">
        <is>
          <t>Ножиці для живоплоту телескопічні Фіскарс / Fiskars SmartFit HS86 114800 (1013565) Фінляндія</t>
        </is>
      </c>
      <c r="E139" s="23" t="n">
        <v>2799</v>
      </c>
    </row>
    <row r="140">
      <c r="A140" s="22" t="inlineStr">
        <is>
          <t>Клуб Рослин</t>
        </is>
      </c>
      <c r="B140" s="22" t="inlineStr">
        <is>
          <t>1013565</t>
        </is>
      </c>
      <c r="C140" s="22" t="inlineStr">
        <is>
          <t>11028</t>
        </is>
      </c>
      <c r="D140" s="22" t="inlineStr">
        <is>
          <t>Ножиці для живоплоту телескопічні Фіскарс / Fiskars SmartFit HS86 114800 (1013565) Фінляндія</t>
        </is>
      </c>
      <c r="E140" s="23" t="n">
        <v>2003.8</v>
      </c>
    </row>
    <row r="141">
      <c r="A141" s="22" t="inlineStr">
        <is>
          <t>Водоспад</t>
        </is>
      </c>
      <c r="B141" s="22" t="inlineStr">
        <is>
          <t>1000640</t>
        </is>
      </c>
      <c r="C141" s="22" t="inlineStr">
        <is>
          <t>37408</t>
        </is>
      </c>
      <c r="D141" s="22" t="inlineStr">
        <is>
          <t>Бур садовий Фіскарс Fiskars QuikDrill L великий 134730 (1000640) Фінляндія</t>
        </is>
      </c>
      <c r="E141" s="23" t="n">
        <v>2699</v>
      </c>
    </row>
    <row r="142">
      <c r="A142" s="22" t="inlineStr">
        <is>
          <t>Клуб Рослин</t>
        </is>
      </c>
      <c r="B142" s="22" t="inlineStr">
        <is>
          <t>1000640</t>
        </is>
      </c>
      <c r="C142" s="22" t="inlineStr">
        <is>
          <t>11728</t>
        </is>
      </c>
      <c r="D142" s="22" t="inlineStr">
        <is>
          <t>Бур садовий Фіскарс Fiskars QuikDrill L великий 134730 (1000640) Фінляндія</t>
        </is>
      </c>
      <c r="E142" s="23" t="n">
        <v>1960.2</v>
      </c>
    </row>
    <row r="143">
      <c r="A143" s="22" t="inlineStr">
        <is>
          <t>Водоспад</t>
        </is>
      </c>
      <c r="B143" s="22" t="inlineStr">
        <is>
          <t>1000654</t>
        </is>
      </c>
      <c r="C143" s="22" t="inlineStr">
        <is>
          <t>32281</t>
        </is>
      </c>
      <c r="D143" s="22" t="inlineStr">
        <is>
          <t>Граблі для грунту 16 зубів Fiskars QuikFit 135512 (1000654) Фінляндія</t>
        </is>
      </c>
      <c r="E143" s="23" t="n">
        <v>899</v>
      </c>
    </row>
    <row r="144">
      <c r="A144" s="22" t="inlineStr">
        <is>
          <t>Клуб Рослин</t>
        </is>
      </c>
      <c r="B144" s="22" t="inlineStr">
        <is>
          <t>1000654</t>
        </is>
      </c>
      <c r="C144" s="22" t="inlineStr">
        <is>
          <t>8923</t>
        </is>
      </c>
      <c r="D144" s="22" t="inlineStr">
        <is>
          <t>Граблі для грунту 16 зубів Fiskars QuikFit 135512 (1000654) Фінляндія</t>
        </is>
      </c>
      <c r="E144" s="23" t="n">
        <v>609.79</v>
      </c>
    </row>
    <row r="145">
      <c r="A145" s="22" t="inlineStr">
        <is>
          <t>Водоспад</t>
        </is>
      </c>
      <c r="B145" s="22" t="inlineStr">
        <is>
          <t>1001426</t>
        </is>
      </c>
      <c r="C145" s="22" t="inlineStr">
        <is>
          <t>32515</t>
        </is>
      </c>
      <c r="D145" s="22" t="inlineStr">
        <is>
          <t>Гілкоріз площинний великий Фіскарс Fiskars SingleStep L38 112460 (1001426) Фінляндія</t>
        </is>
      </c>
      <c r="E145" s="23" t="n">
        <v>1449</v>
      </c>
    </row>
    <row r="146">
      <c r="A146" s="22" t="inlineStr">
        <is>
          <t>Клуб Рослин</t>
        </is>
      </c>
      <c r="B146" s="22" t="inlineStr">
        <is>
          <t>1001426</t>
        </is>
      </c>
      <c r="C146" s="22" t="inlineStr">
        <is>
          <t>12559</t>
        </is>
      </c>
      <c r="D146" s="22" t="inlineStr">
        <is>
          <t>Гілкоріз площинний великий Фіскарс Fiskars SingleStep L38 112460 (1001426) Фінляндія</t>
        </is>
      </c>
      <c r="E146" s="23" t="n">
        <v>1118</v>
      </c>
    </row>
    <row r="147">
      <c r="A147" s="22" t="inlineStr">
        <is>
          <t>Водоспад</t>
        </is>
      </c>
      <c r="B147" s="22" t="inlineStr">
        <is>
          <t>1000638</t>
        </is>
      </c>
      <c r="C147" s="22" t="inlineStr">
        <is>
          <t>32260</t>
        </is>
      </c>
      <c r="D147" s="22" t="inlineStr">
        <is>
          <t>Бур садовий Фіскарс Fiskars QuikDrill M середній 134720 (1000638) Фінляндія</t>
        </is>
      </c>
      <c r="E147" s="23" t="n">
        <v>2499</v>
      </c>
    </row>
    <row r="148">
      <c r="A148" s="22" t="inlineStr">
        <is>
          <t>Клуб Рослин</t>
        </is>
      </c>
      <c r="B148" s="22" t="inlineStr">
        <is>
          <t>1000638</t>
        </is>
      </c>
      <c r="C148" s="22" t="inlineStr">
        <is>
          <t>11727</t>
        </is>
      </c>
      <c r="D148" s="22" t="inlineStr">
        <is>
          <t>Бур садовий Фіскарс Fiskars QuikDrill M середній 134720 (1000638) Фінляндія</t>
        </is>
      </c>
      <c r="E148" s="23" t="n">
        <v>1858.6</v>
      </c>
    </row>
    <row r="149">
      <c r="A149" s="22" t="inlineStr">
        <is>
          <t>Водоспад</t>
        </is>
      </c>
      <c r="B149" s="22" t="inlineStr">
        <is>
          <t>1000727</t>
        </is>
      </c>
      <c r="C149" s="22" t="inlineStr">
        <is>
          <t>33604</t>
        </is>
      </c>
      <c r="D149" s="22" t="inlineStr">
        <is>
          <t>Совок для розсади Фіскарс / Fiskars Premium 137210 (1000727) Фінляндія</t>
        </is>
      </c>
      <c r="E149" s="23" t="n">
        <v>549</v>
      </c>
    </row>
    <row r="150">
      <c r="A150" s="22" t="inlineStr">
        <is>
          <t>Клуб Рослин</t>
        </is>
      </c>
      <c r="B150" s="22" t="inlineStr">
        <is>
          <t>1000727</t>
        </is>
      </c>
      <c r="C150" s="22" t="inlineStr">
        <is>
          <t>12300</t>
        </is>
      </c>
      <c r="D150" s="22" t="inlineStr">
        <is>
          <t>Совок для розсади Фіскарс / Fiskars Premium 137210 (1000727) Фінляндія</t>
        </is>
      </c>
      <c r="E150" s="23" t="n">
        <v>342</v>
      </c>
    </row>
    <row r="151">
      <c r="A151" s="22" t="inlineStr">
        <is>
          <t>Клуб Рослин</t>
        </is>
      </c>
      <c r="B151" s="22" t="inlineStr">
        <is>
          <t>1001556</t>
        </is>
      </c>
      <c r="C151" s="22" t="inlineStr">
        <is>
          <t>12537</t>
        </is>
      </c>
      <c r="D151" s="22" t="inlineStr">
        <is>
          <t>Гілкоріз малий контактний Фіскарс Fiskars PowerGear (S) L71 112180 (1001556) Фінляндія</t>
        </is>
      </c>
      <c r="E151" s="23" t="n">
        <v>1118</v>
      </c>
    </row>
    <row r="152">
      <c r="A152" s="22" t="inlineStr">
        <is>
          <t>Клуб Рослин</t>
        </is>
      </c>
      <c r="B152" s="22" t="inlineStr">
        <is>
          <t>111670</t>
        </is>
      </c>
      <c r="C152" s="22" t="inlineStr">
        <is>
          <t>11931</t>
        </is>
      </c>
      <c r="D152" s="22" t="inlineStr">
        <is>
          <t>Секатор із храповим механізмом Фіскарс / Fiskars PowerStep P83 (111670) Фінляндія</t>
        </is>
      </c>
      <c r="E152" s="23" t="n">
        <v>1030.9</v>
      </c>
    </row>
    <row r="153">
      <c r="A153" s="22" t="inlineStr">
        <is>
          <t>Водоспад</t>
        </is>
      </c>
      <c r="B153" s="22" t="inlineStr">
        <is>
          <t>136001</t>
        </is>
      </c>
      <c r="C153" s="22" t="inlineStr">
        <is>
          <t>32273</t>
        </is>
      </c>
      <c r="D153" s="22" t="inlineStr">
        <is>
          <t>Штанга Фіскарс Fiskars QuikFit (L) 1560 мм 1000661 (136001) Фінляндія</t>
        </is>
      </c>
      <c r="E153" s="23" t="n">
        <v>1049</v>
      </c>
    </row>
    <row r="154">
      <c r="A154" s="22" t="inlineStr">
        <is>
          <t>Клуб Рослин</t>
        </is>
      </c>
      <c r="B154" s="22" t="inlineStr">
        <is>
          <t>136001</t>
        </is>
      </c>
      <c r="C154" s="22" t="inlineStr">
        <is>
          <t>9044</t>
        </is>
      </c>
      <c r="D154" s="22" t="inlineStr">
        <is>
          <t>Штанга Фіскарс Fiskars QuikFit (L) 1560 мм 1000661 (136001) Фінляндія</t>
        </is>
      </c>
      <c r="E154" s="23" t="n">
        <v>528</v>
      </c>
    </row>
    <row r="155">
      <c r="A155" s="22" t="inlineStr">
        <is>
          <t>Водоспад</t>
        </is>
      </c>
      <c r="B155" s="22" t="inlineStr">
        <is>
          <t>1026293</t>
        </is>
      </c>
      <c r="C155" s="22" t="inlineStr">
        <is>
          <t>32687</t>
        </is>
      </c>
      <c r="D155" s="22" t="inlineStr">
        <is>
          <t>Лезо та роз'єм ланки ланцюга універсальні для висоторізів Fiskars (1026293) Фінляндія</t>
        </is>
      </c>
      <c r="E155" s="23" t="n">
        <v>899</v>
      </c>
    </row>
    <row r="156">
      <c r="A156" s="22" t="inlineStr">
        <is>
          <t>Водоспад</t>
        </is>
      </c>
      <c r="B156" s="22" t="inlineStr">
        <is>
          <t>1027525</t>
        </is>
      </c>
      <c r="C156" s="22" t="inlineStr">
        <is>
          <t>39829</t>
        </is>
      </c>
      <c r="D156" s="22" t="inlineStr">
        <is>
          <t>Ремкомплект мотузок для висоторізів Fiskars UP82 UPX82 (115360) 1027525</t>
        </is>
      </c>
      <c r="E156" s="23" t="n">
        <v>899</v>
      </c>
    </row>
    <row r="157">
      <c r="A157" s="22" t="inlineStr">
        <is>
          <t>Клуб Рослин</t>
        </is>
      </c>
      <c r="B157" s="22" t="inlineStr">
        <is>
          <t>1027525</t>
        </is>
      </c>
      <c r="C157" s="22" t="inlineStr">
        <is>
          <t>12534</t>
        </is>
      </c>
      <c r="D157" s="22" t="inlineStr">
        <is>
          <t>Ремкомплект мотузок для висоторізів Fiskars UP82 UPX82 (115360) 1027525</t>
        </is>
      </c>
      <c r="E157" s="23" t="n">
        <v>2221.6</v>
      </c>
    </row>
    <row r="158">
      <c r="A158" s="22" t="inlineStr">
        <is>
          <t>Водоспад</t>
        </is>
      </c>
      <c r="B158" s="22" t="inlineStr">
        <is>
          <t>1027526</t>
        </is>
      </c>
      <c r="C158" s="22" t="inlineStr">
        <is>
          <t>32686</t>
        </is>
      </c>
      <c r="D158" s="22" t="inlineStr">
        <is>
          <t>Ремкомплект мотузок для висоторізів Fiskars UPX82 UP84 UPX86 (115560) 1027526</t>
        </is>
      </c>
      <c r="E158" s="23" t="n">
        <v>899</v>
      </c>
    </row>
    <row r="159">
      <c r="A159" s="22" t="inlineStr">
        <is>
          <t>Клуб Рослин</t>
        </is>
      </c>
      <c r="B159" s="22" t="inlineStr">
        <is>
          <t>1027526</t>
        </is>
      </c>
      <c r="C159" s="22" t="inlineStr">
        <is>
          <t>12603</t>
        </is>
      </c>
      <c r="D159" s="22" t="inlineStr">
        <is>
          <t>Ремкомплект мотузок для висоторізів Fiskars UPX82 UP84 UPX86 (115560) 1027526</t>
        </is>
      </c>
      <c r="E159" s="23" t="n">
        <v>2736</v>
      </c>
    </row>
    <row r="160">
      <c r="A160" s="22" t="inlineStr">
        <is>
          <t>Водоспад</t>
        </is>
      </c>
      <c r="B160" s="22" t="inlineStr">
        <is>
          <t>1026297</t>
        </is>
      </c>
      <c r="C160" s="22" t="inlineStr">
        <is>
          <t>37434</t>
        </is>
      </c>
      <c r="D160" s="22" t="inlineStr">
        <is>
          <t>Ремкомплект ручок та мотузок для універсального сучкоріза Фіскарс Fiskars UPX82 (1026297)</t>
        </is>
      </c>
      <c r="E160" s="23" t="n">
        <v>899</v>
      </c>
    </row>
    <row r="161">
      <c r="A161" s="22" t="inlineStr">
        <is>
          <t>Водоспад</t>
        </is>
      </c>
      <c r="B161" s="22" t="inlineStr">
        <is>
          <t>CUC-0.8-600</t>
        </is>
      </c>
      <c r="C161" s="22" t="inlineStr">
        <is>
          <t>37107</t>
        </is>
      </c>
      <c r="D161" s="22" t="inlineStr">
        <is>
          <t>Колун Bahco CUC-0.8-600 Бахо</t>
        </is>
      </c>
      <c r="E161" s="23" t="n">
        <v>1055</v>
      </c>
    </row>
    <row r="162">
      <c r="A162" s="22" t="inlineStr">
        <is>
          <t>Клуб Рослин</t>
        </is>
      </c>
      <c r="B162" s="22" t="inlineStr">
        <is>
          <t>CUC-0.8-600</t>
        </is>
      </c>
      <c r="C162" s="22" t="inlineStr">
        <is>
          <t>12346</t>
        </is>
      </c>
      <c r="D162" s="22" t="inlineStr">
        <is>
          <t>Колун Bahco CUC-0.8-600 Бахо</t>
        </is>
      </c>
      <c r="E162" s="23" t="n">
        <v>1520</v>
      </c>
    </row>
    <row r="163">
      <c r="A163" s="22" t="inlineStr">
        <is>
          <t>Водоспад</t>
        </is>
      </c>
      <c r="B163" s="22" t="inlineStr">
        <is>
          <t>1026930</t>
        </is>
      </c>
      <c r="C163" s="22" t="inlineStr">
        <is>
          <t>39748</t>
        </is>
      </c>
      <c r="D163" s="22" t="inlineStr">
        <is>
          <t>Гілкоріз малий контактний Фіскарс Fiskars PowerGear (S) L32 (1026930) Фінляндія</t>
        </is>
      </c>
      <c r="E163" s="23" t="n">
        <v>1399</v>
      </c>
    </row>
    <row r="164">
      <c r="A164" s="22" t="inlineStr">
        <is>
          <t>Водоспад</t>
        </is>
      </c>
      <c r="B164" s="22" t="inlineStr">
        <is>
          <t>1000675</t>
        </is>
      </c>
      <c r="C164" s="22" t="inlineStr">
        <is>
          <t>37406</t>
        </is>
      </c>
      <c r="D164" s="22" t="inlineStr">
        <is>
          <t>Сапка для прополки Фискарс Fiskars Ergonomic полегшена 136500 (1000675) Фінляндія</t>
        </is>
      </c>
      <c r="E164" s="23" t="n">
        <v>1199</v>
      </c>
    </row>
    <row r="165">
      <c r="A165" s="22" t="inlineStr">
        <is>
          <t>Клуб Рослин</t>
        </is>
      </c>
      <c r="B165" s="22" t="inlineStr">
        <is>
          <t>1000675</t>
        </is>
      </c>
      <c r="C165" s="22" t="inlineStr">
        <is>
          <t>11775</t>
        </is>
      </c>
      <c r="D165" s="22" t="inlineStr">
        <is>
          <t>Сапка для прополки Фискарс Fiskars Ergonomic полегшена 136500 (1000675) Фінляндія</t>
        </is>
      </c>
      <c r="E165" s="23" t="n">
        <v>726</v>
      </c>
    </row>
    <row r="166">
      <c r="A166" s="22" t="inlineStr">
        <is>
          <t>Водоспад</t>
        </is>
      </c>
      <c r="B166" s="22" t="inlineStr">
        <is>
          <t>1000636</t>
        </is>
      </c>
      <c r="C166" s="22" t="inlineStr">
        <is>
          <t>37407</t>
        </is>
      </c>
      <c r="D166" s="22" t="inlineStr">
        <is>
          <t>Бур садовий Фіскарс Fiskars QuikDrill S малий 134710 (1000636) Фінляндія</t>
        </is>
      </c>
      <c r="E166" s="23" t="n">
        <v>2299</v>
      </c>
    </row>
    <row r="167">
      <c r="A167" s="22" t="inlineStr">
        <is>
          <t>Клуб Рослин</t>
        </is>
      </c>
      <c r="B167" s="22" t="inlineStr">
        <is>
          <t>1000636</t>
        </is>
      </c>
      <c r="C167" s="22" t="inlineStr">
        <is>
          <t>11726</t>
        </is>
      </c>
      <c r="D167" s="22" t="inlineStr">
        <is>
          <t>Бур садовий Фіскарс Fiskars QuikDrill S малий 134710 (1000636) Фінляндія</t>
        </is>
      </c>
      <c r="E167" s="23" t="n">
        <v>1786</v>
      </c>
    </row>
    <row r="168">
      <c r="A168" s="22" t="inlineStr">
        <is>
          <t>Клуб Рослин</t>
        </is>
      </c>
      <c r="B168" s="22" t="inlineStr">
        <is>
          <t>P11</t>
        </is>
      </c>
      <c r="C168" s="22" t="inlineStr">
        <is>
          <t>10983</t>
        </is>
      </c>
      <c r="D168" s="22" t="inlineStr">
        <is>
          <t>Ніж для щеплення P11 Bahco</t>
        </is>
      </c>
      <c r="E168" s="23" t="n">
        <v>825</v>
      </c>
    </row>
    <row r="169">
      <c r="A169" s="22" t="inlineStr">
        <is>
          <t>Водоспад</t>
        </is>
      </c>
      <c r="B169" s="22" t="inlineStr">
        <is>
          <t>1026296</t>
        </is>
      </c>
      <c r="C169" s="22" t="inlineStr">
        <is>
          <t>36456</t>
        </is>
      </c>
      <c r="D169" s="22" t="inlineStr">
        <is>
          <t>Ремкомплект ручок та мотузок для універсального сучкоріза Фіскарс Fiskars UPX86 (1026296)</t>
        </is>
      </c>
      <c r="E169" s="23" t="n">
        <v>949</v>
      </c>
    </row>
    <row r="170">
      <c r="A170" s="22" t="inlineStr">
        <is>
          <t>Водоспад</t>
        </is>
      </c>
      <c r="B170" s="22" t="inlineStr">
        <is>
          <t>1027017</t>
        </is>
      </c>
      <c r="C170" s="22" t="inlineStr">
        <is>
          <t>39687</t>
        </is>
      </c>
      <c r="D170" s="22" t="inlineStr">
        <is>
          <t>Садовий совок Фіскарс / Fiskars Ergo (1027017) Фінляндія</t>
        </is>
      </c>
      <c r="E170" s="23" t="n">
        <v>377</v>
      </c>
    </row>
    <row r="171">
      <c r="A171" s="22" t="inlineStr">
        <is>
          <t>Водоспад</t>
        </is>
      </c>
      <c r="B171" s="22" t="inlineStr">
        <is>
          <t>1027018</t>
        </is>
      </c>
      <c r="C171" s="22" t="inlineStr">
        <is>
          <t>39688</t>
        </is>
      </c>
      <c r="D171" s="22" t="inlineStr">
        <is>
          <t>Садовий совок Фіскарс / Fiskars Ergo (1027018) Фінляндія</t>
        </is>
      </c>
      <c r="E171" s="23" t="n">
        <v>377</v>
      </c>
    </row>
    <row r="172">
      <c r="A172" s="22" t="inlineStr">
        <is>
          <t>Водоспад</t>
        </is>
      </c>
      <c r="B172" s="22" t="inlineStr">
        <is>
          <t>1000641</t>
        </is>
      </c>
      <c r="C172" s="22" t="inlineStr">
        <is>
          <t>32262</t>
        </is>
      </c>
      <c r="D172" s="22" t="inlineStr">
        <is>
          <t>Леза для бура Fiskars QuikDrill PlusPart Part L великі 200 мм 134737 (1000641) Фінляндія</t>
        </is>
      </c>
      <c r="E172" s="23" t="n">
        <v>799</v>
      </c>
    </row>
    <row r="173">
      <c r="A173" s="22" t="inlineStr">
        <is>
          <t>Клуб Рослин</t>
        </is>
      </c>
      <c r="B173" s="22" t="inlineStr">
        <is>
          <t>1000641</t>
        </is>
      </c>
      <c r="C173" s="22" t="inlineStr">
        <is>
          <t>10403</t>
        </is>
      </c>
      <c r="D173" s="22" t="inlineStr">
        <is>
          <t>Леза для бура Fiskars QuikDrill PlusPart Part L великі 200 мм 134737 (1000641) Фінляндія</t>
        </is>
      </c>
      <c r="E173" s="23" t="n">
        <v>711.5</v>
      </c>
    </row>
    <row r="174">
      <c r="A174" s="22" t="inlineStr">
        <is>
          <t>Водоспад</t>
        </is>
      </c>
      <c r="B174" s="22" t="inlineStr">
        <is>
          <t>1026295</t>
        </is>
      </c>
      <c r="C174" s="22" t="inlineStr">
        <is>
          <t>36466</t>
        </is>
      </c>
      <c r="D174" s="22" t="inlineStr">
        <is>
          <t>Ріжуча головка для висоторізів Fiskars UPX82 / UPX86 (1026295) Фінляндія</t>
        </is>
      </c>
      <c r="E174" s="23" t="n">
        <v>1599</v>
      </c>
    </row>
    <row r="175">
      <c r="A175" s="22" t="inlineStr">
        <is>
          <t>Водоспад</t>
        </is>
      </c>
      <c r="B175" s="22" t="inlineStr">
        <is>
          <t>PG-M2-F</t>
        </is>
      </c>
      <c r="C175" s="22" t="inlineStr">
        <is>
          <t>31919</t>
        </is>
      </c>
      <c r="D175" s="22" t="inlineStr">
        <is>
          <t>Секатор Bahco (M) PG-M2-F для обрізки саду, винограду, троянд</t>
        </is>
      </c>
      <c r="E175" s="23" t="n">
        <v>1035</v>
      </c>
    </row>
    <row r="176">
      <c r="A176" s="22" t="inlineStr">
        <is>
          <t>Водоспад</t>
        </is>
      </c>
      <c r="B176" s="22" t="inlineStr">
        <is>
          <t>1000584</t>
        </is>
      </c>
      <c r="C176" s="22" t="inlineStr">
        <is>
          <t>32154</t>
        </is>
      </c>
      <c r="D176" s="22" t="inlineStr">
        <is>
          <t>Гілкоріз великий площинний Фіскарс / Fiskars PowerGear (L) L78 112590 (1000584) Фінляндія</t>
        </is>
      </c>
      <c r="E176" s="23" t="n">
        <v>2799</v>
      </c>
    </row>
    <row r="177">
      <c r="A177" s="22" t="inlineStr">
        <is>
          <t>Клуб Рослин</t>
        </is>
      </c>
      <c r="B177" s="22" t="inlineStr">
        <is>
          <t>1000584</t>
        </is>
      </c>
      <c r="C177" s="22" t="inlineStr">
        <is>
          <t>12544</t>
        </is>
      </c>
      <c r="D177" s="22" t="inlineStr">
        <is>
          <t>Гілкоріз великий площинний Фіскарс / Fiskars PowerGear (L) L78 112590 (1000584) Фінляндія</t>
        </is>
      </c>
      <c r="E177" s="23" t="n">
        <v>1656</v>
      </c>
    </row>
    <row r="178">
      <c r="A178" s="22" t="inlineStr">
        <is>
          <t>Водоспад</t>
        </is>
      </c>
      <c r="B178" s="22" t="inlineStr">
        <is>
          <t>1000637</t>
        </is>
      </c>
      <c r="C178" s="22" t="inlineStr">
        <is>
          <t>32261</t>
        </is>
      </c>
      <c r="D178" s="22" t="inlineStr">
        <is>
          <t>Леза для бура Fiskars QuikDrill PlusPart S малі 100 мм 134717 (1000637) Фінляндія</t>
        </is>
      </c>
      <c r="E178" s="23" t="n">
        <v>599</v>
      </c>
    </row>
    <row r="179">
      <c r="A179" s="22" t="inlineStr">
        <is>
          <t>Клуб Рослин</t>
        </is>
      </c>
      <c r="B179" s="22" t="inlineStr">
        <is>
          <t>1000637</t>
        </is>
      </c>
      <c r="C179" s="22" t="inlineStr">
        <is>
          <t>10401</t>
        </is>
      </c>
      <c r="D179" s="22" t="inlineStr">
        <is>
          <t>Леза для бура Fiskars QuikDrill PlusPart S малі 100 мм 134717 (1000637) Фінляндія</t>
        </is>
      </c>
      <c r="E179" s="23" t="n">
        <v>551.79</v>
      </c>
    </row>
    <row r="180">
      <c r="A180" s="22" t="inlineStr">
        <is>
          <t>Водоспад</t>
        </is>
      </c>
      <c r="B180" s="22" t="inlineStr">
        <is>
          <t>1000582</t>
        </is>
      </c>
      <c r="C180" s="22" t="inlineStr">
        <is>
          <t>32150</t>
        </is>
      </c>
      <c r="D180" s="22" t="inlineStr">
        <is>
          <t>Гілкоріз площинний Фіскарс Fiskars PowerGear (M) L74 112290 (1000582) Фінляндія</t>
        </is>
      </c>
      <c r="E180" s="23" t="n">
        <v>2399</v>
      </c>
    </row>
    <row r="181">
      <c r="A181" s="22" t="inlineStr">
        <is>
          <t>Клуб Рослин</t>
        </is>
      </c>
      <c r="B181" s="22" t="inlineStr">
        <is>
          <t>1000582</t>
        </is>
      </c>
      <c r="C181" s="22" t="inlineStr">
        <is>
          <t>12541</t>
        </is>
      </c>
      <c r="D181" s="22" t="inlineStr">
        <is>
          <t>Гілкоріз площинний Фіскарс Fiskars PowerGear (M) L74 112290 (1000582) Фінляндія</t>
        </is>
      </c>
      <c r="E181" s="23" t="n">
        <v>1495.6</v>
      </c>
    </row>
    <row r="182">
      <c r="A182" s="22" t="inlineStr">
        <is>
          <t>Водоспад</t>
        </is>
      </c>
      <c r="B182" s="22" t="inlineStr">
        <is>
          <t>SUC-1.7-800</t>
        </is>
      </c>
      <c r="C182" s="22" t="inlineStr">
        <is>
          <t>37111</t>
        </is>
      </c>
      <c r="D182" s="22" t="inlineStr">
        <is>
          <t>Колун Bahco SUC-1.7-800 Бахо</t>
        </is>
      </c>
      <c r="E182" s="23" t="n">
        <v>1650</v>
      </c>
    </row>
    <row r="183">
      <c r="A183" s="22" t="inlineStr">
        <is>
          <t>Клуб Рослин</t>
        </is>
      </c>
      <c r="B183" s="22" t="inlineStr">
        <is>
          <t>SUC-1.7-800</t>
        </is>
      </c>
      <c r="C183" s="22" t="inlineStr">
        <is>
          <t>12352</t>
        </is>
      </c>
      <c r="D183" s="22" t="inlineStr">
        <is>
          <t>Колун Bahco SUC-1.7-800 Бахо</t>
        </is>
      </c>
      <c r="E183" s="23" t="n">
        <v>2620</v>
      </c>
    </row>
    <row r="184">
      <c r="A184" s="22" t="inlineStr">
        <is>
          <t>Водоспад</t>
        </is>
      </c>
      <c r="B184" s="22" t="inlineStr">
        <is>
          <t>396-LAP</t>
        </is>
      </c>
      <c r="C184" s="22" t="inlineStr">
        <is>
          <t>31936</t>
        </is>
      </c>
      <c r="D184" s="22" t="inlineStr">
        <is>
          <t>Ножівка складна Bahco 396-LAP</t>
        </is>
      </c>
      <c r="E184" s="23" t="n">
        <v>925</v>
      </c>
    </row>
    <row r="185">
      <c r="A185" s="22" t="inlineStr">
        <is>
          <t>Клуб Рослин</t>
        </is>
      </c>
      <c r="B185" s="22" t="inlineStr">
        <is>
          <t>396-LAP</t>
        </is>
      </c>
      <c r="C185" s="22" t="inlineStr">
        <is>
          <t>11452</t>
        </is>
      </c>
      <c r="D185" s="22" t="inlineStr">
        <is>
          <t>Ножівка складна Bahco 396-LAP</t>
        </is>
      </c>
      <c r="E185" s="23" t="n">
        <v>775</v>
      </c>
    </row>
    <row r="186">
      <c r="A186" s="22" t="inlineStr">
        <is>
          <t>Водоспад</t>
        </is>
      </c>
      <c r="B186" s="22" t="inlineStr">
        <is>
          <t>1020166</t>
        </is>
      </c>
      <c r="C186" s="22" t="inlineStr">
        <is>
          <t>37202</t>
        </is>
      </c>
      <c r="D186" s="22" t="inlineStr">
        <is>
          <t>Кирка Фіскарс / Fiskars Isocore L (1020166) Фінляндія</t>
        </is>
      </c>
      <c r="E186" s="23" t="n">
        <v>4499</v>
      </c>
    </row>
    <row r="187">
      <c r="A187" s="22" t="inlineStr">
        <is>
          <t>Водоспад</t>
        </is>
      </c>
      <c r="B187" s="22" t="inlineStr">
        <is>
          <t>1023632</t>
        </is>
      </c>
      <c r="C187" s="22" t="inlineStr">
        <is>
          <t>39712</t>
        </is>
      </c>
      <c r="D187" s="22" t="inlineStr">
        <is>
          <t>Ножиці для трави Фіскарс / Fiskars SmartFit GS40 (1023632) Фінляндія</t>
        </is>
      </c>
      <c r="E187" s="23" t="n">
        <v>1099</v>
      </c>
    </row>
    <row r="188">
      <c r="A188" s="22" t="inlineStr">
        <is>
          <t>Водоспад</t>
        </is>
      </c>
      <c r="B188" s="22" t="inlineStr">
        <is>
          <t>1003477</t>
        </is>
      </c>
      <c r="C188" s="22" t="inlineStr">
        <is>
          <t>37214</t>
        </is>
      </c>
      <c r="D188" s="22" t="inlineStr">
        <is>
          <t>Рукавички робочі садові (10/XL) Фіскарс / Fiskars 160004 (1003477) Фінляндія</t>
        </is>
      </c>
      <c r="E188" s="23" t="n">
        <v>799</v>
      </c>
    </row>
    <row r="189">
      <c r="A189" s="22" t="inlineStr">
        <is>
          <t>Водоспад</t>
        </is>
      </c>
      <c r="B189" s="22" t="inlineStr">
        <is>
          <t>1003478</t>
        </is>
      </c>
      <c r="C189" s="22" t="inlineStr">
        <is>
          <t>37213</t>
        </is>
      </c>
      <c r="D189" s="22" t="inlineStr">
        <is>
          <t>Рукавички робочі садові (8/М) Фіскарс / Fiskars 160005 (1003478) Фінляндія</t>
        </is>
      </c>
      <c r="E189" s="23" t="n">
        <v>799</v>
      </c>
    </row>
    <row r="190">
      <c r="A190" s="22" t="inlineStr">
        <is>
          <t>Водоспад</t>
        </is>
      </c>
      <c r="B190" s="22" t="inlineStr">
        <is>
          <t>SUC-1.0-710</t>
        </is>
      </c>
      <c r="C190" s="22" t="inlineStr">
        <is>
          <t>37110</t>
        </is>
      </c>
      <c r="D190" s="22" t="inlineStr">
        <is>
          <t>Колун Bahco SUC-1.0-710 Бахо</t>
        </is>
      </c>
      <c r="E190" s="23" t="n">
        <v>1450</v>
      </c>
    </row>
    <row r="191">
      <c r="A191" s="22" t="inlineStr">
        <is>
          <t>Клуб Рослин</t>
        </is>
      </c>
      <c r="B191" s="22" t="inlineStr">
        <is>
          <t>SUC-1.0-710</t>
        </is>
      </c>
      <c r="C191" s="22" t="inlineStr">
        <is>
          <t>12351</t>
        </is>
      </c>
      <c r="D191" s="22" t="inlineStr">
        <is>
          <t>Колун Bahco SUC-1.0-710 Бахо</t>
        </is>
      </c>
      <c r="E191" s="23" t="n">
        <v>2200</v>
      </c>
    </row>
    <row r="192">
      <c r="A192" s="22" t="inlineStr">
        <is>
          <t>Водоспад</t>
        </is>
      </c>
      <c r="B192" s="22" t="inlineStr">
        <is>
          <t>1051602</t>
        </is>
      </c>
      <c r="C192" s="22" t="inlineStr">
        <is>
          <t>39738</t>
        </is>
      </c>
      <c r="D192" s="22" t="inlineStr">
        <is>
          <t>Ножиці для квітів Фіскарс / Fiskars Solid Pruning shears SP15 (1051602) Фінляндія</t>
        </is>
      </c>
      <c r="E192" s="23" t="n">
        <v>499</v>
      </c>
    </row>
    <row r="193">
      <c r="A193" s="22" t="inlineStr">
        <is>
          <t>Водоспад</t>
        </is>
      </c>
      <c r="B193" s="22" t="inlineStr">
        <is>
          <t>1000614</t>
        </is>
      </c>
      <c r="C193" s="22" t="inlineStr">
        <is>
          <t>32191</t>
        </is>
      </c>
      <c r="D193" s="22" t="inlineStr">
        <is>
          <t>Пила садова Фіскарс Fiskars Xtract (L) SW75 123880 (1000614) Фінляндія</t>
        </is>
      </c>
      <c r="E193" s="23" t="n">
        <v>1999</v>
      </c>
    </row>
    <row r="194">
      <c r="A194" s="22" t="inlineStr">
        <is>
          <t>Клуб Рослин</t>
        </is>
      </c>
      <c r="B194" s="22" t="inlineStr">
        <is>
          <t>1000614</t>
        </is>
      </c>
      <c r="C194" s="22" t="inlineStr">
        <is>
          <t>11224</t>
        </is>
      </c>
      <c r="D194" s="22" t="inlineStr">
        <is>
          <t>Пила садова Фіскарс Fiskars Xtract (L) SW75 123880 (1000614) Фінляндія</t>
        </is>
      </c>
      <c r="E194" s="23" t="n">
        <v>1234.2</v>
      </c>
    </row>
    <row r="195">
      <c r="A195" s="22" t="inlineStr">
        <is>
          <t>Водоспад</t>
        </is>
      </c>
      <c r="B195" s="22" t="inlineStr">
        <is>
          <t>HFGPS-0.7-400FG</t>
        </is>
      </c>
      <c r="C195" s="22" t="inlineStr">
        <is>
          <t>31994</t>
        </is>
      </c>
      <c r="D195" s="22" t="inlineStr">
        <is>
          <t>Туристична сокира Bahco HFGPS-0.7-400FG Бахо</t>
        </is>
      </c>
      <c r="E195" s="23" t="n">
        <v>950</v>
      </c>
    </row>
    <row r="196">
      <c r="A196" s="22" t="inlineStr">
        <is>
          <t>Клуб Рослин</t>
        </is>
      </c>
      <c r="B196" s="22" t="inlineStr">
        <is>
          <t>HFGPS-0.7-400FG</t>
        </is>
      </c>
      <c r="C196" s="22" t="inlineStr">
        <is>
          <t>12338</t>
        </is>
      </c>
      <c r="D196" s="22" t="inlineStr">
        <is>
          <t>Туристична сокира Bahco HFGPS-0.7-400FG Бахо</t>
        </is>
      </c>
      <c r="E196" s="23" t="n">
        <v>1506</v>
      </c>
    </row>
    <row r="197">
      <c r="A197" s="22" t="inlineStr">
        <is>
          <t>Водоспад</t>
        </is>
      </c>
      <c r="B197" s="22" t="inlineStr">
        <is>
          <t>NP-12-COM</t>
        </is>
      </c>
      <c r="C197" s="22" t="inlineStr">
        <is>
          <t>31982</t>
        </is>
      </c>
      <c r="D197" s="22" t="inlineStr">
        <is>
          <t>Ножівка викружна ​​​​​​​300 мм NP-12-COM Bahco</t>
        </is>
      </c>
      <c r="E197" s="23" t="n">
        <v>506</v>
      </c>
    </row>
    <row r="198">
      <c r="A198" s="22" t="inlineStr">
        <is>
          <t>Водоспад</t>
        </is>
      </c>
      <c r="B198" s="22" t="inlineStr">
        <is>
          <t>GS180F</t>
        </is>
      </c>
      <c r="C198" s="22" t="inlineStr">
        <is>
          <t>31955</t>
        </is>
      </c>
      <c r="D198" s="22" t="inlineStr">
        <is>
          <t>Ножиці для стрижки трави Bahco GS180F Бахо</t>
        </is>
      </c>
      <c r="E198" s="23" t="n">
        <v>750</v>
      </c>
    </row>
    <row r="199">
      <c r="A199" s="22" t="inlineStr">
        <is>
          <t>Клуб Рослин</t>
        </is>
      </c>
      <c r="B199" s="22" t="inlineStr">
        <is>
          <t>GS180F</t>
        </is>
      </c>
      <c r="C199" s="22" t="inlineStr">
        <is>
          <t>11038</t>
        </is>
      </c>
      <c r="D199" s="22" t="inlineStr">
        <is>
          <t>Ножиці для стрижки трави Bahco GS180F Бахо</t>
        </is>
      </c>
      <c r="E199" s="23" t="n">
        <v>750</v>
      </c>
    </row>
    <row r="200">
      <c r="A200" s="22" t="inlineStr">
        <is>
          <t>Водоспад</t>
        </is>
      </c>
      <c r="B200" s="22" t="inlineStr">
        <is>
          <t>P19-80-F</t>
        </is>
      </c>
      <c r="C200" s="22" t="inlineStr">
        <is>
          <t>31965</t>
        </is>
      </c>
      <c r="D200" s="22" t="inlineStr">
        <is>
          <t>Гілкоріз підвищеної потужності Bahco P19-80-F</t>
        </is>
      </c>
      <c r="E200" s="23" t="n">
        <v>3980</v>
      </c>
    </row>
    <row r="201">
      <c r="A201" s="22" t="inlineStr">
        <is>
          <t>Водоспад</t>
        </is>
      </c>
      <c r="B201" s="22" t="inlineStr">
        <is>
          <t>1026827</t>
        </is>
      </c>
      <c r="C201" s="22" t="inlineStr">
        <is>
          <t>39776</t>
        </is>
      </c>
      <c r="D201" s="22" t="inlineStr">
        <is>
          <t>Кущоріз Фіскарс Fiskars Solid HS21 (1026827) Фінляндія</t>
        </is>
      </c>
      <c r="E201" s="23" t="n">
        <v>999</v>
      </c>
    </row>
    <row r="202">
      <c r="A202" s="22" t="inlineStr">
        <is>
          <t>Водоспад</t>
        </is>
      </c>
      <c r="B202" s="22" t="inlineStr">
        <is>
          <t>1020189</t>
        </is>
      </c>
      <c r="C202" s="22" t="inlineStr">
        <is>
          <t>39746</t>
        </is>
      </c>
      <c r="D202" s="22" t="inlineStr">
        <is>
          <t>Гілкоріз контактний Фіскарс / Fiskars PowerGearX (L) LX99 112440 (1020189) Фінляндія</t>
        </is>
      </c>
      <c r="E202" s="23" t="n">
        <v>3599</v>
      </c>
    </row>
    <row r="203">
      <c r="A203" s="22" t="inlineStr">
        <is>
          <t>Водоспад</t>
        </is>
      </c>
      <c r="B203" s="22" t="inlineStr">
        <is>
          <t>1020188</t>
        </is>
      </c>
      <c r="C203" s="22" t="inlineStr">
        <is>
          <t>39745</t>
        </is>
      </c>
      <c r="D203" s="22" t="inlineStr">
        <is>
          <t>Гілкоріз площинний Фіскарс / Fiskars PowerGearX (L) LX98 112490 (1020188) Фінляндія</t>
        </is>
      </c>
      <c r="E203" s="23" t="n">
        <v>3599</v>
      </c>
    </row>
    <row r="204">
      <c r="A204" s="22" t="inlineStr">
        <is>
          <t>Водоспад</t>
        </is>
      </c>
      <c r="B204" s="22" t="inlineStr">
        <is>
          <t>1020187</t>
        </is>
      </c>
      <c r="C204" s="22" t="inlineStr">
        <is>
          <t>39744</t>
        </is>
      </c>
      <c r="D204" s="22" t="inlineStr">
        <is>
          <t>Гілкоріз площинний Фіскарс / Fiskars PowerGearX M LX94 112390 (1020187) Фінляндія</t>
        </is>
      </c>
      <c r="E204" s="23" t="n">
        <v>2999</v>
      </c>
    </row>
    <row r="205">
      <c r="A205" s="22" t="inlineStr">
        <is>
          <t>Водоспад</t>
        </is>
      </c>
      <c r="B205" s="22" t="inlineStr">
        <is>
          <t>1002104</t>
        </is>
      </c>
      <c r="C205" s="22" t="inlineStr">
        <is>
          <t>32149</t>
        </is>
      </c>
      <c r="D205" s="22" t="inlineStr">
        <is>
          <t>Гілкоріз площинний посилений з гаком Фіскарс Fiskars PowerGear S L70 (1002104)</t>
        </is>
      </c>
      <c r="E205" s="23" t="n">
        <v>1799</v>
      </c>
    </row>
    <row r="206">
      <c r="A206" s="22" t="inlineStr">
        <is>
          <t>Водоспад</t>
        </is>
      </c>
      <c r="B206" s="22" t="inlineStr">
        <is>
          <t>1000621</t>
        </is>
      </c>
      <c r="C206" s="22" t="inlineStr">
        <is>
          <t>32269</t>
        </is>
      </c>
      <c r="D206" s="22" t="inlineStr">
        <is>
          <t>Лопата універсальна складна Фіскарс Fiskars 131320 (1000621) Фінляндія</t>
        </is>
      </c>
      <c r="E206" s="23" t="n">
        <v>2799</v>
      </c>
    </row>
    <row r="207">
      <c r="A207" s="22" t="inlineStr">
        <is>
          <t>Клуб Рослин</t>
        </is>
      </c>
      <c r="B207" s="22" t="inlineStr">
        <is>
          <t>1000621</t>
        </is>
      </c>
      <c r="C207" s="22" t="inlineStr">
        <is>
          <t>10528</t>
        </is>
      </c>
      <c r="D207" s="22" t="inlineStr">
        <is>
          <t>Лопата універсальна складна Фіскарс Fiskars 131320 (1000621) Фінляндія</t>
        </is>
      </c>
      <c r="E207" s="23" t="n">
        <v>2103</v>
      </c>
    </row>
    <row r="208">
      <c r="A208" s="22" t="inlineStr">
        <is>
          <t>Водоспад</t>
        </is>
      </c>
      <c r="B208" s="22" t="inlineStr">
        <is>
          <t>1001625</t>
        </is>
      </c>
      <c r="C208" s="22" t="inlineStr">
        <is>
          <t>32176</t>
        </is>
      </c>
      <c r="D208" s="22" t="inlineStr">
        <is>
          <t>Ніж для щеплення рослин Фіскарс Fiskars K60 125900 (1001625) Фінляндія</t>
        </is>
      </c>
      <c r="E208" s="23" t="n">
        <v>699</v>
      </c>
    </row>
    <row r="209">
      <c r="A209" s="22" t="inlineStr">
        <is>
          <t>Водоспад</t>
        </is>
      </c>
      <c r="B209" s="22" t="inlineStr">
        <is>
          <t>1026797</t>
        </is>
      </c>
      <c r="C209" s="22" t="inlineStr">
        <is>
          <t>39545</t>
        </is>
      </c>
      <c r="D209" s="22" t="inlineStr">
        <is>
          <t>Точилка для сокир та ножів Фіскарс Fiskars Solid (1026797) Фінляндія</t>
        </is>
      </c>
      <c r="E209" s="23" t="n">
        <v>549</v>
      </c>
    </row>
    <row r="210">
      <c r="A210" s="22" t="inlineStr">
        <is>
          <t>Водоспад</t>
        </is>
      </c>
      <c r="B210" s="22" t="inlineStr">
        <is>
          <t>1000567</t>
        </is>
      </c>
      <c r="C210" s="22" t="inlineStr">
        <is>
          <t>32130</t>
        </is>
      </c>
      <c r="D210" s="22" t="inlineStr">
        <is>
          <t>Секатор площинний Фіскарс Fiskars Single Step P26 111260 (1000567) Фінляндія</t>
        </is>
      </c>
      <c r="E210" s="23" t="n">
        <v>549</v>
      </c>
    </row>
    <row r="211">
      <c r="A211" s="22" t="inlineStr">
        <is>
          <t>Клуб Рослин</t>
        </is>
      </c>
      <c r="B211" s="22" t="inlineStr">
        <is>
          <t>1000567</t>
        </is>
      </c>
      <c r="C211" s="22" t="inlineStr">
        <is>
          <t>11934</t>
        </is>
      </c>
      <c r="D211" s="22" t="inlineStr">
        <is>
          <t>Секатор площинний Фіскарс Fiskars Single Step P26 111260 (1000567) Фінляндія</t>
        </is>
      </c>
      <c r="E211" s="23" t="n">
        <v>428.3</v>
      </c>
    </row>
    <row r="212">
      <c r="A212" s="22" t="inlineStr">
        <is>
          <t>Водоспад</t>
        </is>
      </c>
      <c r="B212" s="22" t="inlineStr">
        <is>
          <t>1020199</t>
        </is>
      </c>
      <c r="C212" s="22" t="inlineStr">
        <is>
          <t>37353</t>
        </is>
      </c>
      <c r="D212" s="22" t="inlineStr">
        <is>
          <t>Пила садова Фіскарс Fiskars SW-330 123330 (1020199) Фінляндія</t>
        </is>
      </c>
      <c r="E212" s="23" t="n">
        <v>2699</v>
      </c>
    </row>
    <row r="213">
      <c r="A213" s="22" t="inlineStr">
        <is>
          <t>Клуб Рослин</t>
        </is>
      </c>
      <c r="B213" s="22" t="inlineStr">
        <is>
          <t>1000585</t>
        </is>
      </c>
      <c r="C213" s="22" t="inlineStr">
        <is>
          <t>12551</t>
        </is>
      </c>
      <c r="D213" s="22" t="inlineStr">
        <is>
          <t>Гілкоріз контактний з храповим механізмом Fiskars PowerStep L85 112850 (1000585) Фінляндія</t>
        </is>
      </c>
      <c r="E213" s="23" t="n">
        <v>1844</v>
      </c>
    </row>
    <row r="214">
      <c r="A214" s="22" t="inlineStr">
        <is>
          <t>Клуб Рослин</t>
        </is>
      </c>
      <c r="B214" s="22" t="inlineStr">
        <is>
          <t>7522</t>
        </is>
      </c>
      <c r="C214" s="22" t="inlineStr">
        <is>
          <t>9305</t>
        </is>
      </c>
      <c r="D214" s="22" t="inlineStr">
        <is>
          <t>Добриво GroGreen Грінта Старт NPK 13-40-13 + 1% FULVK + TE 25 кг Lima Бельгія</t>
        </is>
      </c>
      <c r="E214" s="23" t="n">
        <v>3200</v>
      </c>
    </row>
    <row r="215">
      <c r="A215" s="22" t="inlineStr">
        <is>
          <t>Клуб Рослин</t>
        </is>
      </c>
      <c r="B215" s="22" t="inlineStr">
        <is>
          <t>7445</t>
        </is>
      </c>
      <c r="C215" s="22" t="inlineStr">
        <is>
          <t>9305</t>
        </is>
      </c>
      <c r="D215" s="22" t="inlineStr">
        <is>
          <t>Добриво GroGreen NPK 13-40-13+TE 25 кг Lima Бельгія</t>
        </is>
      </c>
      <c r="E215" s="23" t="n">
        <v>3200</v>
      </c>
    </row>
    <row r="216">
      <c r="A216" s="22" t="inlineStr">
        <is>
          <t>Водоспад</t>
        </is>
      </c>
      <c r="B216" s="22" t="inlineStr">
        <is>
          <t>1001601</t>
        </is>
      </c>
      <c r="C216" s="22" t="inlineStr">
        <is>
          <t>32180</t>
        </is>
      </c>
      <c r="D216" s="22" t="inlineStr">
        <is>
          <t>Посадкова сапа Фіскарс Fiskars Solid 137040 (1001601) Фінляндія</t>
        </is>
      </c>
      <c r="E216" s="23" t="n">
        <v>349</v>
      </c>
    </row>
    <row r="217">
      <c r="A217" s="22" t="inlineStr">
        <is>
          <t>Клуб Рослин</t>
        </is>
      </c>
      <c r="B217" s="22" t="inlineStr">
        <is>
          <t>1001601</t>
        </is>
      </c>
      <c r="C217" s="22" t="inlineStr">
        <is>
          <t>12778</t>
        </is>
      </c>
      <c r="D217" s="22" t="inlineStr">
        <is>
          <t>Посадкова сапа Фіскарс Fiskars Solid 137040 (1001601) Фінляндія</t>
        </is>
      </c>
      <c r="E217" s="23" t="n">
        <v>217.8</v>
      </c>
    </row>
    <row r="218">
      <c r="A218" s="22" t="inlineStr">
        <is>
          <t>Водоспад</t>
        </is>
      </c>
      <c r="B218" s="22" t="inlineStr">
        <is>
          <t>1051600</t>
        </is>
      </c>
      <c r="C218" s="22" t="inlineStr">
        <is>
          <t>39739</t>
        </is>
      </c>
      <c r="D218" s="22" t="inlineStr">
        <is>
          <t>Ножиці для квітів Фіскарс / Fiskars Solid Micro-Tip SP13 (1051600) Фінляндія</t>
        </is>
      </c>
      <c r="E218" s="23" t="n">
        <v>499</v>
      </c>
    </row>
    <row r="219">
      <c r="A219" s="22" t="inlineStr">
        <is>
          <t>Водоспад</t>
        </is>
      </c>
      <c r="B219" s="22" t="inlineStr">
        <is>
          <t>1020204</t>
        </is>
      </c>
      <c r="C219" s="22" t="inlineStr">
        <is>
          <t>39722</t>
        </is>
      </c>
      <c r="D219" s="22" t="inlineStr">
        <is>
          <t>Секатор професійний Фіскарс Fiskars PB-8 M 111850 (1020204) Фінляндія</t>
        </is>
      </c>
      <c r="E219" s="23" t="n">
        <v>2499</v>
      </c>
    </row>
    <row r="220">
      <c r="A220" s="22" t="inlineStr">
        <is>
          <t>Клуб Рослин</t>
        </is>
      </c>
      <c r="B220" s="22" t="inlineStr">
        <is>
          <t>7447</t>
        </is>
      </c>
      <c r="C220" s="22" t="inlineStr">
        <is>
          <t>9293</t>
        </is>
      </c>
      <c r="D220" s="22" t="inlineStr">
        <is>
          <t>Добриво GroGreen NPK 15-30-15+2MgO+TE 25 кг Lima Бельгія</t>
        </is>
      </c>
      <c r="E220" s="23" t="n">
        <v>2822.6</v>
      </c>
    </row>
    <row r="221">
      <c r="A221" s="22" t="inlineStr">
        <is>
          <t>Водоспад</t>
        </is>
      </c>
      <c r="B221" s="22" t="inlineStr">
        <is>
          <t>4-272-05-3-2</t>
        </is>
      </c>
      <c r="C221" s="22" t="inlineStr">
        <is>
          <t>32533</t>
        </is>
      </c>
      <c r="D221" s="22" t="inlineStr">
        <is>
          <t>Напилок ромбічний заточувальний 125 мм "WASA" 4-272-05-3-2 BAHCO для пил</t>
        </is>
      </c>
      <c r="E221" s="23" t="n">
        <v>340</v>
      </c>
    </row>
    <row r="222">
      <c r="A222" s="22" t="inlineStr">
        <is>
          <t>Водоспад</t>
        </is>
      </c>
      <c r="B222" s="22" t="inlineStr">
        <is>
          <t>1023618</t>
        </is>
      </c>
      <c r="C222" s="22" t="inlineStr">
        <is>
          <t>37360</t>
        </is>
      </c>
      <c r="D222" s="22" t="inlineStr">
        <is>
          <t>Ніж Фіскарс Fiskars з точилкою (156017) 1023618 Фінляндія</t>
        </is>
      </c>
      <c r="E222" s="23" t="n">
        <v>599</v>
      </c>
    </row>
    <row r="223">
      <c r="A223" s="22" t="inlineStr">
        <is>
          <t>Водоспад</t>
        </is>
      </c>
      <c r="B223" s="22" t="inlineStr">
        <is>
          <t>2616/N</t>
        </is>
      </c>
      <c r="C223" s="22" t="inlineStr">
        <is>
          <t>40633</t>
        </is>
      </c>
      <c r="D223" s="22" t="inlineStr">
        <is>
          <t>Ніж садовий кривий Antonini 16 см сталь - C67 (2616/N) Італія</t>
        </is>
      </c>
      <c r="E223" s="23" t="n">
        <v>813</v>
      </c>
    </row>
    <row r="224">
      <c r="A224" s="22" t="inlineStr">
        <is>
          <t>Водоспад</t>
        </is>
      </c>
      <c r="B224" s="22" t="inlineStr">
        <is>
          <t>1028376</t>
        </is>
      </c>
      <c r="C224" s="22" t="inlineStr">
        <is>
          <t>39548</t>
        </is>
      </c>
      <c r="D224" s="22" t="inlineStr">
        <is>
          <t>Пила садова ручна Fiskars Solid SW16 (1028376) Фінляндія</t>
        </is>
      </c>
      <c r="E224" s="23" t="n">
        <v>949</v>
      </c>
    </row>
    <row r="225">
      <c r="A225" s="22" t="inlineStr">
        <is>
          <t>Водоспад</t>
        </is>
      </c>
      <c r="B225" s="22" t="inlineStr">
        <is>
          <t>1001705</t>
        </is>
      </c>
      <c r="C225" s="22" t="inlineStr">
        <is>
          <t>37216</t>
        </is>
      </c>
      <c r="D225" s="22" t="inlineStr">
        <is>
          <t>Сокира-молот Фіскарс Fiskars X46 (1001705) Фінляндія</t>
        </is>
      </c>
      <c r="E225" s="23" t="n">
        <v>3799</v>
      </c>
    </row>
    <row r="226">
      <c r="A226" s="22" t="inlineStr">
        <is>
          <t>Водоспад</t>
        </is>
      </c>
      <c r="B226" s="22" t="inlineStr">
        <is>
          <t>1028374</t>
        </is>
      </c>
      <c r="C226" s="22" t="inlineStr">
        <is>
          <t>39552</t>
        </is>
      </c>
      <c r="D226" s="22" t="inlineStr">
        <is>
          <t>Пилка садова мала Фіскарс Fiskars SW37 (1028374) Фінляндія</t>
        </is>
      </c>
      <c r="E226" s="23" t="n">
        <v>1399</v>
      </c>
    </row>
    <row r="227">
      <c r="A227" s="22" t="inlineStr">
        <is>
          <t>Водоспад</t>
        </is>
      </c>
      <c r="B227" s="22" t="inlineStr">
        <is>
          <t>PG-19-F</t>
        </is>
      </c>
      <c r="C227" s="22" t="inlineStr">
        <is>
          <t>31968</t>
        </is>
      </c>
      <c r="D227" s="22" t="inlineStr">
        <is>
          <t>Гілкоріз телескопічний Bahco PG-19-F Bahco 700 до 900 мм Бахо</t>
        </is>
      </c>
      <c r="E227" s="23" t="n">
        <v>1905</v>
      </c>
    </row>
    <row r="228">
      <c r="A228" s="22" t="inlineStr">
        <is>
          <t>Клуб Рослин</t>
        </is>
      </c>
      <c r="B228" s="22" t="inlineStr">
        <is>
          <t>7523</t>
        </is>
      </c>
      <c r="C228" s="22" t="inlineStr">
        <is>
          <t>9306</t>
        </is>
      </c>
      <c r="D228" s="22" t="inlineStr">
        <is>
          <t>Добриво GroGreen Грінта Баланс NPK 20-20-20 + 1% FULVK + TE 25 кг Lima Бельгія</t>
        </is>
      </c>
      <c r="E228" s="23" t="n">
        <v>3200</v>
      </c>
    </row>
    <row r="229">
      <c r="A229" s="22" t="inlineStr">
        <is>
          <t>Водоспад</t>
        </is>
      </c>
      <c r="B229" s="22" t="inlineStr">
        <is>
          <t>1023617</t>
        </is>
      </c>
      <c r="C229" s="22" t="inlineStr">
        <is>
          <t>37359</t>
        </is>
      </c>
      <c r="D229" s="22" t="inlineStr">
        <is>
          <t>Ніж універсальний Фіскарс Fiskars з точилом Hardware (1023617) Фінляндія</t>
        </is>
      </c>
      <c r="E229" s="23" t="n">
        <v>499</v>
      </c>
    </row>
    <row r="230">
      <c r="A230" s="22" t="inlineStr">
        <is>
          <t>Водоспад</t>
        </is>
      </c>
      <c r="B230" s="22" t="inlineStr">
        <is>
          <t>3.91.40</t>
        </is>
      </c>
      <c r="C230" s="22" t="inlineStr">
        <is>
          <t>36320</t>
        </is>
      </c>
      <c r="D230" s="22" t="inlineStr">
        <is>
          <t>​​​​​​​Ніж для щеплення Victorinox 3.91.40 Швейцарія</t>
        </is>
      </c>
      <c r="E230" s="23" t="n">
        <v>1159</v>
      </c>
    </row>
    <row r="231">
      <c r="A231" s="22" t="inlineStr">
        <is>
          <t>Клуб Рослин</t>
        </is>
      </c>
      <c r="B231" s="22" t="inlineStr">
        <is>
          <t>7451</t>
        </is>
      </c>
      <c r="C231" s="22" t="inlineStr">
        <is>
          <t>9295</t>
        </is>
      </c>
      <c r="D231" s="22" t="inlineStr">
        <is>
          <t>Добриво GroGreen NPK 18-18-18+3MgO+TE 25 кг Lima Бельгія</t>
        </is>
      </c>
      <c r="E231" s="23" t="n">
        <v>3115.2</v>
      </c>
    </row>
    <row r="232">
      <c r="A232" s="22" t="inlineStr">
        <is>
          <t>Водоспад</t>
        </is>
      </c>
      <c r="B232" s="22" t="inlineStr">
        <is>
          <t>1015644</t>
        </is>
      </c>
      <c r="C232" s="22" t="inlineStr">
        <is>
          <t>32128</t>
        </is>
      </c>
      <c r="D232" s="22" t="inlineStr">
        <is>
          <t>Сокира-колун Фіскарс Fiskars X27 XXL 122503 (1015644) Фінляндія</t>
        </is>
      </c>
      <c r="E232" s="23" t="n">
        <v>3699</v>
      </c>
    </row>
    <row r="233">
      <c r="A233" s="22" t="inlineStr">
        <is>
          <t>Водоспад</t>
        </is>
      </c>
      <c r="B233" s="22" t="inlineStr">
        <is>
          <t>1001574</t>
        </is>
      </c>
      <c r="C233" s="22" t="inlineStr">
        <is>
          <t>32258</t>
        </is>
      </c>
      <c r="D233" s="22" t="inlineStr">
        <is>
          <t>Лопата штикова 70 мм Фіскарс / Fiskars (1001574) Фінляндія</t>
        </is>
      </c>
      <c r="E233" s="23" t="n">
        <v>1299</v>
      </c>
    </row>
    <row r="234">
      <c r="A234" s="22" t="inlineStr">
        <is>
          <t>Водоспад</t>
        </is>
      </c>
      <c r="B234" s="22" t="inlineStr">
        <is>
          <t>1020186</t>
        </is>
      </c>
      <c r="C234" s="22" t="inlineStr">
        <is>
          <t>39743</t>
        </is>
      </c>
      <c r="D234" s="22" t="inlineStr">
        <is>
          <t>Гілкоріз площинний Фіскарс / Fiskars PowerGearX (S) LX92 112260 (1020186) Фінляндія</t>
        </is>
      </c>
      <c r="E234" s="23" t="n">
        <v>2499</v>
      </c>
    </row>
    <row r="235">
      <c r="A235" s="22" t="inlineStr">
        <is>
          <t>Водоспад</t>
        </is>
      </c>
      <c r="B235" s="22" t="inlineStr">
        <is>
          <t>1020127</t>
        </is>
      </c>
      <c r="C235" s="22" t="inlineStr">
        <is>
          <t>37419</t>
        </is>
      </c>
      <c r="D235" s="22" t="inlineStr">
        <is>
          <t>Інструмент для видалення бур’янів Фіскарс / Fiskars White полегшений 139940 (1020127) Фінляндія</t>
        </is>
      </c>
      <c r="E235" s="23" t="n">
        <v>1649</v>
      </c>
    </row>
    <row r="236">
      <c r="A236" s="22" t="inlineStr">
        <is>
          <t>Водоспад</t>
        </is>
      </c>
      <c r="B236" s="22" t="inlineStr">
        <is>
          <t>P34-37</t>
        </is>
      </c>
      <c r="C236" s="22" t="inlineStr">
        <is>
          <t>31937</t>
        </is>
      </c>
      <c r="D236" s="22" t="inlineStr">
        <is>
          <t>Висоторіз Bahco P34-37 Бахо</t>
        </is>
      </c>
      <c r="E236" s="23" t="n">
        <v>2110</v>
      </c>
    </row>
    <row r="237">
      <c r="A237" s="22" t="inlineStr">
        <is>
          <t>Клуб Рослин</t>
        </is>
      </c>
      <c r="B237" s="22" t="inlineStr">
        <is>
          <t>7899</t>
        </is>
      </c>
      <c r="C237" s="22" t="inlineStr">
        <is>
          <t>9305</t>
        </is>
      </c>
      <c r="D237" s="22" t="inlineStr">
        <is>
          <t>Добриво Леда / Leda NPK 13-40-13+1MgO+TE+GS+Amino 25 кг Нідерланди</t>
        </is>
      </c>
      <c r="E237" s="23" t="n">
        <v>3200</v>
      </c>
    </row>
    <row r="238">
      <c r="A238" s="22" t="inlineStr">
        <is>
          <t>Водоспад</t>
        </is>
      </c>
      <c r="B238" s="22" t="inlineStr">
        <is>
          <t>1001530</t>
        </is>
      </c>
      <c r="C238" s="22" t="inlineStr">
        <is>
          <t>32143</t>
        </is>
      </c>
      <c r="D238" s="22" t="inlineStr">
        <is>
          <t>Секатор професійний Фіскарс Fiskars P90 111960 (1001530) Фінляндія</t>
        </is>
      </c>
      <c r="E238" s="23" t="n">
        <v>1599</v>
      </c>
    </row>
    <row r="239">
      <c r="A239" s="22" t="inlineStr">
        <is>
          <t>Клуб Рослин</t>
        </is>
      </c>
      <c r="B239" s="22" t="inlineStr">
        <is>
          <t>1001530</t>
        </is>
      </c>
      <c r="C239" s="22" t="inlineStr">
        <is>
          <t>11923</t>
        </is>
      </c>
      <c r="D239" s="22" t="inlineStr">
        <is>
          <t>Секатор професійний Фіскарс Fiskars P90 111960 (1001530) Фінляндія</t>
        </is>
      </c>
      <c r="E239" s="23" t="n">
        <v>1060</v>
      </c>
    </row>
    <row r="240">
      <c r="A240" s="22" t="inlineStr">
        <is>
          <t>Водоспад</t>
        </is>
      </c>
      <c r="B240" s="22" t="inlineStr">
        <is>
          <t>1016035</t>
        </is>
      </c>
      <c r="C240" s="22" t="inlineStr">
        <is>
          <t>32966</t>
        </is>
      </c>
      <c r="D240" s="22" t="inlineStr">
        <is>
          <t>Мотика Фіскарс Fiskars Solid 135713 (1016035) Фінляндія</t>
        </is>
      </c>
      <c r="E240" s="23" t="n">
        <v>999</v>
      </c>
    </row>
    <row r="241">
      <c r="A241" s="22" t="inlineStr">
        <is>
          <t>Водоспад</t>
        </is>
      </c>
      <c r="B241" s="22" t="inlineStr">
        <is>
          <t>1026826</t>
        </is>
      </c>
      <c r="C241" s="22" t="inlineStr">
        <is>
          <t>39713</t>
        </is>
      </c>
      <c r="D241" s="22" t="inlineStr">
        <is>
          <t>Ножиці для трави Фіскарс / Fiskars Solid GS21 (1026826) Фінляндія</t>
        </is>
      </c>
      <c r="E241" s="23" t="n">
        <v>999</v>
      </c>
    </row>
    <row r="242">
      <c r="A242" s="22" t="inlineStr">
        <is>
          <t>Водоспад</t>
        </is>
      </c>
      <c r="B242" s="22" t="inlineStr">
        <is>
          <t>1020126</t>
        </is>
      </c>
      <c r="C242" s="22" t="inlineStr">
        <is>
          <t>36468</t>
        </is>
      </c>
      <c r="D242" s="22" t="inlineStr">
        <is>
          <t>Інструмент для видалення бур’янів Фіскарс / Fiskars Xact 139950 (1020126) Фінляндія</t>
        </is>
      </c>
      <c r="E242" s="23" t="n">
        <v>1999</v>
      </c>
    </row>
    <row r="243">
      <c r="A243" s="22" t="inlineStr">
        <is>
          <t>Водоспад</t>
        </is>
      </c>
      <c r="B243" s="22" t="inlineStr">
        <is>
          <t>1023631</t>
        </is>
      </c>
      <c r="C243" s="22" t="inlineStr">
        <is>
          <t>39773</t>
        </is>
      </c>
      <c r="D243" s="22" t="inlineStr">
        <is>
          <t>Ножиці для живоплоту Фіскарс / Fiskars PowerGear X HSX92 114006 (1023631) Фінляндія</t>
        </is>
      </c>
      <c r="E243" s="23" t="n">
        <v>2399</v>
      </c>
    </row>
    <row r="244">
      <c r="A244" s="22" t="inlineStr">
        <is>
          <t>Водоспад</t>
        </is>
      </c>
      <c r="B244" s="22" t="inlineStr">
        <is>
          <t>1011617</t>
        </is>
      </c>
      <c r="C244" s="22" t="inlineStr">
        <is>
          <t>33561</t>
        </is>
      </c>
      <c r="D244" s="22" t="inlineStr">
        <is>
          <t>Окантовувач країв газону Фіскарс / Fiskars Solid 5371 (1011617) Фінляндія</t>
        </is>
      </c>
      <c r="E244" s="23" t="n">
        <v>1399</v>
      </c>
    </row>
    <row r="245">
      <c r="A245" s="22" t="inlineStr">
        <is>
          <t>Водоспад</t>
        </is>
      </c>
      <c r="B245" s="22" t="inlineStr">
        <is>
          <t>1023633</t>
        </is>
      </c>
      <c r="C245" s="22" t="inlineStr">
        <is>
          <t>36649</t>
        </is>
      </c>
      <c r="D245" s="22" t="inlineStr">
        <is>
          <t>Пила-насадка для висоторіза Фіскарс / Fiskars UPX80 (1023633) Фінляндія</t>
        </is>
      </c>
      <c r="E245" s="23" t="n">
        <v>1999</v>
      </c>
    </row>
    <row r="246">
      <c r="A246" s="22" t="inlineStr">
        <is>
          <t>Водоспад</t>
        </is>
      </c>
      <c r="B246" s="22" t="inlineStr">
        <is>
          <t>1020125</t>
        </is>
      </c>
      <c r="C246" s="22" t="inlineStr">
        <is>
          <t>37418</t>
        </is>
      </c>
      <c r="D246" s="22" t="inlineStr">
        <is>
          <t>Інструмент для видалення бур’янів Фіскарс / Fiskars SmartFit телескопічний 139960 1020125) Фінляндія</t>
        </is>
      </c>
      <c r="E246" s="23" t="n">
        <v>2699</v>
      </c>
    </row>
    <row r="247">
      <c r="A247" s="22" t="inlineStr">
        <is>
          <t>Водоспад</t>
        </is>
      </c>
      <c r="B247" s="22" t="inlineStr">
        <is>
          <t>1000615</t>
        </is>
      </c>
      <c r="C247" s="22" t="inlineStr">
        <is>
          <t>32190</t>
        </is>
      </c>
      <c r="D247" s="22" t="inlineStr">
        <is>
          <t>Пила лучкова Фіскарс / Fiskars SW31 124810 (1000615) Фінляндія</t>
        </is>
      </c>
      <c r="E247" s="23" t="n">
        <v>877</v>
      </c>
    </row>
    <row r="248">
      <c r="A248" s="22" t="inlineStr">
        <is>
          <t>Водоспад</t>
        </is>
      </c>
      <c r="B248" s="22" t="inlineStr">
        <is>
          <t>5128-JS-H</t>
        </is>
      </c>
      <c r="C248" s="22" t="inlineStr">
        <is>
          <t>31933</t>
        </is>
      </c>
      <c r="D248" s="22" t="inlineStr">
        <is>
          <t>Обрізна пилка в чохлі Bahco 5128-JS-H</t>
        </is>
      </c>
      <c r="E248" s="23" t="n">
        <v>1376</v>
      </c>
    </row>
    <row r="249">
      <c r="A249" s="22" t="inlineStr">
        <is>
          <t>Клуб Рослин</t>
        </is>
      </c>
      <c r="B249" s="22" t="inlineStr">
        <is>
          <t>5128-JS-H</t>
        </is>
      </c>
      <c r="C249" s="22" t="inlineStr">
        <is>
          <t>11711</t>
        </is>
      </c>
      <c r="D249" s="22" t="inlineStr">
        <is>
          <t>Обрізна пилка в чохлі Bahco 5128-JS-H</t>
        </is>
      </c>
      <c r="E249" s="23" t="n">
        <v>1500</v>
      </c>
    </row>
    <row r="250">
      <c r="A250" s="22" t="inlineStr">
        <is>
          <t>Водоспад</t>
        </is>
      </c>
      <c r="B250" s="22" t="inlineStr">
        <is>
          <t>SUC-0.9-600</t>
        </is>
      </c>
      <c r="C250" s="22" t="inlineStr">
        <is>
          <t>37109</t>
        </is>
      </c>
      <c r="D250" s="22" t="inlineStr">
        <is>
          <t>Колун Bahco SUC-0.9-600 Бахо</t>
        </is>
      </c>
      <c r="E250" s="23" t="n">
        <v>1500</v>
      </c>
    </row>
    <row r="251">
      <c r="A251" s="22" t="inlineStr">
        <is>
          <t>Клуб Рослин</t>
        </is>
      </c>
      <c r="B251" s="22" t="inlineStr">
        <is>
          <t>SUC-0.9-600</t>
        </is>
      </c>
      <c r="C251" s="22" t="inlineStr">
        <is>
          <t>12350</t>
        </is>
      </c>
      <c r="D251" s="22" t="inlineStr">
        <is>
          <t>Колун Bahco SUC-0.9-600 Бахо</t>
        </is>
      </c>
      <c r="E251" s="23" t="n">
        <v>1738</v>
      </c>
    </row>
    <row r="252">
      <c r="A252" s="22" t="inlineStr">
        <is>
          <t>Водоспад</t>
        </is>
      </c>
      <c r="B252" s="22" t="inlineStr">
        <is>
          <t>1001621</t>
        </is>
      </c>
      <c r="C252" s="22" t="inlineStr">
        <is>
          <t>37355</t>
        </is>
      </c>
      <c r="D252" s="22" t="inlineStr">
        <is>
          <t>Пила лучкова Фіскарс / Fiskars SW30 124800 (1001621) Фінляндія</t>
        </is>
      </c>
      <c r="E252" s="23" t="n">
        <v>749</v>
      </c>
    </row>
    <row r="253">
      <c r="A253" s="22" t="inlineStr">
        <is>
          <t>Водоспад</t>
        </is>
      </c>
      <c r="B253" s="22" t="inlineStr">
        <is>
          <t>1023624</t>
        </is>
      </c>
      <c r="C253" s="22" t="inlineStr">
        <is>
          <t>36317</t>
        </is>
      </c>
      <c r="D253" s="22" t="inlineStr">
        <is>
          <t>Висоторіз телескопічний Фіскарс Fiskars PowerGear UPX86 (1023624) Фінляндія</t>
        </is>
      </c>
      <c r="E253" s="23" t="n">
        <v>5499</v>
      </c>
    </row>
    <row r="254">
      <c r="A254" s="22" t="inlineStr">
        <is>
          <t>Клуб Рослин</t>
        </is>
      </c>
      <c r="B254" s="22" t="inlineStr">
        <is>
          <t>1023624</t>
        </is>
      </c>
      <c r="C254" s="22" t="inlineStr">
        <is>
          <t>12532</t>
        </is>
      </c>
      <c r="D254" s="22" t="inlineStr">
        <is>
          <t>Висоторіз телескопічний Фіскарс Fiskars PowerGear UPX86 (1023624) Фінляндія</t>
        </is>
      </c>
      <c r="E254" s="23" t="n">
        <v>4198.7</v>
      </c>
    </row>
    <row r="255">
      <c r="A255" s="22" t="inlineStr">
        <is>
          <t>Водоспад</t>
        </is>
      </c>
      <c r="B255" s="22" t="inlineStr">
        <is>
          <t>1027043</t>
        </is>
      </c>
      <c r="C255" s="22" t="inlineStr">
        <is>
          <t>39662</t>
        </is>
      </c>
      <c r="D255" s="22" t="inlineStr">
        <is>
          <t>Садовий совок Фіскарс / Fiskars Xact (1027043) Фінляндія</t>
        </is>
      </c>
      <c r="E255" s="23" t="n">
        <v>699</v>
      </c>
    </row>
    <row r="256">
      <c r="A256" s="22" t="inlineStr">
        <is>
          <t>Водоспад</t>
        </is>
      </c>
      <c r="B256" s="22" t="inlineStr">
        <is>
          <t>1015681</t>
        </is>
      </c>
      <c r="C256" s="22" t="inlineStr">
        <is>
          <t>37420</t>
        </is>
      </c>
      <c r="D256" s="22" t="inlineStr">
        <is>
          <t>Захват для сміття Фіскарс / Fiskars Solid (1015681) Фінляндія</t>
        </is>
      </c>
      <c r="E256" s="23" t="n">
        <v>1199</v>
      </c>
    </row>
    <row r="257">
      <c r="A257" s="22" t="inlineStr">
        <is>
          <t>Водоспад</t>
        </is>
      </c>
      <c r="B257" s="22" t="inlineStr">
        <is>
          <t>1028375</t>
        </is>
      </c>
      <c r="C257" s="22" t="inlineStr">
        <is>
          <t>39553</t>
        </is>
      </c>
      <c r="D257" s="22" t="inlineStr">
        <is>
          <t>Пила садова велика Фіскарс Fiskars SW47 (1028375) Фінляндія</t>
        </is>
      </c>
      <c r="E257" s="23" t="n">
        <v>1699</v>
      </c>
    </row>
    <row r="258">
      <c r="A258" s="22" t="inlineStr">
        <is>
          <t>Водоспад</t>
        </is>
      </c>
      <c r="B258" s="22" t="inlineStr">
        <is>
          <t>1015640</t>
        </is>
      </c>
      <c r="C258" s="22" t="inlineStr">
        <is>
          <t>32124</t>
        </is>
      </c>
      <c r="D258" s="22" t="inlineStr">
        <is>
          <t>Сокира-колун Фіскарс Fiskars S X11 122443 (1015640) Фінляндія</t>
        </is>
      </c>
      <c r="E258" s="23" t="n">
        <v>2699</v>
      </c>
    </row>
    <row r="259">
      <c r="A259" s="22" t="inlineStr">
        <is>
          <t>Водоспад</t>
        </is>
      </c>
      <c r="B259" s="22" t="inlineStr">
        <is>
          <t>1023625</t>
        </is>
      </c>
      <c r="C259" s="22" t="inlineStr">
        <is>
          <t>37223</t>
        </is>
      </c>
      <c r="D259" s="22" t="inlineStr">
        <is>
          <t>Висоторіз Фіскарс Fiskars PowerGear UPX82 (1023625) Фінляндія</t>
        </is>
      </c>
      <c r="E259" s="23" t="n">
        <v>4299</v>
      </c>
    </row>
    <row r="260">
      <c r="A260" s="22" t="inlineStr">
        <is>
          <t>Водоспад</t>
        </is>
      </c>
      <c r="B260" s="22" t="inlineStr">
        <is>
          <t>1023619</t>
        </is>
      </c>
      <c r="C260" s="22" t="inlineStr">
        <is>
          <t>37361</t>
        </is>
      </c>
      <c r="D260" s="22" t="inlineStr">
        <is>
          <t>Ніж Фіскарс Fiskars з точилкою 156018 (1023619) Фінляндія</t>
        </is>
      </c>
      <c r="E260" s="23" t="n">
        <v>799</v>
      </c>
    </row>
    <row r="261">
      <c r="A261" s="22" t="inlineStr">
        <is>
          <t>Водоспад</t>
        </is>
      </c>
      <c r="B261" s="22" t="inlineStr">
        <is>
          <t>1001704</t>
        </is>
      </c>
      <c r="C261" s="22" t="inlineStr">
        <is>
          <t>37212</t>
        </is>
      </c>
      <c r="D261" s="22" t="inlineStr">
        <is>
          <t>Сокира-молот Фіскарс Fiskars X37 122160 (1001704) Фінляндія</t>
        </is>
      </c>
      <c r="E261" s="23" t="n">
        <v>3799</v>
      </c>
    </row>
    <row r="262">
      <c r="A262" s="22" t="inlineStr">
        <is>
          <t>Водоспад</t>
        </is>
      </c>
      <c r="B262" s="22" t="inlineStr">
        <is>
          <t>SUC-0.7-450</t>
        </is>
      </c>
      <c r="C262" s="22" t="inlineStr">
        <is>
          <t>37108</t>
        </is>
      </c>
      <c r="D262" s="22" t="inlineStr">
        <is>
          <t>Колун Bahco SUC-0.7-450 Бахо</t>
        </is>
      </c>
      <c r="E262" s="23" t="n">
        <v>1155</v>
      </c>
    </row>
    <row r="263">
      <c r="A263" s="22" t="inlineStr">
        <is>
          <t>Клуб Рослин</t>
        </is>
      </c>
      <c r="B263" s="22" t="inlineStr">
        <is>
          <t>SUC-0.7-450</t>
        </is>
      </c>
      <c r="C263" s="22" t="inlineStr">
        <is>
          <t>12349</t>
        </is>
      </c>
      <c r="D263" s="22" t="inlineStr">
        <is>
          <t>Колун Bahco SUC-0.7-450 Бахо</t>
        </is>
      </c>
      <c r="E263" s="23" t="n">
        <v>1586</v>
      </c>
    </row>
    <row r="264">
      <c r="A264" s="22" t="inlineStr">
        <is>
          <t>Водоспад</t>
        </is>
      </c>
      <c r="B264" s="22" t="inlineStr">
        <is>
          <t>1051144</t>
        </is>
      </c>
      <c r="C264" s="22" t="inlineStr">
        <is>
          <t>39266</t>
        </is>
      </c>
      <c r="D264" s="22" t="inlineStr">
        <is>
          <t>Сокира-колун Фіскарс Fiskars Norden N12 1051144 Фінляндія</t>
        </is>
      </c>
      <c r="E264" s="23" t="n">
        <v>4099</v>
      </c>
    </row>
    <row r="265">
      <c r="A265" s="22" t="inlineStr">
        <is>
          <t>Водоспад</t>
        </is>
      </c>
      <c r="B265" s="22" t="inlineStr">
        <is>
          <t>1015641</t>
        </is>
      </c>
      <c r="C265" s="22" t="inlineStr">
        <is>
          <t>32127</t>
        </is>
      </c>
      <c r="D265" s="22" t="inlineStr">
        <is>
          <t>Сокира-колун Фіскарс Fiskars X17 M 122 463 (1015641) Фінляндія</t>
        </is>
      </c>
      <c r="E265" s="23" t="n">
        <v>2499</v>
      </c>
    </row>
    <row r="266">
      <c r="A266" s="22" t="inlineStr">
        <is>
          <t>Водоспад</t>
        </is>
      </c>
      <c r="B266" s="22" t="inlineStr">
        <is>
          <t>1000685</t>
        </is>
      </c>
      <c r="C266" s="22" t="inlineStr">
        <is>
          <t>39806</t>
        </is>
      </c>
      <c r="D266" s="22" t="inlineStr">
        <is>
          <t>Ручний культиватор Fiskars QuikFit 136517 (1000685) Фінляндія</t>
        </is>
      </c>
      <c r="E266" s="23" t="n">
        <v>799</v>
      </c>
    </row>
    <row r="267">
      <c r="A267" s="22" t="inlineStr">
        <is>
          <t>Водоспад</t>
        </is>
      </c>
      <c r="B267" s="22" t="inlineStr">
        <is>
          <t>1020200</t>
        </is>
      </c>
      <c r="C267" s="22" t="inlineStr">
        <is>
          <t>37354</t>
        </is>
      </c>
      <c r="D267" s="22" t="inlineStr">
        <is>
          <t>Пила садова Фіскарс Fiskars SW-240 123240 (1020200) Фінляндія</t>
        </is>
      </c>
      <c r="E267" s="23" t="n">
        <v>2899</v>
      </c>
    </row>
    <row r="268">
      <c r="A268" s="22" t="inlineStr">
        <is>
          <t>Водоспад</t>
        </is>
      </c>
      <c r="B268" s="22" t="inlineStr">
        <is>
          <t>1066715</t>
        </is>
      </c>
      <c r="C268" s="22" t="inlineStr">
        <is>
          <t>32744</t>
        </is>
      </c>
      <c r="D268" s="22" t="inlineStr">
        <is>
          <t>Лопата саперна Фіскарс Fiskars Solid 1066715 Фінляндія</t>
        </is>
      </c>
      <c r="E268" s="23" t="n">
        <v>999</v>
      </c>
    </row>
    <row r="269">
      <c r="A269" s="22" t="inlineStr">
        <is>
          <t>Водоспад</t>
        </is>
      </c>
      <c r="B269" s="22" t="inlineStr">
        <is>
          <t>396-HP</t>
        </is>
      </c>
      <c r="C269" s="22" t="inlineStr">
        <is>
          <t>31935</t>
        </is>
      </c>
      <c r="D269" s="22" t="inlineStr">
        <is>
          <t>Пила складна обрізна Bahco 396-HP</t>
        </is>
      </c>
      <c r="E269" s="23" t="n">
        <v>1188</v>
      </c>
    </row>
    <row r="270">
      <c r="A270" s="22" t="inlineStr">
        <is>
          <t>Водоспад</t>
        </is>
      </c>
      <c r="B270" s="22" t="inlineStr">
        <is>
          <t>PG-L2-F</t>
        </is>
      </c>
      <c r="C270" s="22" t="inlineStr">
        <is>
          <t>31920</t>
        </is>
      </c>
      <c r="D270" s="22" t="inlineStr">
        <is>
          <t>Секатор Bahco (L) PG-L2-F для обрізки саду, винограду, троянд</t>
        </is>
      </c>
      <c r="E270" s="23" t="n">
        <v>1238</v>
      </c>
    </row>
    <row r="271">
      <c r="A271" s="22" t="inlineStr">
        <is>
          <t>Водоспад</t>
        </is>
      </c>
      <c r="B271" s="22" t="inlineStr">
        <is>
          <t>396-JS</t>
        </is>
      </c>
      <c r="C271" s="22" t="inlineStr">
        <is>
          <t>33873</t>
        </is>
      </c>
      <c r="D271" s="22" t="inlineStr">
        <is>
          <t>Пила обрізна Bahco 396-JS Бахо</t>
        </is>
      </c>
      <c r="E271" s="23" t="n">
        <v>1358</v>
      </c>
    </row>
    <row r="272">
      <c r="A272" s="22" t="inlineStr">
        <is>
          <t>Водоспад</t>
        </is>
      </c>
      <c r="B272" s="22" t="inlineStr">
        <is>
          <t>1015447</t>
        </is>
      </c>
      <c r="C272" s="22" t="inlineStr">
        <is>
          <t>37215</t>
        </is>
      </c>
      <c r="D272" s="22" t="inlineStr">
        <is>
          <t>Рукавички робочі зимові (10/XL) Фіскарс / Fiskars 160007 (1015447) Фінляндія</t>
        </is>
      </c>
      <c r="E272" s="23" t="n">
        <v>999</v>
      </c>
    </row>
    <row r="273">
      <c r="A273" s="22" t="inlineStr">
        <is>
          <t>Водоспад</t>
        </is>
      </c>
      <c r="B273" s="22" t="inlineStr">
        <is>
          <t>1015642</t>
        </is>
      </c>
      <c r="C273" s="22" t="inlineStr">
        <is>
          <t>33092</t>
        </is>
      </c>
      <c r="D273" s="22" t="inlineStr">
        <is>
          <t>Сокира-колун Фіскарс Fiskars X21 L 122 473 (1015642) Фінляндія</t>
        </is>
      </c>
      <c r="E273" s="23" t="n">
        <v>2899</v>
      </c>
    </row>
    <row r="274">
      <c r="A274" s="22" t="inlineStr">
        <is>
          <t>Водоспад</t>
        </is>
      </c>
      <c r="B274" s="22" t="inlineStr">
        <is>
          <t>1026917</t>
        </is>
      </c>
      <c r="C274" s="22" t="inlineStr">
        <is>
          <t>39711</t>
        </is>
      </c>
      <c r="D274" s="22" t="inlineStr">
        <is>
          <t>Ножиці для трави Fiskars White GS41 (1026917​​​​​​​) Фінляндія</t>
        </is>
      </c>
      <c r="E274" s="23" t="n">
        <v>1249</v>
      </c>
    </row>
    <row r="275">
      <c r="A275" s="22" t="inlineStr">
        <is>
          <t>Водоспад</t>
        </is>
      </c>
      <c r="B275" s="22" t="inlineStr">
        <is>
          <t>1001560</t>
        </is>
      </c>
      <c r="C275" s="22" t="inlineStr">
        <is>
          <t>32614</t>
        </is>
      </c>
      <c r="D275" s="22" t="inlineStr">
        <is>
          <t>Штанга подовжувальна Фіскарс / Fiskars UP80 110460 (1001560) Фінляндія</t>
        </is>
      </c>
      <c r="E275" s="23" t="n">
        <v>1699</v>
      </c>
    </row>
    <row r="276">
      <c r="A276" s="22" t="inlineStr">
        <is>
          <t>Водоспад</t>
        </is>
      </c>
      <c r="B276" s="22" t="inlineStr">
        <is>
          <t>1018606</t>
        </is>
      </c>
      <c r="C276" s="22" t="inlineStr">
        <is>
          <t>33560</t>
        </is>
      </c>
      <c r="D276" s="22" t="inlineStr">
        <is>
          <t>Лопата для саджанців Фіскарс Fiskars (181e) 131470 (1018606) Фінляндія</t>
        </is>
      </c>
      <c r="E276" s="23" t="n">
        <v>2299</v>
      </c>
    </row>
    <row r="277">
      <c r="A277" s="22" t="inlineStr">
        <is>
          <t>Клуб Рослин</t>
        </is>
      </c>
      <c r="B277" s="22" t="inlineStr">
        <is>
          <t>1018606</t>
        </is>
      </c>
      <c r="C277" s="22" t="inlineStr">
        <is>
          <t>10531</t>
        </is>
      </c>
      <c r="D277" s="22" t="inlineStr">
        <is>
          <t>Лопата для саджанців Фіскарс Fiskars (181e) 131470 (1018606) Фінляндія</t>
        </is>
      </c>
      <c r="E277" s="23" t="n">
        <v>1135</v>
      </c>
    </row>
    <row r="278">
      <c r="A278" s="22" t="inlineStr">
        <is>
          <t>Водоспад</t>
        </is>
      </c>
      <c r="B278" s="22" t="inlineStr">
        <is>
          <t>1020203</t>
        </is>
      </c>
      <c r="C278" s="22" t="inlineStr">
        <is>
          <t>39720</t>
        </is>
      </c>
      <c r="D278" s="22" t="inlineStr">
        <is>
          <t>Секатор професійний Фіскарс Fiskars PB-8 L 111870 (1020203) Фінляндія</t>
        </is>
      </c>
      <c r="E278" s="23" t="n">
        <v>2699</v>
      </c>
    </row>
    <row r="279">
      <c r="A279" s="22" t="inlineStr">
        <is>
          <t>Водоспад</t>
        </is>
      </c>
      <c r="B279" s="22" t="inlineStr">
        <is>
          <t>1015618</t>
        </is>
      </c>
      <c r="C279" s="22" t="inlineStr">
        <is>
          <t>32122</t>
        </is>
      </c>
      <c r="D279" s="22" t="inlineStr">
        <is>
          <t>Універсальна сокира Фіскарс Fiskars XS X7 121423 (1015618) Фінляндія</t>
        </is>
      </c>
      <c r="E279" s="23" t="n">
        <v>1799</v>
      </c>
    </row>
    <row r="280">
      <c r="A280" s="22" t="inlineStr">
        <is>
          <t>Водоспад</t>
        </is>
      </c>
      <c r="B280" s="22" t="inlineStr">
        <is>
          <t>1015643</t>
        </is>
      </c>
      <c r="C280" s="22" t="inlineStr">
        <is>
          <t>32126</t>
        </is>
      </c>
      <c r="D280" s="22" t="inlineStr">
        <is>
          <t>Сокира-колун Фіскарс Fiskars X25 XL 122483 (1015643) Фінляндія</t>
        </is>
      </c>
      <c r="E280" s="23" t="n">
        <v>3299</v>
      </c>
    </row>
    <row r="281">
      <c r="A281" s="22" t="inlineStr">
        <is>
          <t>Клуб Рослин</t>
        </is>
      </c>
      <c r="B281" s="22" t="inlineStr">
        <is>
          <t>77db851f-abbb-11ee-bf43-c87f546feb15</t>
        </is>
      </c>
      <c r="C281" s="22" t="inlineStr">
        <is>
          <t>12555</t>
        </is>
      </c>
      <c r="D281" s="22" t="inlineStr">
        <is>
          <t>Гілкоріз площинний Фіскарс / Fiskars Quantum L108 112630 (1001435) Фінляндія</t>
        </is>
      </c>
      <c r="E281" s="23" t="n">
        <v>3121.8</v>
      </c>
    </row>
    <row r="282">
      <c r="A282" s="22" t="inlineStr">
        <is>
          <t>Клуб Рослин</t>
        </is>
      </c>
      <c r="B282" s="22" t="inlineStr">
        <is>
          <t>1001435</t>
        </is>
      </c>
      <c r="C282" s="22" t="inlineStr">
        <is>
          <t>12555</t>
        </is>
      </c>
      <c r="D282" s="22" t="inlineStr">
        <is>
          <t>Сучкоріз площинний Фіскарс Fiskars Quantum L108 112630 (1001435) Фінляндія</t>
        </is>
      </c>
      <c r="E282" s="23" t="n">
        <v>3121.8</v>
      </c>
    </row>
    <row r="283">
      <c r="A283" s="22" t="inlineStr">
        <is>
          <t>Клуб Рослин</t>
        </is>
      </c>
      <c r="B283" s="22" t="inlineStr">
        <is>
          <t>904</t>
        </is>
      </c>
      <c r="C283" s="22" t="inlineStr">
        <is>
          <t>12710</t>
        </is>
      </c>
      <c r="D283" s="22" t="inlineStr">
        <is>
          <t>Точильний інструмент Фелко / Felco 904</t>
        </is>
      </c>
      <c r="E283" s="23" t="n">
        <v>1399</v>
      </c>
    </row>
    <row r="284">
      <c r="A284" s="22" t="inlineStr">
        <is>
          <t>Клуб Рослин</t>
        </is>
      </c>
      <c r="B284" s="22" t="inlineStr">
        <is>
          <t>Z-26K</t>
        </is>
      </c>
      <c r="C284" s="22" t="inlineStr">
        <is>
          <t>15819</t>
        </is>
      </c>
      <c r="D284" s="22" t="inlineStr">
        <is>
          <t>Секатор типу ножиці Камакі / Kamaki (Z-26K) Японія</t>
        </is>
      </c>
      <c r="E284" s="23" t="n">
        <v>2790</v>
      </c>
    </row>
    <row r="285">
      <c r="A285" s="22" t="inlineStr">
        <is>
          <t>Водоспад</t>
        </is>
      </c>
      <c r="B285" s="22" t="inlineStr">
        <is>
          <t>1026931</t>
        </is>
      </c>
      <c r="C285" s="22" t="inlineStr">
        <is>
          <t>39774</t>
        </is>
      </c>
      <c r="D285" s="22" t="inlineStr">
        <is>
          <t>Ножиці для живоплоту Фіскарс / Fiskars White HS53 (1026931) Фінляндія</t>
        </is>
      </c>
      <c r="E285" s="23" t="n">
        <v>1777</v>
      </c>
    </row>
    <row r="286">
      <c r="A286" s="22" t="inlineStr">
        <is>
          <t>Клуб Рослин</t>
        </is>
      </c>
      <c r="B286" s="22" t="inlineStr">
        <is>
          <t>202AP</t>
        </is>
      </c>
      <c r="C286" s="22" t="inlineStr">
        <is>
          <t>10848</t>
        </is>
      </c>
      <c r="D286" s="22" t="inlineStr">
        <is>
          <t>Ніж Due Buoi 202AP для щеплення універсальний Італія</t>
        </is>
      </c>
      <c r="E286" s="23" t="n">
        <v>1690</v>
      </c>
    </row>
    <row r="287">
      <c r="A287" s="22" t="inlineStr">
        <is>
          <t>Водоспад</t>
        </is>
      </c>
      <c r="B287" s="22" t="inlineStr">
        <is>
          <t>1066708</t>
        </is>
      </c>
      <c r="C287" s="22" t="inlineStr">
        <is>
          <t>32250</t>
        </is>
      </c>
      <c r="D287" s="22" t="inlineStr">
        <is>
          <t>Лопата штикова Фіскарс Fiskars Ergonomic 1001568 (1066708) Фінляндія</t>
        </is>
      </c>
      <c r="E287" s="23" t="n">
        <v>1699</v>
      </c>
    </row>
    <row r="288">
      <c r="A288" s="22" t="inlineStr">
        <is>
          <t>Водоспад</t>
        </is>
      </c>
      <c r="B288" s="22" t="inlineStr">
        <is>
          <t>1066716</t>
        </is>
      </c>
      <c r="C288" s="22" t="inlineStr">
        <is>
          <t>32412</t>
        </is>
      </c>
      <c r="D288" s="22" t="inlineStr">
        <is>
          <t>Лопата штикова Фіскарс Fiskars Solid 1003455 (1066716) Фінляндія</t>
        </is>
      </c>
      <c r="E288" s="23" t="n">
        <v>1199</v>
      </c>
    </row>
    <row r="289">
      <c r="A289" s="22" t="inlineStr">
        <is>
          <t>Водоспад</t>
        </is>
      </c>
      <c r="B289" s="22" t="inlineStr">
        <is>
          <t>4940003A</t>
        </is>
      </c>
      <c r="C289" s="22" t="inlineStr">
        <is>
          <t>40801</t>
        </is>
      </c>
      <c r="D289" s="22" t="inlineStr">
        <is>
          <t>Секатор для щеплення (20 мм різ V - лезо) Innexta (4940003A) Stoker Італія</t>
        </is>
      </c>
      <c r="E289" s="23" t="n">
        <v>2999</v>
      </c>
    </row>
    <row r="290">
      <c r="A290" s="22" t="inlineStr">
        <is>
          <t>Клуб Рослин</t>
        </is>
      </c>
      <c r="B290" s="22" t="inlineStr">
        <is>
          <t>8064</t>
        </is>
      </c>
      <c r="C290" s="22" t="inlineStr">
        <is>
          <t>16088</t>
        </is>
      </c>
      <c r="D290" s="22" t="inlineStr">
        <is>
          <t>Добриво Сайкін Преміум / Saikin Premium 18-18-18+МЕ+ЕАV 2 кг Туреччина</t>
        </is>
      </c>
      <c r="E290" s="23" t="n">
        <v>475</v>
      </c>
    </row>
    <row r="291">
      <c r="A291" s="22" t="inlineStr">
        <is>
          <t>Клуб Рослин</t>
        </is>
      </c>
      <c r="B291" s="22" t="inlineStr">
        <is>
          <t>300/21</t>
        </is>
      </c>
      <c r="C291" s="22" t="inlineStr">
        <is>
          <t>12042</t>
        </is>
      </c>
      <c r="D291" s="22" t="inlineStr">
        <is>
          <t>Секатор для щеплення Due Buoi 300/21 Італія</t>
        </is>
      </c>
      <c r="E291" s="23" t="n">
        <v>3475</v>
      </c>
    </row>
    <row r="292">
      <c r="A292" s="22" t="inlineStr">
        <is>
          <t>Водоспад</t>
        </is>
      </c>
      <c r="B292" s="22" t="inlineStr">
        <is>
          <t>9307/19LU</t>
        </is>
      </c>
      <c r="C292" s="22" t="inlineStr">
        <is>
          <t>40602</t>
        </is>
      </c>
      <c r="D292" s="22" t="inlineStr">
        <is>
          <t>Ніж Antonini OLD BEAR з оливковим руків'ям 19 см (9307/19LU) Італія</t>
        </is>
      </c>
      <c r="E292" s="23" t="n">
        <v>1320</v>
      </c>
    </row>
    <row r="293">
      <c r="A293" s="22" t="inlineStr">
        <is>
          <t>Клуб Рослин</t>
        </is>
      </c>
      <c r="B293" s="22" t="inlineStr">
        <is>
          <t>9307/19LU</t>
        </is>
      </c>
      <c r="C293" s="22" t="inlineStr">
        <is>
          <t>10832</t>
        </is>
      </c>
      <c r="D293" s="22" t="inlineStr">
        <is>
          <t>Ніж Antonini OLD BEAR з оливковим руків'ям 19 см (9307/19LU) Італія</t>
        </is>
      </c>
      <c r="E293" s="23" t="n">
        <v>1150</v>
      </c>
    </row>
    <row r="294">
      <c r="A294" s="22" t="inlineStr">
        <is>
          <t>Клуб Рослин</t>
        </is>
      </c>
      <c r="B294" s="22" t="inlineStr">
        <is>
          <t>8063</t>
        </is>
      </c>
      <c r="C294" s="22" t="inlineStr">
        <is>
          <t>16086</t>
        </is>
      </c>
      <c r="D294" s="22" t="inlineStr">
        <is>
          <t>Добриво Сайкін Преміум / Saikin Premium 10-50-10+МЕ+ЕАV 2 кг Туреччина</t>
        </is>
      </c>
      <c r="E294" s="23" t="n">
        <v>545</v>
      </c>
    </row>
    <row r="295">
      <c r="A295" s="22" t="inlineStr">
        <is>
          <t>Водоспад</t>
        </is>
      </c>
      <c r="B295" s="22" t="inlineStr">
        <is>
          <t>1000639</t>
        </is>
      </c>
      <c r="C295" s="22" t="inlineStr">
        <is>
          <t>37409</t>
        </is>
      </c>
      <c r="D295" s="22" t="inlineStr">
        <is>
          <t>Леза для бура Fiskars QuikDrill PlusPart Part M середні 150 мм 134727 (1000639) Фінляндія</t>
        </is>
      </c>
      <c r="E295" s="23" t="n">
        <v>649</v>
      </c>
    </row>
    <row r="296">
      <c r="A296" s="22" t="inlineStr">
        <is>
          <t>Клуб Рослин</t>
        </is>
      </c>
      <c r="B296" s="22" t="inlineStr">
        <is>
          <t>1000639</t>
        </is>
      </c>
      <c r="C296" s="22" t="inlineStr">
        <is>
          <t>10402</t>
        </is>
      </c>
      <c r="D296" s="22" t="inlineStr">
        <is>
          <t>Леза для бура Fiskars QuikDrill PlusPart Part M середні 150 мм 134727 (1000639) Фінляндія</t>
        </is>
      </c>
      <c r="E296" s="23" t="n">
        <v>609.79</v>
      </c>
    </row>
    <row r="297">
      <c r="A297" s="22" t="inlineStr">
        <is>
          <t>Водоспад</t>
        </is>
      </c>
      <c r="B297" s="22" t="inlineStr">
        <is>
          <t>1003684</t>
        </is>
      </c>
      <c r="C297" s="22" t="inlineStr">
        <is>
          <t>37366</t>
        </is>
      </c>
      <c r="D297" s="22" t="inlineStr">
        <is>
          <t>Лопата штикова середня Fiskars Xact M 131482 (1003684) Фінляндія</t>
        </is>
      </c>
      <c r="E297" s="23" t="n">
        <v>1999</v>
      </c>
    </row>
    <row r="298">
      <c r="A298" s="22" t="inlineStr">
        <is>
          <t>Клуб Рослин</t>
        </is>
      </c>
      <c r="B298" s="22" t="inlineStr">
        <is>
          <t>1003684</t>
        </is>
      </c>
      <c r="C298" s="22" t="inlineStr">
        <is>
          <t>10549</t>
        </is>
      </c>
      <c r="D298" s="22" t="inlineStr">
        <is>
          <t>Лопата штикова середня Fiskars Xact M 131482 (1003684) Фінляндія</t>
        </is>
      </c>
      <c r="E298" s="23" t="n">
        <v>1542.8</v>
      </c>
    </row>
    <row r="299">
      <c r="A299" s="22" t="inlineStr">
        <is>
          <t>Водоспад</t>
        </is>
      </c>
      <c r="B299" s="22" t="inlineStr">
        <is>
          <t>P140-F</t>
        </is>
      </c>
      <c r="C299" s="22" t="inlineStr">
        <is>
          <t>36465</t>
        </is>
      </c>
      <c r="D299" s="22" t="inlineStr">
        <is>
          <t>Гілкоріз Bahco P140-F Бахо</t>
        </is>
      </c>
      <c r="E299" s="23" t="n">
        <v>2590</v>
      </c>
    </row>
    <row r="300">
      <c r="A300" s="22" t="inlineStr">
        <is>
          <t>Водоспад</t>
        </is>
      </c>
      <c r="B300" s="22" t="inlineStr">
        <is>
          <t>P59-25-F</t>
        </is>
      </c>
      <c r="C300" s="22" t="inlineStr">
        <is>
          <t>31970</t>
        </is>
      </c>
      <c r="D300" s="22" t="inlineStr">
        <is>
          <t>Кущоріз Bahco P59-25-F Бахо</t>
        </is>
      </c>
      <c r="E300" s="23" t="n">
        <v>1890</v>
      </c>
    </row>
    <row r="301">
      <c r="A301" s="22" t="inlineStr">
        <is>
          <t>Клуб Рослин</t>
        </is>
      </c>
      <c r="B301" s="22" t="inlineStr">
        <is>
          <t>P59-25-F</t>
        </is>
      </c>
      <c r="C301" s="22" t="inlineStr">
        <is>
          <t>11762</t>
        </is>
      </c>
      <c r="D301" s="22" t="inlineStr">
        <is>
          <t>Кущоріз Bahco P59-25-F Бахо</t>
        </is>
      </c>
      <c r="E301" s="23" t="n">
        <v>1890</v>
      </c>
    </row>
    <row r="302">
      <c r="A302" s="22" t="inlineStr">
        <is>
          <t>Водоспад</t>
        </is>
      </c>
      <c r="B302" s="22" t="inlineStr">
        <is>
          <t>180ZR-3.0-5</t>
        </is>
      </c>
      <c r="C302" s="22" t="inlineStr">
        <is>
          <t>38686</t>
        </is>
      </c>
      <c r="D302" s="22" t="inlineStr">
        <is>
          <t>Секатор АРС / ARS (180ZR-3.0-5) телескопічний на штанзі 1.8–3 м поворотна голова Японія</t>
        </is>
      </c>
      <c r="E302" s="23" t="n">
        <v>4457</v>
      </c>
    </row>
    <row r="303">
      <c r="A303" s="22" t="inlineStr">
        <is>
          <t>Водоспад</t>
        </is>
      </c>
      <c r="B303" s="22" t="inlineStr">
        <is>
          <t>4940004A</t>
        </is>
      </c>
      <c r="C303" s="22" t="inlineStr">
        <is>
          <t>41071</t>
        </is>
      </c>
      <c r="D303" s="22" t="inlineStr">
        <is>
          <t>Ножі для щеплювального секатора V - лезо Innexta (4940004A) Stoker Італія</t>
        </is>
      </c>
      <c r="E303" s="23" t="n">
        <v>1999</v>
      </c>
    </row>
    <row r="304">
      <c r="A304" s="22" t="inlineStr">
        <is>
          <t>Водоспад</t>
        </is>
      </c>
      <c r="B304" s="22" t="inlineStr">
        <is>
          <t>1051087</t>
        </is>
      </c>
      <c r="C304" s="22" t="inlineStr">
        <is>
          <t>39297</t>
        </is>
      </c>
      <c r="D304" s="22" t="inlineStr">
        <is>
          <t>Малий сікач для сучків Фіскарс / Fiskars Solid S3 (1051087) Фінляндія</t>
        </is>
      </c>
      <c r="E304" s="23" t="n">
        <v>1999</v>
      </c>
    </row>
    <row r="305">
      <c r="A305" s="22" t="inlineStr">
        <is>
          <t>Клуб Рослин</t>
        </is>
      </c>
      <c r="B305" s="22" t="inlineStr">
        <is>
          <t>710S</t>
        </is>
      </c>
      <c r="C305" s="22" t="inlineStr">
        <is>
          <t>15816</t>
        </is>
      </c>
      <c r="D305" s="22" t="inlineStr">
        <is>
          <t>Секатор типу ножиці Камакі / Kamaki (710S) Японія</t>
        </is>
      </c>
      <c r="E305" s="23" t="n">
        <v>549</v>
      </c>
    </row>
    <row r="306">
      <c r="A306" s="22" t="inlineStr">
        <is>
          <t>Водоспад</t>
        </is>
      </c>
      <c r="B306" s="22" t="inlineStr">
        <is>
          <t>1015619</t>
        </is>
      </c>
      <c r="C306" s="22" t="inlineStr">
        <is>
          <t>32123</t>
        </is>
      </c>
      <c r="D306" s="22" t="inlineStr">
        <is>
          <t>Універсальна сокира Фіскарс Fiskars S X10 121443 (1015619) Фінляндія</t>
        </is>
      </c>
      <c r="E306" s="23" t="n">
        <v>2199</v>
      </c>
    </row>
    <row r="307">
      <c r="A307" s="22" t="inlineStr">
        <is>
          <t>Водоспад</t>
        </is>
      </c>
      <c r="B307" s="22" t="inlineStr">
        <is>
          <t>1003683</t>
        </is>
      </c>
      <c r="C307" s="22" t="inlineStr">
        <is>
          <t>33198</t>
        </is>
      </c>
      <c r="D307" s="22" t="inlineStr">
        <is>
          <t>Лопата штикова Fiskars Xact L 131483 (1003683) Фінляндія</t>
        </is>
      </c>
      <c r="E307" s="23" t="n">
        <v>2399</v>
      </c>
    </row>
    <row r="308">
      <c r="A308" s="22" t="inlineStr">
        <is>
          <t>Клуб Рослин</t>
        </is>
      </c>
      <c r="B308" s="22" t="inlineStr">
        <is>
          <t>1003683</t>
        </is>
      </c>
      <c r="C308" s="22" t="inlineStr">
        <is>
          <t>10548</t>
        </is>
      </c>
      <c r="D308" s="22" t="inlineStr">
        <is>
          <t>Лопата штикова Fiskars Xact L 131483 (1003683) Фінляндія</t>
        </is>
      </c>
      <c r="E308" s="23" t="n">
        <v>1633.5</v>
      </c>
    </row>
    <row r="309">
      <c r="A309" s="22" t="inlineStr">
        <is>
          <t>Водоспад</t>
        </is>
      </c>
      <c r="B309" s="22" t="inlineStr">
        <is>
          <t>K-900Z</t>
        </is>
      </c>
      <c r="C309" s="22" t="inlineStr">
        <is>
          <t>38739</t>
        </is>
      </c>
      <c r="D309" s="22" t="inlineStr">
        <is>
          <t>Ножиці для кущів АРС / ARS (К-900Z) Японія</t>
        </is>
      </c>
      <c r="E309" s="23" t="n">
        <v>3499</v>
      </c>
    </row>
    <row r="310">
      <c r="A310" s="22" t="inlineStr">
        <is>
          <t>Водоспад</t>
        </is>
      </c>
      <c r="B310" s="22" t="inlineStr">
        <is>
          <t>KST205</t>
        </is>
      </c>
      <c r="C310" s="22" t="inlineStr">
        <is>
          <t>42261</t>
        </is>
      </c>
      <c r="D310" s="22" t="inlineStr">
        <is>
          <t>Ножиці для кущів Окатсуне / Okatsune (KST205) Японія</t>
        </is>
      </c>
      <c r="E310" s="23" t="n">
        <v>4790</v>
      </c>
    </row>
    <row r="311">
      <c r="A311" s="22" t="inlineStr">
        <is>
          <t>Клуб Рослин</t>
        </is>
      </c>
      <c r="B311" s="22" t="inlineStr">
        <is>
          <t>KST205</t>
        </is>
      </c>
      <c r="C311" s="22" t="inlineStr">
        <is>
          <t>16184</t>
        </is>
      </c>
      <c r="D311" s="22" t="inlineStr">
        <is>
          <t>Ножиці для кущів Окатсуне / Okatsune (KST205) Японія</t>
        </is>
      </c>
      <c r="E311" s="23" t="n">
        <v>4550</v>
      </c>
    </row>
    <row r="312">
      <c r="A312" s="22" t="inlineStr">
        <is>
          <t>Водоспад</t>
        </is>
      </c>
      <c r="B312" s="22" t="inlineStr">
        <is>
          <t>4211-14-6T</t>
        </is>
      </c>
      <c r="C312" s="22" t="inlineStr">
        <is>
          <t>42762</t>
        </is>
      </c>
      <c r="D312" s="22" t="inlineStr">
        <is>
          <t>Садова обрізна пила Bahco 4211-14-6T (із загартованими зубами) 360 мм</t>
        </is>
      </c>
      <c r="E312" s="23" t="n">
        <v>1010</v>
      </c>
    </row>
    <row r="313">
      <c r="A313" s="22" t="inlineStr">
        <is>
          <t>Клуб Рослин</t>
        </is>
      </c>
      <c r="B313" s="22" t="inlineStr">
        <is>
          <t>4211-14-6T</t>
        </is>
      </c>
      <c r="C313" s="22" t="inlineStr">
        <is>
          <t>11707</t>
        </is>
      </c>
      <c r="D313" s="22" t="inlineStr">
        <is>
          <t>Садова обрізна пила Bahco 4211-14-6T (із загартованими зубами) 360 мм</t>
        </is>
      </c>
      <c r="E313" s="23" t="n">
        <v>1010</v>
      </c>
    </row>
    <row r="314">
      <c r="A314" s="22" t="inlineStr">
        <is>
          <t>Клуб Рослин</t>
        </is>
      </c>
      <c r="B314" s="22" t="inlineStr">
        <is>
          <t>VS-8X-1</t>
        </is>
      </c>
      <c r="C314" s="22" t="inlineStr">
        <is>
          <t>10758</t>
        </is>
      </c>
      <c r="D314" s="22" t="inlineStr">
        <is>
          <t>Комплект лез та гвинтів з гайками до секаторів ARS VS-8XZ / VS-8XR (VS-8X-1) Японія</t>
        </is>
      </c>
      <c r="E314" s="23" t="n">
        <v>999</v>
      </c>
    </row>
    <row r="315">
      <c r="A315" s="22" t="inlineStr">
        <is>
          <t>Водоспад</t>
        </is>
      </c>
      <c r="B315" s="22" t="inlineStr">
        <is>
          <t>CT-42PRO</t>
        </is>
      </c>
      <c r="C315" s="22" t="inlineStr">
        <is>
          <t>38667</t>
        </is>
      </c>
      <c r="D315" s="22" t="inlineStr">
        <is>
          <t>Пила АРС Турбокат / ARS Turbocut (CT-42PRO) серповидна з кобурою Японія</t>
        </is>
      </c>
      <c r="E315" s="23" t="n">
        <v>3880</v>
      </c>
    </row>
    <row r="316">
      <c r="A316" s="22" t="inlineStr">
        <is>
          <t>Клуб Рослин</t>
        </is>
      </c>
      <c r="B316" s="22" t="inlineStr">
        <is>
          <t>SR-L-570</t>
        </is>
      </c>
      <c r="C316" s="22" t="inlineStr">
        <is>
          <t>16112</t>
        </is>
      </c>
      <c r="D316" s="22" t="inlineStr">
        <is>
          <t>Планувальник грунту без держака Смарт Рейн / Smart Rain (SR-L-590) Україн</t>
        </is>
      </c>
      <c r="E316" s="23" t="n">
        <v>1899</v>
      </c>
    </row>
    <row r="317">
      <c r="A317" s="22" t="inlineStr">
        <is>
          <t>Клуб Рослин</t>
        </is>
      </c>
      <c r="B317" s="22" t="inlineStr">
        <is>
          <t>SR-L-590</t>
        </is>
      </c>
      <c r="C317" s="22" t="inlineStr">
        <is>
          <t>16112</t>
        </is>
      </c>
      <c r="D317" s="22" t="inlineStr">
        <is>
          <t>Планувальник грунту без держака Смарт Рейн / Smart Rain (SR-L-590) Україна</t>
        </is>
      </c>
      <c r="E317" s="23" t="n">
        <v>1899</v>
      </c>
    </row>
    <row r="318">
      <c r="A318" s="22" t="inlineStr">
        <is>
          <t>Водоспад</t>
        </is>
      </c>
      <c r="B318" s="22" t="inlineStr">
        <is>
          <t>R516V</t>
        </is>
      </c>
      <c r="C318" s="22" t="inlineStr">
        <is>
          <t>40920</t>
        </is>
      </c>
      <c r="D318" s="22" t="inlineStr">
        <is>
          <t>Запасні стопори для сучкоріза P-160 R516V Bahco</t>
        </is>
      </c>
      <c r="E318" s="23" t="n">
        <v>220</v>
      </c>
    </row>
    <row r="319">
      <c r="A319" s="22" t="inlineStr">
        <is>
          <t>Клуб Рослин</t>
        </is>
      </c>
      <c r="B319" s="22" t="inlineStr">
        <is>
          <t>R516V</t>
        </is>
      </c>
      <c r="C319" s="22" t="inlineStr">
        <is>
          <t>8557</t>
        </is>
      </c>
      <c r="D319" s="22" t="inlineStr">
        <is>
          <t>Запасні стопори для сучкоріза P-160 R516V Bahco</t>
        </is>
      </c>
      <c r="E319" s="23" t="n">
        <v>220</v>
      </c>
    </row>
    <row r="320">
      <c r="A320" s="22" t="inlineStr">
        <is>
          <t>Водоспад</t>
        </is>
      </c>
      <c r="B320" s="22" t="inlineStr">
        <is>
          <t>4212-14-6T</t>
        </is>
      </c>
      <c r="C320" s="22" t="inlineStr">
        <is>
          <t>36818</t>
        </is>
      </c>
      <c r="D320" s="22" t="inlineStr">
        <is>
          <t>Садова обрізна пила Bahco 4212-14-6T (з переточуваними зубами) 360 мм</t>
        </is>
      </c>
      <c r="E320" s="23" t="n">
        <v>990</v>
      </c>
    </row>
    <row r="321">
      <c r="A321" s="22" t="inlineStr">
        <is>
          <t>Водоспад</t>
        </is>
      </c>
      <c r="B321" s="22" t="inlineStr">
        <is>
          <t>CUC-0.4-360</t>
        </is>
      </c>
      <c r="C321" s="22" t="inlineStr">
        <is>
          <t>37106</t>
        </is>
      </c>
      <c r="D321" s="22" t="inlineStr">
        <is>
          <t>Сокира туристична Bahco CUC-0.4-360 Бахо</t>
        </is>
      </c>
      <c r="E321" s="23" t="n">
        <v>950</v>
      </c>
    </row>
    <row r="322">
      <c r="A322" s="22" t="inlineStr">
        <is>
          <t>Клуб Рослин</t>
        </is>
      </c>
      <c r="B322" s="22" t="inlineStr">
        <is>
          <t>CUC-0.4-360</t>
        </is>
      </c>
      <c r="C322" s="22" t="inlineStr">
        <is>
          <t>12336</t>
        </is>
      </c>
      <c r="D322" s="22" t="inlineStr">
        <is>
          <t>Сокира туристична Bahco CUC-0.4-360 Бахо</t>
        </is>
      </c>
      <c r="E322" s="23" t="n">
        <v>1850</v>
      </c>
    </row>
    <row r="323">
      <c r="A323" s="22" t="inlineStr">
        <is>
          <t>Водоспад</t>
        </is>
      </c>
      <c r="B323" s="22" t="inlineStr">
        <is>
          <t>P51-SL</t>
        </is>
      </c>
      <c r="C323" s="22" t="inlineStr">
        <is>
          <t>32554</t>
        </is>
      </c>
      <c r="D323" s="22" t="inlineStr">
        <is>
          <t>Кущоріз BAHCO P51-SL Бахо</t>
        </is>
      </c>
      <c r="E323" s="23" t="n">
        <v>2890</v>
      </c>
    </row>
    <row r="324">
      <c r="A324" s="22" t="inlineStr">
        <is>
          <t>Водоспад</t>
        </is>
      </c>
      <c r="B324" s="22" t="inlineStr">
        <is>
          <t>5016/L-SX</t>
        </is>
      </c>
      <c r="C324" s="22" t="inlineStr">
        <is>
          <t>42663</t>
        </is>
      </c>
      <c r="D324" s="22" t="inlineStr">
        <is>
          <t>Ніж для щеплення універсальний для шульги високовуглецева сталь Антоніні / Antonini (5016/L-SX) Італія</t>
        </is>
      </c>
      <c r="E324" s="23" t="n">
        <v>1260</v>
      </c>
    </row>
    <row r="325">
      <c r="A325" s="22" t="inlineStr">
        <is>
          <t>Клуб Рослин</t>
        </is>
      </c>
      <c r="B325" s="22" t="inlineStr">
        <is>
          <t>5016/L-SX</t>
        </is>
      </c>
      <c r="C325" s="22" t="inlineStr">
        <is>
          <t>10811</t>
        </is>
      </c>
      <c r="D325" s="22" t="inlineStr">
        <is>
          <t>Ніж для щеплення універсальний для шульги високовуглецева сталь Антоніні / Antonini (5016/L-SX) Італія</t>
        </is>
      </c>
      <c r="E325" s="23" t="n">
        <v>1250</v>
      </c>
    </row>
    <row r="326">
      <c r="A326" s="22" t="inlineStr">
        <is>
          <t>Водоспад</t>
        </is>
      </c>
      <c r="B326" s="22" t="inlineStr">
        <is>
          <t>3555.B</t>
        </is>
      </c>
      <c r="C326" s="22" t="inlineStr">
        <is>
          <t>39929</t>
        </is>
      </c>
      <c r="D326" s="22" t="inlineStr">
        <is>
          <t>Ножиці для трави 350 мм Bellota (3555.B) Іспанія</t>
        </is>
      </c>
      <c r="E326" s="23" t="n">
        <v>1029</v>
      </c>
    </row>
    <row r="327">
      <c r="A327" s="22" t="inlineStr">
        <is>
          <t>Водоспад</t>
        </is>
      </c>
      <c r="B327" s="22" t="inlineStr">
        <is>
          <t>5526.B</t>
        </is>
      </c>
      <c r="C327" s="22" t="inlineStr">
        <is>
          <t>32899</t>
        </is>
      </c>
      <c r="D327" s="22" t="inlineStr">
        <is>
          <t>Саперна лопата Bellota 5526.B Іспанія</t>
        </is>
      </c>
      <c r="E327" s="23" t="n">
        <v>649</v>
      </c>
    </row>
    <row r="328">
      <c r="A328" s="22" t="inlineStr">
        <is>
          <t>Водоспад</t>
        </is>
      </c>
      <c r="B328" s="22" t="inlineStr">
        <is>
          <t>1014808</t>
        </is>
      </c>
      <c r="C328" s="22" t="inlineStr">
        <is>
          <t>39651</t>
        </is>
      </c>
      <c r="D328" s="22" t="inlineStr">
        <is>
          <t>Лопата штикова Фіскарс Fiskars Solid 1014808 (1024542) Фінляндія</t>
        </is>
      </c>
      <c r="E328" s="23" t="n">
        <v>999</v>
      </c>
    </row>
    <row r="329">
      <c r="A329" s="22" t="inlineStr">
        <is>
          <t>Водоспад</t>
        </is>
      </c>
      <c r="B329" s="22" t="inlineStr">
        <is>
          <t>6b066216-abbb-11ee-bf43-c87f546feb15</t>
        </is>
      </c>
      <c r="C329" s="22" t="inlineStr">
        <is>
          <t>39651</t>
        </is>
      </c>
      <c r="D329" s="22" t="inlineStr">
        <is>
          <t>Лопата штикова Фіскарс Fiskars Solid 1024542 (1014808) Фінляндія</t>
        </is>
      </c>
      <c r="E329" s="23" t="n">
        <v>999</v>
      </c>
    </row>
    <row r="330">
      <c r="A330" s="22" t="inlineStr">
        <is>
          <t>Водоспад</t>
        </is>
      </c>
      <c r="B330" s="22" t="inlineStr">
        <is>
          <t>5010003N</t>
        </is>
      </c>
      <c r="C330" s="22" t="inlineStr">
        <is>
          <t>37475</t>
        </is>
      </c>
      <c r="D330" s="22" t="inlineStr">
        <is>
          <t>Мастика Арборін / Arborinn 1 кг для холодного щеплення (5010003N) AgriChem Італія</t>
        </is>
      </c>
      <c r="E330" s="23" t="n">
        <v>759</v>
      </c>
    </row>
    <row r="331">
      <c r="A331" s="22" t="inlineStr">
        <is>
          <t>Водоспад</t>
        </is>
      </c>
      <c r="B331" s="22" t="inlineStr">
        <is>
          <t>2C_387/20</t>
        </is>
      </c>
      <c r="C331" s="22" t="inlineStr">
        <is>
          <t>40750</t>
        </is>
      </c>
      <c r="D331" s="22" t="inlineStr">
        <is>
          <t>Секатор з храповим механізмом Due Cigni 200 мм (2C_387/20) Італія</t>
        </is>
      </c>
      <c r="E331" s="23" t="n">
        <v>899</v>
      </c>
    </row>
    <row r="332">
      <c r="A332" s="22" t="inlineStr">
        <is>
          <t>Водоспад</t>
        </is>
      </c>
      <c r="B332" s="22" t="inlineStr">
        <is>
          <t>20.100</t>
        </is>
      </c>
      <c r="C332" s="22" t="inlineStr">
        <is>
          <t>32735</t>
        </is>
      </c>
      <c r="D332" s="22" t="inlineStr">
        <is>
          <t>Cучкоріз Lowe Original 20.100 з наковаделком Льове Німеччина</t>
        </is>
      </c>
      <c r="E332" s="23" t="n">
        <v>5500</v>
      </c>
    </row>
    <row r="333">
      <c r="A333" s="22" t="inlineStr">
        <is>
          <t>Водоспад</t>
        </is>
      </c>
      <c r="B333" s="22" t="inlineStr">
        <is>
          <t>1.104</t>
        </is>
      </c>
      <c r="C333" s="22" t="inlineStr">
        <is>
          <t>32329</t>
        </is>
      </c>
      <c r="D333" s="22" t="inlineStr">
        <is>
          <t>LOWE Original 1.104 Секатор з ковадлом Німеччина</t>
        </is>
      </c>
      <c r="E333" s="23" t="n">
        <v>2220</v>
      </c>
    </row>
    <row r="334">
      <c r="A334" s="22" t="inlineStr">
        <is>
          <t>Водоспад</t>
        </is>
      </c>
      <c r="B334" s="22" t="inlineStr">
        <is>
          <t>10.107</t>
        </is>
      </c>
      <c r="C334" s="22" t="inlineStr">
        <is>
          <t>38035</t>
        </is>
      </c>
      <c r="D334" s="22" t="inlineStr">
        <is>
          <t>LOWE Original 10.107 Секатор з ковадлом Німеччина</t>
        </is>
      </c>
      <c r="E334" s="23" t="n">
        <v>2450</v>
      </c>
    </row>
    <row r="335">
      <c r="A335" s="22" t="inlineStr">
        <is>
          <t>Водоспад</t>
        </is>
      </c>
      <c r="B335" s="22" t="inlineStr">
        <is>
          <t>5.124</t>
        </is>
      </c>
      <c r="C335" s="22" t="inlineStr">
        <is>
          <t>32339</t>
        </is>
      </c>
      <c r="D335" s="22" t="inlineStr">
        <is>
          <t>LOWE Original 5.124 Маленький секатор з ковадлом Німеччина</t>
        </is>
      </c>
      <c r="E335" s="23" t="n">
        <v>1950</v>
      </c>
    </row>
    <row r="336">
      <c r="A336" s="22" t="inlineStr">
        <is>
          <t>Водоспад</t>
        </is>
      </c>
      <c r="B336" s="22" t="inlineStr">
        <is>
          <t>20001</t>
        </is>
      </c>
      <c r="C336" s="22" t="inlineStr">
        <is>
          <t>32781</t>
        </is>
      </c>
      <c r="D336" s="22" t="inlineStr">
        <is>
          <t>Lowe 20001 Робоче лезо для сучкоріза Німеччина</t>
        </is>
      </c>
      <c r="E336" s="23" t="n">
        <v>1690</v>
      </c>
    </row>
    <row r="337">
      <c r="A337" s="22" t="inlineStr">
        <is>
          <t>Клуб Рослин</t>
        </is>
      </c>
      <c r="B337" s="22" t="inlineStr">
        <is>
          <t>20001</t>
        </is>
      </c>
      <c r="C337" s="22" t="inlineStr">
        <is>
          <t>10446</t>
        </is>
      </c>
      <c r="D337" s="22" t="inlineStr">
        <is>
          <t>Lowe 20001 Робоче лезо для сучкоріза Німеччина</t>
        </is>
      </c>
      <c r="E337" s="23" t="n">
        <v>1690</v>
      </c>
    </row>
    <row r="338">
      <c r="A338" s="22" t="inlineStr">
        <is>
          <t>Водоспад</t>
        </is>
      </c>
      <c r="B338" s="22" t="inlineStr">
        <is>
          <t>20002</t>
        </is>
      </c>
      <c r="C338" s="22" t="inlineStr">
        <is>
          <t>32782</t>
        </is>
      </c>
      <c r="D338" s="22" t="inlineStr">
        <is>
          <t>Lowe 20002 Опорна наковаленка Німеччина</t>
        </is>
      </c>
      <c r="E338" s="23" t="n">
        <v>550</v>
      </c>
    </row>
    <row r="339">
      <c r="A339" s="22" t="inlineStr">
        <is>
          <t>Клуб Рослин</t>
        </is>
      </c>
      <c r="B339" s="22" t="inlineStr">
        <is>
          <t>20002</t>
        </is>
      </c>
      <c r="C339" s="22" t="inlineStr">
        <is>
          <t>10089</t>
        </is>
      </c>
      <c r="D339" s="22" t="inlineStr">
        <is>
          <t>Lowe 20002 Опорна наковаленка Німеччина</t>
        </is>
      </c>
      <c r="E339" s="23" t="n">
        <v>550</v>
      </c>
    </row>
    <row r="340">
      <c r="A340" s="22" t="inlineStr">
        <is>
          <t>Водоспад</t>
        </is>
      </c>
      <c r="B340" s="22" t="inlineStr">
        <is>
          <t>22001</t>
        </is>
      </c>
      <c r="C340" s="22" t="inlineStr">
        <is>
          <t>32794</t>
        </is>
      </c>
      <c r="D340" s="22" t="inlineStr">
        <is>
          <t>Lowe 22001 Робоче лезо для сучкоріза Німеччина</t>
        </is>
      </c>
      <c r="E340" s="23" t="n">
        <v>1790</v>
      </c>
    </row>
    <row r="341">
      <c r="A341" s="22" t="inlineStr">
        <is>
          <t>Клуб Рослин</t>
        </is>
      </c>
      <c r="B341" s="22" t="inlineStr">
        <is>
          <t>22001</t>
        </is>
      </c>
      <c r="C341" s="22" t="inlineStr">
        <is>
          <t>10447</t>
        </is>
      </c>
      <c r="D341" s="22" t="inlineStr">
        <is>
          <t>Lowe 22001 Робоче лезо для сучкоріза Німеччина</t>
        </is>
      </c>
      <c r="E341" s="23" t="n">
        <v>1790</v>
      </c>
    </row>
    <row r="342">
      <c r="A342" s="22" t="inlineStr">
        <is>
          <t>Водоспад</t>
        </is>
      </c>
      <c r="B342" s="22" t="inlineStr">
        <is>
          <t>22002</t>
        </is>
      </c>
      <c r="C342" s="22" t="inlineStr">
        <is>
          <t>32795</t>
        </is>
      </c>
      <c r="D342" s="22" t="inlineStr">
        <is>
          <t>Lowe 22002 Опорна наковаленка Німеччина</t>
        </is>
      </c>
      <c r="E342" s="23" t="n">
        <v>595</v>
      </c>
    </row>
    <row r="343">
      <c r="A343" s="22" t="inlineStr">
        <is>
          <t>Клуб Рослин</t>
        </is>
      </c>
      <c r="B343" s="22" t="inlineStr">
        <is>
          <t>22002</t>
        </is>
      </c>
      <c r="C343" s="22" t="inlineStr">
        <is>
          <t>10090</t>
        </is>
      </c>
      <c r="D343" s="22" t="inlineStr">
        <is>
          <t>Lowe 22002 Опорна наковаленка Німеччина</t>
        </is>
      </c>
      <c r="E343" s="23" t="n">
        <v>595</v>
      </c>
    </row>
    <row r="344">
      <c r="A344" s="22" t="inlineStr">
        <is>
          <t>Водоспад</t>
        </is>
      </c>
      <c r="B344" s="22" t="inlineStr">
        <is>
          <t>31.060</t>
        </is>
      </c>
      <c r="C344" s="22" t="inlineStr">
        <is>
          <t>32743</t>
        </is>
      </c>
      <c r="D344" s="22" t="inlineStr">
        <is>
          <t>Lowe Original 31.060 Гілкоріз садовий малий Німеччина</t>
        </is>
      </c>
      <c r="E344" s="23" t="n">
        <v>3950</v>
      </c>
    </row>
    <row r="345">
      <c r="A345" s="22" t="inlineStr">
        <is>
          <t>Водоспад</t>
        </is>
      </c>
      <c r="B345" s="22" t="inlineStr">
        <is>
          <t>23FIPEBIO4</t>
        </is>
      </c>
      <c r="C345" s="22" t="inlineStr">
        <is>
          <t>42381</t>
        </is>
      </c>
      <c r="D345" s="22" t="inlineStr">
        <is>
          <t>Агротрубка (кембрик) Bio Filo 4 мм 0.5 кг 100 м Cordioli (23FIPEBIO4) Італія</t>
        </is>
      </c>
      <c r="E345" s="23" t="n">
        <v>550</v>
      </c>
    </row>
    <row r="346">
      <c r="A346" s="22" t="inlineStr">
        <is>
          <t>Водоспад</t>
        </is>
      </c>
      <c r="B346" s="22" t="inlineStr">
        <is>
          <t>23FIPEGRVS7</t>
        </is>
      </c>
      <c r="C346" s="22" t="inlineStr">
        <is>
          <t>40866</t>
        </is>
      </c>
      <c r="D346" s="22" t="inlineStr">
        <is>
          <t>Агротрубка (кембрик) для підв`язки рослин 7 мм 1 кг 75 м Super extra cordioli (23FIPEGRVS7) Італія</t>
        </is>
      </c>
      <c r="E346" s="23" t="n">
        <v>375</v>
      </c>
    </row>
    <row r="347">
      <c r="A347" s="22" t="inlineStr">
        <is>
          <t>Клуб Рослин</t>
        </is>
      </c>
      <c r="B347" s="22" t="inlineStr">
        <is>
          <t>3642.B</t>
        </is>
      </c>
      <c r="C347" s="22" t="inlineStr">
        <is>
          <t>8663</t>
        </is>
      </c>
      <c r="D347" s="22" t="inlineStr">
        <is>
          <t>Брусок точильний (3642.B) Bellota Іспанія</t>
        </is>
      </c>
      <c r="E347" s="23" t="n">
        <v>715</v>
      </c>
    </row>
    <row r="348">
      <c r="A348" s="22" t="inlineStr">
        <is>
          <t>Водоспад</t>
        </is>
      </c>
      <c r="B348" s="22" t="inlineStr">
        <is>
          <t>1003458</t>
        </is>
      </c>
      <c r="C348" s="22" t="inlineStr">
        <is>
          <t>32684</t>
        </is>
      </c>
      <c r="D348" s="22" t="inlineStr">
        <is>
          <t>Вила Фискарс Fiskars Solid 122 см (1003458) Фінляндія</t>
        </is>
      </c>
      <c r="E348" s="23" t="n">
        <v>1199</v>
      </c>
    </row>
    <row r="349">
      <c r="A349" s="22" t="inlineStr">
        <is>
          <t>Водоспад</t>
        </is>
      </c>
      <c r="B349" s="22" t="inlineStr">
        <is>
          <t>77db850b-abbb-11ee-bf43-c87f546feb15</t>
        </is>
      </c>
      <c r="C349" s="22" t="inlineStr">
        <is>
          <t>32684</t>
        </is>
      </c>
      <c r="D349" s="22" t="inlineStr">
        <is>
          <t>Вила Фискарс Fiskars Solid 122см (1003458) Фінляндія</t>
        </is>
      </c>
      <c r="E349" s="23" t="n">
        <v>1199</v>
      </c>
    </row>
    <row r="350">
      <c r="A350" s="22" t="inlineStr">
        <is>
          <t>Клуб Рослин</t>
        </is>
      </c>
      <c r="B350" s="22" t="inlineStr">
        <is>
          <t>290</t>
        </is>
      </c>
      <c r="C350" s="22" t="inlineStr">
        <is>
          <t>14930</t>
        </is>
      </c>
      <c r="D350" s="22" t="inlineStr">
        <is>
          <t>Висоторіз телескопічний 170-270 см Фелко / Felco (290) Швейцарія</t>
        </is>
      </c>
      <c r="E350" s="23" t="n">
        <v>9650</v>
      </c>
    </row>
    <row r="351">
      <c r="A351" s="22" t="inlineStr">
        <is>
          <t>Клуб Рослин</t>
        </is>
      </c>
      <c r="B351" s="22" t="inlineStr">
        <is>
          <t>951-20.B</t>
        </is>
      </c>
      <c r="C351" s="22" t="inlineStr">
        <is>
          <t>8905</t>
        </is>
      </c>
      <c r="D351" s="22" t="inlineStr">
        <is>
          <t>Граблі професійні 542 мм без держака Bellota 951-20.B Іспанія</t>
        </is>
      </c>
      <c r="E351" s="23" t="n">
        <v>640</v>
      </c>
    </row>
    <row r="352">
      <c r="A352" s="22" t="inlineStr">
        <is>
          <t>Клуб Рослин</t>
        </is>
      </c>
      <c r="B352" s="22" t="inlineStr">
        <is>
          <t>120500200106</t>
        </is>
      </c>
      <c r="C352" s="22" t="inlineStr">
        <is>
          <t>11132</t>
        </is>
      </c>
      <c r="D352" s="22" t="inlineStr">
        <is>
          <t>Графітовий олівець Lyra чорний 3.5 мм (120500200106)</t>
        </is>
      </c>
      <c r="E352" s="23" t="n">
        <v>89</v>
      </c>
    </row>
    <row r="353">
      <c r="A353" s="22" t="inlineStr">
        <is>
          <t>Водоспад</t>
        </is>
      </c>
      <c r="B353" s="22" t="inlineStr">
        <is>
          <t>FAL8099</t>
        </is>
      </c>
      <c r="C353" s="22" t="inlineStr">
        <is>
          <t>41191</t>
        </is>
      </c>
      <c r="D353" s="22" t="inlineStr">
        <is>
          <t>Гілкоріз 80 см 990 г 40 мм Falket / Фалкет (FAL8099) Італія</t>
        </is>
      </c>
      <c r="E353" s="23" t="n">
        <v>2599</v>
      </c>
    </row>
    <row r="354">
      <c r="A354" s="22" t="inlineStr">
        <is>
          <t>Водоспад</t>
        </is>
      </c>
      <c r="B354" s="22" t="inlineStr">
        <is>
          <t>P160-SL-60</t>
        </is>
      </c>
      <c r="C354" s="22" t="inlineStr">
        <is>
          <t>33648</t>
        </is>
      </c>
      <c r="D354" s="22" t="inlineStr">
        <is>
          <t>Гілкоріз Bahco P160-SL-60 довжина 60 см</t>
        </is>
      </c>
      <c r="E354" s="23" t="n">
        <v>3950</v>
      </c>
    </row>
    <row r="355">
      <c r="A355" s="22" t="inlineStr">
        <is>
          <t>Клуб Рослин</t>
        </is>
      </c>
      <c r="B355" s="22" t="inlineStr">
        <is>
          <t>P160-SL-60</t>
        </is>
      </c>
      <c r="C355" s="22" t="inlineStr">
        <is>
          <t>12483</t>
        </is>
      </c>
      <c r="D355" s="22" t="inlineStr">
        <is>
          <t>Гілкоріз Bahco P160-SL-60 довжина 60 см</t>
        </is>
      </c>
      <c r="E355" s="23" t="n">
        <v>3950</v>
      </c>
    </row>
    <row r="356">
      <c r="A356" s="22" t="inlineStr">
        <is>
          <t>Водоспад</t>
        </is>
      </c>
      <c r="B356" s="22" t="inlineStr">
        <is>
          <t>P160-SL-90</t>
        </is>
      </c>
      <c r="C356" s="22" t="inlineStr">
        <is>
          <t>31959</t>
        </is>
      </c>
      <c r="D356" s="22" t="inlineStr">
        <is>
          <t>Гілкоріз Bahco P160-SL-90 довжина ручок 900 мм для обрізки саду</t>
        </is>
      </c>
      <c r="E356" s="23" t="n">
        <v>4290</v>
      </c>
    </row>
    <row r="357">
      <c r="A357" s="22" t="inlineStr">
        <is>
          <t>Клуб Рослин</t>
        </is>
      </c>
      <c r="B357" s="22" t="inlineStr">
        <is>
          <t>P160-SL-90</t>
        </is>
      </c>
      <c r="C357" s="22" t="inlineStr">
        <is>
          <t>12485</t>
        </is>
      </c>
      <c r="D357" s="22" t="inlineStr">
        <is>
          <t>Гілкоріз Bahco P160-SL-90 довжина ручок 900 мм для обрізки саду</t>
        </is>
      </c>
      <c r="E357" s="23" t="n">
        <v>4290</v>
      </c>
    </row>
    <row r="358">
      <c r="A358" s="22" t="inlineStr">
        <is>
          <t>Водоспад</t>
        </is>
      </c>
      <c r="B358" s="22" t="inlineStr">
        <is>
          <t>P280-SL-80</t>
        </is>
      </c>
      <c r="C358" s="22" t="inlineStr">
        <is>
          <t>31966</t>
        </is>
      </c>
      <c r="D358" s="22" t="inlineStr">
        <is>
          <t>Гілкоріз Bahco P280-SL-80</t>
        </is>
      </c>
      <c r="E358" s="23" t="n">
        <v>3090</v>
      </c>
    </row>
    <row r="359">
      <c r="A359" s="22" t="inlineStr">
        <is>
          <t>Клуб Рослин</t>
        </is>
      </c>
      <c r="B359" s="22" t="inlineStr">
        <is>
          <t>P280-SL-80</t>
        </is>
      </c>
      <c r="C359" s="22" t="inlineStr">
        <is>
          <t>15795</t>
        </is>
      </c>
      <c r="D359" s="22" t="inlineStr">
        <is>
          <t>Гілкоріз Bahco P280-SL-80</t>
        </is>
      </c>
      <c r="E359" s="23" t="n">
        <v>3090</v>
      </c>
    </row>
    <row r="360">
      <c r="A360" s="22" t="inlineStr">
        <is>
          <t>Водоспад</t>
        </is>
      </c>
      <c r="B360" s="22" t="inlineStr">
        <is>
          <t>21.080</t>
        </is>
      </c>
      <c r="C360" s="22" t="inlineStr">
        <is>
          <t>32455</t>
        </is>
      </c>
      <c r="D360" s="22" t="inlineStr">
        <is>
          <t>Гілкоріз Lowe Original 21.080 професійний обхідний Німеччина</t>
        </is>
      </c>
      <c r="E360" s="23" t="n">
        <v>5490</v>
      </c>
    </row>
    <row r="361">
      <c r="A361" s="22" t="inlineStr">
        <is>
          <t>Водоспад</t>
        </is>
      </c>
      <c r="B361" s="22" t="inlineStr">
        <is>
          <t>22.080</t>
        </is>
      </c>
      <c r="C361" s="22" t="inlineStr">
        <is>
          <t>32333</t>
        </is>
      </c>
      <c r="D361" s="22" t="inlineStr">
        <is>
          <t>Гілкоріз Lowe Original 22.080 з наковаленкою, вигнуте лезо Льові Німеччина</t>
        </is>
      </c>
      <c r="E361" s="23" t="n">
        <v>5490</v>
      </c>
    </row>
    <row r="362">
      <c r="A362" s="22" t="inlineStr">
        <is>
          <t>Водоспад</t>
        </is>
      </c>
      <c r="B362" s="22" t="inlineStr">
        <is>
          <t>22.100</t>
        </is>
      </c>
      <c r="C362" s="22" t="inlineStr">
        <is>
          <t>32749</t>
        </is>
      </c>
      <c r="D362" s="22" t="inlineStr">
        <is>
          <t>Гілкоріз Lowe Original 22.100 з наковаленкою, вигнуте лезо Льові Німеччина</t>
        </is>
      </c>
      <c r="E362" s="23" t="n">
        <v>5600</v>
      </c>
    </row>
    <row r="363">
      <c r="A363" s="22" t="inlineStr">
        <is>
          <t>Водоспад</t>
        </is>
      </c>
      <c r="B363" s="22" t="inlineStr">
        <is>
          <t>210A-60</t>
        </is>
      </c>
      <c r="C363" s="22" t="inlineStr">
        <is>
          <t>32403</t>
        </is>
      </c>
      <c r="D363" s="22" t="inlineStr">
        <is>
          <t>Гілкоріз Фелко / Felco 210A-60 Швейцарія</t>
        </is>
      </c>
      <c r="E363" s="23" t="n">
        <v>4990</v>
      </c>
    </row>
    <row r="364">
      <c r="A364" s="22" t="inlineStr">
        <is>
          <t>Клуб Рослин</t>
        </is>
      </c>
      <c r="B364" s="22" t="inlineStr">
        <is>
          <t>210A-60</t>
        </is>
      </c>
      <c r="C364" s="22" t="inlineStr">
        <is>
          <t>12522</t>
        </is>
      </c>
      <c r="D364" s="22" t="inlineStr">
        <is>
          <t>Гілкоріз Фелко / Felco 210A-60 Швейцарія</t>
        </is>
      </c>
      <c r="E364" s="23" t="n">
        <v>4990</v>
      </c>
    </row>
    <row r="365">
      <c r="A365" s="22" t="inlineStr">
        <is>
          <t>Водоспад</t>
        </is>
      </c>
      <c r="B365" s="22" t="inlineStr">
        <is>
          <t>210А-60</t>
        </is>
      </c>
      <c r="C365" s="22" t="inlineStr">
        <is>
          <t>32403</t>
        </is>
      </c>
      <c r="D365" s="22" t="inlineStr">
        <is>
          <t>Гілкоріз Фелко / Felco 210A-60 Швейцарія</t>
        </is>
      </c>
      <c r="E365" s="23" t="n">
        <v>4990</v>
      </c>
    </row>
    <row r="366">
      <c r="A366" s="22" t="inlineStr">
        <is>
          <t>Клуб Рослин</t>
        </is>
      </c>
      <c r="B366" s="22" t="inlineStr">
        <is>
          <t>210А-60</t>
        </is>
      </c>
      <c r="C366" s="22" t="inlineStr">
        <is>
          <t>12522</t>
        </is>
      </c>
      <c r="D366" s="22" t="inlineStr">
        <is>
          <t>Гілкоріз Фелко / Felco 210A-60 Швейцарія</t>
        </is>
      </c>
      <c r="E366" s="23" t="n">
        <v>4990</v>
      </c>
    </row>
    <row r="367">
      <c r="A367" s="22" t="inlineStr">
        <is>
          <t>Водоспад</t>
        </is>
      </c>
      <c r="B367" s="22" t="inlineStr">
        <is>
          <t>210C-60</t>
        </is>
      </c>
      <c r="C367" s="22" t="inlineStr">
        <is>
          <t>38557</t>
        </is>
      </c>
      <c r="D367" s="22" t="inlineStr">
        <is>
          <t>Гілкоріз Фелко / Felco 210C-60 Швейцарія</t>
        </is>
      </c>
      <c r="E367" s="23" t="n">
        <v>5300</v>
      </c>
    </row>
    <row r="368">
      <c r="A368" s="22" t="inlineStr">
        <is>
          <t>Водоспад</t>
        </is>
      </c>
      <c r="B368" s="22" t="inlineStr">
        <is>
          <t>N22.065</t>
        </is>
      </c>
      <c r="C368" s="22" t="inlineStr">
        <is>
          <t>43330</t>
        </is>
      </c>
      <c r="D368" s="22" t="inlineStr">
        <is>
          <t>Гілкоріз з ковадлом Lowe Natural Series (N22.065) Німеччина</t>
        </is>
      </c>
      <c r="E368" s="23" t="n">
        <v>7399</v>
      </c>
    </row>
    <row r="369">
      <c r="A369" s="22" t="inlineStr">
        <is>
          <t>Водоспад</t>
        </is>
      </c>
      <c r="B369" s="22" t="inlineStr">
        <is>
          <t>LPA-30L</t>
        </is>
      </c>
      <c r="C369" s="22" t="inlineStr">
        <is>
          <t>38733</t>
        </is>
      </c>
      <c r="D369" s="22" t="inlineStr">
        <is>
          <t>Гілкоріз з храповим механізмом АРС / ARS (LPA-30L) Японія</t>
        </is>
      </c>
      <c r="E369" s="23" t="n">
        <v>5499</v>
      </c>
    </row>
    <row r="370">
      <c r="A370" s="22" t="inlineStr">
        <is>
          <t>Водоспад</t>
        </is>
      </c>
      <c r="B370" s="22" t="inlineStr">
        <is>
          <t>FAL10099</t>
        </is>
      </c>
      <c r="C370" s="22" t="inlineStr">
        <is>
          <t>41190</t>
        </is>
      </c>
      <c r="D370" s="22" t="inlineStr">
        <is>
          <t>Гілкоріз обвідний Falket / Фалкет (FAL10099) Італія</t>
        </is>
      </c>
      <c r="E370" s="23" t="n">
        <v>2799</v>
      </c>
    </row>
    <row r="371">
      <c r="A371" s="22" t="inlineStr">
        <is>
          <t>Водоспад</t>
        </is>
      </c>
      <c r="B371" s="22" t="inlineStr">
        <is>
          <t>N21.065</t>
        </is>
      </c>
      <c r="C371" s="22" t="inlineStr">
        <is>
          <t>43331</t>
        </is>
      </c>
      <c r="D371" s="22" t="inlineStr">
        <is>
          <t>Гілкоріз обвідний Lowe Natural Series (N21.065) Німеччина</t>
        </is>
      </c>
      <c r="E371" s="23" t="n">
        <v>7399</v>
      </c>
    </row>
    <row r="372">
      <c r="A372" s="22" t="inlineStr">
        <is>
          <t>Водоспад</t>
        </is>
      </c>
      <c r="B372" s="22" t="inlineStr">
        <is>
          <t>LPB-20L</t>
        </is>
      </c>
      <c r="C372" s="22" t="inlineStr">
        <is>
          <t>38734</t>
        </is>
      </c>
      <c r="D372" s="22" t="inlineStr">
        <is>
          <t>Гілкоріз обвідний АРС / ARS (LPB-20L) Японія</t>
        </is>
      </c>
      <c r="E372" s="23" t="n">
        <v>3720</v>
      </c>
    </row>
    <row r="373">
      <c r="A373" s="22" t="inlineStr">
        <is>
          <t>Водоспад</t>
        </is>
      </c>
      <c r="B373" s="22" t="inlineStr">
        <is>
          <t>LPB-20M</t>
        </is>
      </c>
      <c r="C373" s="22" t="inlineStr">
        <is>
          <t>38735</t>
        </is>
      </c>
      <c r="D373" s="22" t="inlineStr">
        <is>
          <t>Гілкоріз обвідний АРС / ARS (LPB-20M) Японія</t>
        </is>
      </c>
      <c r="E373" s="23" t="n">
        <v>3480</v>
      </c>
    </row>
    <row r="374">
      <c r="A374" s="22" t="inlineStr">
        <is>
          <t>Водоспад</t>
        </is>
      </c>
      <c r="B374" s="22" t="inlineStr">
        <is>
          <t>LPB-30L</t>
        </is>
      </c>
      <c r="C374" s="22" t="inlineStr">
        <is>
          <t>33508</t>
        </is>
      </c>
      <c r="D374" s="22" t="inlineStr">
        <is>
          <t>Гілкоріз обвідний АРС / ARS (LPB-30L) Японія</t>
        </is>
      </c>
      <c r="E374" s="23" t="n">
        <v>3880</v>
      </c>
    </row>
    <row r="375">
      <c r="A375" s="22" t="inlineStr">
        <is>
          <t>Водоспад</t>
        </is>
      </c>
      <c r="B375" s="22" t="inlineStr">
        <is>
          <t>LPB-30M</t>
        </is>
      </c>
      <c r="C375" s="22" t="inlineStr">
        <is>
          <t>38736</t>
        </is>
      </c>
      <c r="D375" s="22" t="inlineStr">
        <is>
          <t>Гілкоріз обвідний АРС / ARS (LPB-30M) Японія</t>
        </is>
      </c>
      <c r="E375" s="23" t="n">
        <v>3647</v>
      </c>
    </row>
    <row r="376">
      <c r="A376" s="22" t="inlineStr">
        <is>
          <t>Водоспад</t>
        </is>
      </c>
      <c r="B376" s="22" t="inlineStr">
        <is>
          <t>N22.080</t>
        </is>
      </c>
      <c r="C376" s="22" t="inlineStr">
        <is>
          <t>43324</t>
        </is>
      </c>
      <c r="D376" s="22" t="inlineStr">
        <is>
          <t>Гілкоріз із ковадлом Lowe Natural Series (N22.080) дерев’яні ручки Німеччина</t>
        </is>
      </c>
      <c r="E376" s="23" t="n">
        <v>7599</v>
      </c>
    </row>
    <row r="377">
      <c r="A377" s="22" t="inlineStr">
        <is>
          <t>Водоспад</t>
        </is>
      </c>
      <c r="B377" s="22" t="inlineStr">
        <is>
          <t>FAL10006</t>
        </is>
      </c>
      <c r="C377" s="22" t="inlineStr">
        <is>
          <t>41186</t>
        </is>
      </c>
      <c r="D377" s="22" t="inlineStr">
        <is>
          <t>Гілкоріз із ковадлом вигнуте лезо Falket / Фалкет (FAL10006) Італія</t>
        </is>
      </c>
      <c r="E377" s="23" t="n">
        <v>3390</v>
      </c>
    </row>
    <row r="378">
      <c r="A378" s="22" t="inlineStr">
        <is>
          <t>Водоспад</t>
        </is>
      </c>
      <c r="B378" s="22" t="inlineStr">
        <is>
          <t>21008</t>
        </is>
      </c>
      <c r="C378" s="22" t="inlineStr">
        <is>
          <t>32793</t>
        </is>
      </c>
      <c r="D378" s="22" t="inlineStr">
        <is>
          <t>Демпфер для гілкорізів серії Lowe 21 (21008) Lowe Німеччина</t>
        </is>
      </c>
      <c r="E378" s="23" t="n">
        <v>510</v>
      </c>
    </row>
    <row r="379">
      <c r="A379" s="22" t="inlineStr">
        <is>
          <t>Водоспад</t>
        </is>
      </c>
      <c r="B379" s="22" t="inlineStr">
        <is>
          <t>KIKUWA-1090</t>
        </is>
      </c>
      <c r="C379" s="22" t="inlineStr">
        <is>
          <t>42655</t>
        </is>
      </c>
      <c r="D379" s="22" t="inlineStr">
        <is>
          <t>Диспенсер для олії камелії Kikuwa Honmamon (1090) Японія</t>
        </is>
      </c>
      <c r="E379" s="23" t="n">
        <v>990</v>
      </c>
    </row>
    <row r="380">
      <c r="A380" s="22" t="inlineStr">
        <is>
          <t>Клуб Рослин</t>
        </is>
      </c>
      <c r="B380" s="22" t="inlineStr">
        <is>
          <t>2е</t>
        </is>
      </c>
      <c r="C380" s="22" t="inlineStr">
        <is>
          <t>17588</t>
        </is>
      </c>
      <c r="D380" s="22" t="inlineStr">
        <is>
          <t>Електросекатор Фелко / Felco 2е з кейсом і рукавичками Швейцарія</t>
        </is>
      </c>
      <c r="E380" s="23" t="n">
        <v>11990</v>
      </c>
    </row>
    <row r="381">
      <c r="A381" s="22" t="inlineStr">
        <is>
          <t>Клуб Рослин</t>
        </is>
      </c>
      <c r="B381" s="22" t="inlineStr">
        <is>
          <t>120500100307</t>
        </is>
      </c>
      <c r="C381" s="22" t="inlineStr">
        <is>
          <t>9516</t>
        </is>
      </c>
      <c r="D381" s="22" t="inlineStr">
        <is>
          <t>Етикетки-петлі для рослин Tyvek білі 1.7 х 22 см 1000 шт Голандія</t>
        </is>
      </c>
      <c r="E381" s="23" t="n">
        <v>1299</v>
      </c>
    </row>
    <row r="382">
      <c r="A382" s="22" t="inlineStr">
        <is>
          <t>Водоспад</t>
        </is>
      </c>
      <c r="B382" s="22" t="inlineStr">
        <is>
          <t>20008</t>
        </is>
      </c>
      <c r="C382" s="22" t="inlineStr">
        <is>
          <t>32784</t>
        </is>
      </c>
      <c r="D382" s="22" t="inlineStr">
        <is>
          <t>Заглушка для сучкоріза Lowe 20/22 (20.008) Німеччина</t>
        </is>
      </c>
      <c r="E382" s="23" t="n">
        <v>270</v>
      </c>
    </row>
    <row r="383">
      <c r="A383" s="22" t="inlineStr">
        <is>
          <t>Клуб Рослин</t>
        </is>
      </c>
      <c r="B383" s="22" t="inlineStr">
        <is>
          <t>20008</t>
        </is>
      </c>
      <c r="C383" s="22" t="inlineStr">
        <is>
          <t>14172</t>
        </is>
      </c>
      <c r="D383" s="22" t="inlineStr">
        <is>
          <t>Заглушка для сучкоріза Lowe 20/22 (20.008) Німеччина</t>
        </is>
      </c>
      <c r="E383" s="23" t="n">
        <v>270</v>
      </c>
    </row>
    <row r="384">
      <c r="A384" s="22" t="inlineStr">
        <is>
          <t>Водоспад</t>
        </is>
      </c>
      <c r="B384" s="22" t="inlineStr">
        <is>
          <t>R160A</t>
        </is>
      </c>
      <c r="C384" s="22" t="inlineStr">
        <is>
          <t>32920</t>
        </is>
      </c>
      <c r="D384" s="22" t="inlineStr">
        <is>
          <t>Запасне лезо для сучкоріза Bahco P-160 R160A</t>
        </is>
      </c>
      <c r="E384" s="23" t="n">
        <v>1160</v>
      </c>
    </row>
    <row r="385">
      <c r="A385" s="22" t="inlineStr">
        <is>
          <t>Водоспад</t>
        </is>
      </c>
      <c r="B385" s="22" t="inlineStr">
        <is>
          <t>VS-8X-2</t>
        </is>
      </c>
      <c r="C385" s="22" t="inlineStr">
        <is>
          <t>38635</t>
        </is>
      </c>
      <c r="D385" s="22" t="inlineStr">
        <is>
          <t>Запасне ріжуче лезо болти та гайки до секаторів ARS VS-8XZ / VS-8XR (VS-8X-2) Японія</t>
        </is>
      </c>
      <c r="E385" s="23" t="n">
        <v>533</v>
      </c>
    </row>
    <row r="386">
      <c r="A386" s="22" t="inlineStr">
        <is>
          <t>Клуб Рослин</t>
        </is>
      </c>
      <c r="B386" s="22" t="inlineStr">
        <is>
          <t>VS-8X-2</t>
        </is>
      </c>
      <c r="C386" s="22" t="inlineStr">
        <is>
          <t>10469</t>
        </is>
      </c>
      <c r="D386" s="22" t="inlineStr">
        <is>
          <t>Запасне ріжуче лезо болти та гайки до секаторів ARS VS-8XZ / VS-8XR (VS-8X-2) Японія</t>
        </is>
      </c>
      <c r="E386" s="23" t="n">
        <v>533</v>
      </c>
    </row>
    <row r="387">
      <c r="A387" s="22" t="inlineStr">
        <is>
          <t>Водоспад</t>
        </is>
      </c>
      <c r="B387" s="22" t="inlineStr">
        <is>
          <t>VS-9X-2</t>
        </is>
      </c>
      <c r="C387" s="22" t="inlineStr">
        <is>
          <t>38636</t>
        </is>
      </c>
      <c r="D387" s="22" t="inlineStr">
        <is>
          <t>Запасне ріжуче лезо гвинти та гайки до секаторів ARS VS-9XZ / VS-9XR (VS-9X-2) Японія</t>
        </is>
      </c>
      <c r="E387" s="23" t="n">
        <v>600</v>
      </c>
    </row>
    <row r="388">
      <c r="A388" s="22" t="inlineStr">
        <is>
          <t>Клуб Рослин</t>
        </is>
      </c>
      <c r="B388" s="22" t="inlineStr">
        <is>
          <t>VS-9X-2</t>
        </is>
      </c>
      <c r="C388" s="22" t="inlineStr">
        <is>
          <t>10471</t>
        </is>
      </c>
      <c r="D388" s="22" t="inlineStr">
        <is>
          <t>Запасне ріжуче лезо гвинти та гайки до секаторів ARS VS-9XZ / VS-9XR (VS-9X-2) Японія</t>
        </is>
      </c>
      <c r="E388" s="23" t="n">
        <v>599</v>
      </c>
    </row>
    <row r="389">
      <c r="A389" s="22" t="inlineStr">
        <is>
          <t>Водоспад</t>
        </is>
      </c>
      <c r="B389" s="22" t="inlineStr">
        <is>
          <t>8001/В</t>
        </is>
      </c>
      <c r="C389" s="22" t="inlineStr">
        <is>
          <t>41153</t>
        </is>
      </c>
      <c r="D389" s="22" t="inlineStr">
        <is>
          <t>Змінне лезо для секаторів LOWE 8 (8001/В)</t>
        </is>
      </c>
      <c r="E389" s="23" t="n">
        <v>850</v>
      </c>
    </row>
    <row r="390">
      <c r="A390" s="22" t="inlineStr">
        <is>
          <t>Водоспад</t>
        </is>
      </c>
      <c r="B390" s="22" t="inlineStr">
        <is>
          <t>00901</t>
        </is>
      </c>
      <c r="C390" s="22" t="inlineStr">
        <is>
          <t>42418</t>
        </is>
      </c>
      <c r="D390" s="22" t="inlineStr">
        <is>
          <t>Камінь точильний карбід кремнію 100х25х13 мм 180/500 Grit Falket / Фалкет (00901) Італія</t>
        </is>
      </c>
      <c r="E390" s="23" t="n">
        <v>450</v>
      </c>
    </row>
    <row r="391">
      <c r="A391" s="22" t="inlineStr">
        <is>
          <t>Водоспад</t>
        </is>
      </c>
      <c r="B391" s="22" t="inlineStr">
        <is>
          <t>1101</t>
        </is>
      </c>
      <c r="C391" s="22" t="inlineStr">
        <is>
          <t>33322</t>
        </is>
      </c>
      <c r="D391" s="22" t="inlineStr">
        <is>
          <t>Камінь точильний натуральний Due Buoi (1101) Італія</t>
        </is>
      </c>
      <c r="E391" s="23" t="n">
        <v>548</v>
      </c>
    </row>
    <row r="392">
      <c r="A392" s="22" t="inlineStr">
        <is>
          <t>Водоспад</t>
        </is>
      </c>
      <c r="B392" s="22" t="inlineStr">
        <is>
          <t>LPB-30-2</t>
        </is>
      </c>
      <c r="C392" s="22" t="inlineStr">
        <is>
          <t>38629</t>
        </is>
      </c>
      <c r="D392" s="22" t="inlineStr">
        <is>
          <t>Контрлезо до сучкорізів ARS LPB-30 S/M/L (LPB-30-2) Японія</t>
        </is>
      </c>
      <c r="E392" s="23" t="n">
        <v>1512</v>
      </c>
    </row>
    <row r="393">
      <c r="A393" s="22" t="inlineStr">
        <is>
          <t>Клуб Рослин</t>
        </is>
      </c>
      <c r="B393" s="22" t="inlineStr">
        <is>
          <t>LPB-30-2</t>
        </is>
      </c>
      <c r="C393" s="22" t="inlineStr">
        <is>
          <t>10281</t>
        </is>
      </c>
      <c r="D393" s="22" t="inlineStr">
        <is>
          <t>Контрлезо до сучкорізів ARS LPB-30 S/M/L (LPB-30-2) Японія</t>
        </is>
      </c>
      <c r="E393" s="23" t="n">
        <v>1512</v>
      </c>
    </row>
    <row r="394">
      <c r="A394" s="22" t="inlineStr">
        <is>
          <t>Клуб Рослин</t>
        </is>
      </c>
      <c r="B394" s="22" t="inlineStr">
        <is>
          <t>2509-22.B</t>
        </is>
      </c>
      <c r="C394" s="22" t="inlineStr">
        <is>
          <t>10315</t>
        </is>
      </c>
      <c r="D394" s="22" t="inlineStr">
        <is>
          <t>Коса 560 мм Bellota 2509-22.B Іспанія</t>
        </is>
      </c>
      <c r="E394" s="23" t="n">
        <v>4290</v>
      </c>
    </row>
    <row r="395">
      <c r="A395" s="22" t="inlineStr">
        <is>
          <t>Клуб Рослин</t>
        </is>
      </c>
      <c r="B395" s="22" t="inlineStr">
        <is>
          <t>2509-26.B</t>
        </is>
      </c>
      <c r="C395" s="22" t="inlineStr">
        <is>
          <t>10316</t>
        </is>
      </c>
      <c r="D395" s="22" t="inlineStr">
        <is>
          <t>Коса 660 мм Bellota 2509-26.B Іспанія</t>
        </is>
      </c>
      <c r="E395" s="23" t="n">
        <v>4679</v>
      </c>
    </row>
    <row r="396">
      <c r="A396" s="22" t="inlineStr">
        <is>
          <t>Водоспад</t>
        </is>
      </c>
      <c r="B396" s="22" t="inlineStr">
        <is>
          <t>FAL7522</t>
        </is>
      </c>
      <c r="C396" s="22" t="inlineStr">
        <is>
          <t>41179</t>
        </is>
      </c>
      <c r="D396" s="22" t="inlineStr">
        <is>
          <t>Кусторіз 75 см Falket / Фалкет (FAL7522) Італія</t>
        </is>
      </c>
      <c r="E396" s="23" t="n">
        <v>2820</v>
      </c>
    </row>
    <row r="397">
      <c r="A397" s="22" t="inlineStr">
        <is>
          <t>Водоспад</t>
        </is>
      </c>
      <c r="B397" s="22" t="inlineStr">
        <is>
          <t>4580149743007</t>
        </is>
      </c>
      <c r="C397" s="22" t="inlineStr">
        <is>
          <t>39759</t>
        </is>
      </c>
      <c r="D397" s="22" t="inlineStr">
        <is>
          <t>Кущоріз Azumasyusaku 155 мм SK5 Hanakumagawa (4580149743007) Японія</t>
        </is>
      </c>
      <c r="E397" s="23" t="n">
        <v>1990</v>
      </c>
    </row>
    <row r="398">
      <c r="A398" s="22" t="inlineStr">
        <is>
          <t>Водоспад</t>
        </is>
      </c>
      <c r="B398" s="22" t="inlineStr">
        <is>
          <t>P51H-SL</t>
        </is>
      </c>
      <c r="C398" s="22" t="inlineStr">
        <is>
          <t>33358</t>
        </is>
      </c>
      <c r="D398" s="22" t="inlineStr">
        <is>
          <t>Кущоріз Bahco P51H-SL Бахо</t>
        </is>
      </c>
      <c r="E398" s="23" t="n">
        <v>3690</v>
      </c>
    </row>
    <row r="399">
      <c r="A399" s="22" t="inlineStr">
        <is>
          <t>Водоспад</t>
        </is>
      </c>
      <c r="B399" s="22" t="inlineStr">
        <is>
          <t>4580149742482</t>
        </is>
      </c>
      <c r="C399" s="22" t="inlineStr">
        <is>
          <t>43288</t>
        </is>
      </c>
      <c r="D399" s="22" t="inlineStr">
        <is>
          <t>Кущоріз Shirogami Steel #2 530 мм Hanakumagawa (4580149742482) Японія</t>
        </is>
      </c>
      <c r="E399" s="23" t="n">
        <v>3990</v>
      </c>
    </row>
    <row r="400">
      <c r="A400" s="22" t="inlineStr">
        <is>
          <t>Водоспад</t>
        </is>
      </c>
      <c r="B400" s="22" t="inlineStr">
        <is>
          <t>b7ae5582-dcce-11f0-81e7-e89c257d8b8f</t>
        </is>
      </c>
      <c r="C400" s="22" t="inlineStr">
        <is>
          <t>42860</t>
        </is>
      </c>
      <c r="D400" s="22" t="inlineStr">
        <is>
          <t>Ластик для видалення ірж 50x40x20 мм Наніва / Naniwa (A-903) Японія</t>
        </is>
      </c>
      <c r="E400" s="23" t="n">
        <v>690</v>
      </c>
    </row>
    <row r="401">
      <c r="A401" s="22" t="inlineStr">
        <is>
          <t>Клуб Рослин</t>
        </is>
      </c>
      <c r="B401" s="22" t="inlineStr">
        <is>
          <t>b7ae5582-dcce-11f0-81e7-e89c257d8b8f</t>
        </is>
      </c>
      <c r="C401" s="22" t="inlineStr">
        <is>
          <t>16437</t>
        </is>
      </c>
      <c r="D401" s="22" t="inlineStr">
        <is>
          <t>Ластик для видалення ірж 50x40x20 мм Наніва / Naniwa (A-903) Японія</t>
        </is>
      </c>
      <c r="E401" s="23" t="n">
        <v>690</v>
      </c>
    </row>
    <row r="402">
      <c r="A402" s="22" t="inlineStr">
        <is>
          <t>Водоспад</t>
        </is>
      </c>
      <c r="B402" s="22" t="inlineStr">
        <is>
          <t>A-903</t>
        </is>
      </c>
      <c r="C402" s="22" t="inlineStr">
        <is>
          <t>42860</t>
        </is>
      </c>
      <c r="D402" s="22" t="inlineStr">
        <is>
          <t>Ластик для видалення іржі 50x40x20 мм Наніва / Naniwa (A-903) Японія</t>
        </is>
      </c>
      <c r="E402" s="23" t="n">
        <v>690</v>
      </c>
    </row>
    <row r="403">
      <c r="A403" s="22" t="inlineStr">
        <is>
          <t>Клуб Рослин</t>
        </is>
      </c>
      <c r="B403" s="22" t="inlineStr">
        <is>
          <t>A-903</t>
        </is>
      </c>
      <c r="C403" s="22" t="inlineStr">
        <is>
          <t>16437</t>
        </is>
      </c>
      <c r="D403" s="22" t="inlineStr">
        <is>
          <t>Ластик для видалення іржі 50x40x20 мм Наніва / Naniwa (A-903) Японія</t>
        </is>
      </c>
      <c r="E403" s="23" t="n">
        <v>690</v>
      </c>
    </row>
    <row r="404">
      <c r="A404" s="22" t="inlineStr">
        <is>
          <t>Водоспад</t>
        </is>
      </c>
      <c r="B404" s="22" t="inlineStr">
        <is>
          <t>LPB-30-1</t>
        </is>
      </c>
      <c r="C404" s="22" t="inlineStr">
        <is>
          <t>37391</t>
        </is>
      </c>
      <c r="D404" s="22" t="inlineStr">
        <is>
          <t>Лезо до сучкорізів ARS LPB-30 S/M/L (LPB-30-1) Японія</t>
        </is>
      </c>
      <c r="E404" s="23" t="n">
        <v>1040</v>
      </c>
    </row>
    <row r="405">
      <c r="A405" s="22" t="inlineStr">
        <is>
          <t>Клуб Рослин</t>
        </is>
      </c>
      <c r="B405" s="22" t="inlineStr">
        <is>
          <t>LPB-30-1</t>
        </is>
      </c>
      <c r="C405" s="22" t="inlineStr">
        <is>
          <t>10485</t>
        </is>
      </c>
      <c r="D405" s="22" t="inlineStr">
        <is>
          <t>Лезо до сучкорізів ARS LPB-30 S/M/L (LPB-30-1) Японія</t>
        </is>
      </c>
      <c r="E405" s="23" t="n">
        <v>1040</v>
      </c>
    </row>
    <row r="406">
      <c r="A406" s="22" t="inlineStr">
        <is>
          <t>Клуб Рослин</t>
        </is>
      </c>
      <c r="B406" s="22" t="inlineStr">
        <is>
          <t>3103 MFVA.B</t>
        </is>
      </c>
      <c r="C406" s="22" t="inlineStr">
        <is>
          <t>10512</t>
        </is>
      </c>
      <c r="D406" s="22" t="inlineStr">
        <is>
          <t>Лопата штикова Bellota 3103 MFVA.B Іспанія</t>
        </is>
      </c>
      <c r="E406" s="23" t="n">
        <v>1310</v>
      </c>
    </row>
    <row r="407">
      <c r="A407" s="22" t="inlineStr">
        <is>
          <t>Водоспад</t>
        </is>
      </c>
      <c r="B407" s="22" t="inlineStr">
        <is>
          <t>570-27</t>
        </is>
      </c>
      <c r="C407" s="22" t="inlineStr">
        <is>
          <t>38193</t>
        </is>
      </c>
      <c r="D407" s="22" t="inlineStr">
        <is>
          <t>Мачете Silky YOKI 270 мм (570-27) Японія</t>
        </is>
      </c>
      <c r="E407" s="23" t="n">
        <v>4290</v>
      </c>
    </row>
    <row r="408">
      <c r="A408" s="22" t="inlineStr">
        <is>
          <t>Водоспад</t>
        </is>
      </c>
      <c r="B408" s="22" t="inlineStr">
        <is>
          <t>290213-32</t>
        </is>
      </c>
      <c r="C408" s="22" t="inlineStr">
        <is>
          <t>36984</t>
        </is>
      </c>
      <c r="D408" s="22" t="inlineStr">
        <is>
          <t>Мачете Фалчі / Falci GIUSTINA (290213-32) Італія</t>
        </is>
      </c>
      <c r="E408" s="23" t="n">
        <v>1310</v>
      </c>
    </row>
    <row r="409">
      <c r="A409" s="22" t="inlineStr">
        <is>
          <t>Водоспад</t>
        </is>
      </c>
      <c r="B409" s="22" t="inlineStr">
        <is>
          <t>555-21</t>
        </is>
      </c>
      <c r="C409" s="22" t="inlineStr">
        <is>
          <t>38190</t>
        </is>
      </c>
      <c r="D409" s="22" t="inlineStr">
        <is>
          <t>Мачете-сокира Silky NATA 210 мм (555-21) Японія</t>
        </is>
      </c>
      <c r="E409" s="23" t="n">
        <v>4099</v>
      </c>
    </row>
    <row r="410">
      <c r="A410" s="22" t="inlineStr">
        <is>
          <t>Водоспад</t>
        </is>
      </c>
      <c r="B410" s="22" t="inlineStr">
        <is>
          <t>bag2321</t>
        </is>
      </c>
      <c r="C410" s="22" t="inlineStr">
        <is>
          <t>42128</t>
        </is>
      </c>
      <c r="D410" s="22" t="inlineStr">
        <is>
          <t>Мішечок на пояс для збору ягід 23х21 (bag2321)</t>
        </is>
      </c>
      <c r="E410" s="23" t="n">
        <v>260</v>
      </c>
    </row>
    <row r="411">
      <c r="A411" s="22" t="inlineStr">
        <is>
          <t>Водоспад</t>
        </is>
      </c>
      <c r="B411" s="22" t="inlineStr">
        <is>
          <t>20012</t>
        </is>
      </c>
      <c r="C411" s="22" t="inlineStr">
        <is>
          <t>32789</t>
        </is>
      </c>
      <c r="D411" s="22" t="inlineStr">
        <is>
          <t>Набір гвинтів для сучкорізів Lowe 20012 Німеччина</t>
        </is>
      </c>
      <c r="E411" s="23" t="n">
        <v>280</v>
      </c>
    </row>
    <row r="412">
      <c r="A412" s="22" t="inlineStr">
        <is>
          <t>Клуб Рослин</t>
        </is>
      </c>
      <c r="B412" s="22" t="inlineStr">
        <is>
          <t>20012</t>
        </is>
      </c>
      <c r="C412" s="22" t="inlineStr">
        <is>
          <t>14173</t>
        </is>
      </c>
      <c r="D412" s="22" t="inlineStr">
        <is>
          <t>Набір гвинтів для сучкорізів Lowe 20012 Німеччина</t>
        </is>
      </c>
      <c r="E412" s="23" t="n">
        <v>280</v>
      </c>
    </row>
    <row r="413">
      <c r="A413" s="22" t="inlineStr">
        <is>
          <t>Водоспад</t>
        </is>
      </c>
      <c r="B413" s="22" t="inlineStr">
        <is>
          <t>KR-1000-1</t>
        </is>
      </c>
      <c r="C413" s="22" t="inlineStr">
        <is>
          <t>36674</t>
        </is>
      </c>
      <c r="D413" s="22" t="inlineStr">
        <is>
          <t>Набір лез до садових ножиць ARS KR-1000 (KR-1000-1)</t>
        </is>
      </c>
      <c r="E413" s="23" t="n">
        <v>1460</v>
      </c>
    </row>
    <row r="414">
      <c r="A414" s="22" t="inlineStr">
        <is>
          <t>Клуб Рослин</t>
        </is>
      </c>
      <c r="B414" s="22" t="inlineStr">
        <is>
          <t>KR-1000-1</t>
        </is>
      </c>
      <c r="C414" s="22" t="inlineStr">
        <is>
          <t>10752</t>
        </is>
      </c>
      <c r="D414" s="22" t="inlineStr">
        <is>
          <t>Набір лез до садових ножиць ARS KR-1000 (KR-1000-1)</t>
        </is>
      </c>
      <c r="E414" s="23" t="n">
        <v>1460</v>
      </c>
    </row>
    <row r="415">
      <c r="A415" s="22" t="inlineStr">
        <is>
          <t>Водоспад</t>
        </is>
      </c>
      <c r="B415" s="22" t="inlineStr">
        <is>
          <t>20005</t>
        </is>
      </c>
      <c r="C415" s="22" t="inlineStr">
        <is>
          <t>32783</t>
        </is>
      </c>
      <c r="D415" s="22" t="inlineStr">
        <is>
          <t>Набір центрального кріплення Lowe 20005 Німеччина</t>
        </is>
      </c>
      <c r="E415" s="23" t="n">
        <v>695</v>
      </c>
    </row>
    <row r="416">
      <c r="A416" s="22" t="inlineStr">
        <is>
          <t>Клуб Рослин</t>
        </is>
      </c>
      <c r="B416" s="22" t="inlineStr">
        <is>
          <t>20005</t>
        </is>
      </c>
      <c r="C416" s="22" t="inlineStr">
        <is>
          <t>10773</t>
        </is>
      </c>
      <c r="D416" s="22" t="inlineStr">
        <is>
          <t>Набір центрального кріплення Lowe 20005 Німеччина</t>
        </is>
      </c>
      <c r="E416" s="23" t="n">
        <v>695</v>
      </c>
    </row>
    <row r="417">
      <c r="A417" s="22" t="inlineStr">
        <is>
          <t>Водоспад</t>
        </is>
      </c>
      <c r="B417" s="22" t="inlineStr">
        <is>
          <t>KZSI200000</t>
        </is>
      </c>
      <c r="C417" s="22" t="inlineStr">
        <is>
          <t>33920</t>
        </is>
      </c>
      <c r="D417" s="22" t="inlineStr">
        <is>
          <t>Напилок для заточування пилок Silky KZSI 950-02-64 (KZSI200000)</t>
        </is>
      </c>
      <c r="E417" s="23" t="n">
        <v>1590</v>
      </c>
    </row>
    <row r="418">
      <c r="A418" s="22" t="inlineStr">
        <is>
          <t>Водоспад</t>
        </is>
      </c>
      <c r="B418" s="22" t="inlineStr">
        <is>
          <t>4580149746398</t>
        </is>
      </c>
      <c r="C418" s="22" t="inlineStr">
        <is>
          <t>37902</t>
        </is>
      </c>
      <c r="D418" s="22" t="inlineStr">
        <is>
          <t>Ножиці 170 мм Ханакумагава / Hanakumagawa (4580149746398) Японія</t>
        </is>
      </c>
      <c r="E418" s="23" t="n">
        <v>4390</v>
      </c>
    </row>
    <row r="419">
      <c r="A419" s="22" t="inlineStr">
        <is>
          <t>Водоспад</t>
        </is>
      </c>
      <c r="B419" s="22" t="inlineStr">
        <is>
          <t>4580149742093</t>
        </is>
      </c>
      <c r="C419" s="22" t="inlineStr">
        <is>
          <t>37461</t>
        </is>
      </c>
      <c r="D419" s="22" t="inlineStr">
        <is>
          <t>Ножиці 200 мм Ханакумагава / Hanakumagawa (4580149742093) Японія</t>
        </is>
      </c>
      <c r="E419" s="23" t="n">
        <v>4990</v>
      </c>
    </row>
    <row r="420">
      <c r="A420" s="22" t="inlineStr">
        <is>
          <t>Водоспад</t>
        </is>
      </c>
      <c r="B420" s="22" t="inlineStr">
        <is>
          <t>160/27</t>
        </is>
      </c>
      <c r="C420" s="22" t="inlineStr">
        <is>
          <t>39924</t>
        </is>
      </c>
      <c r="D420" s="22" t="inlineStr">
        <is>
          <t>Ножиці Due Buoi (160/27) Італія</t>
        </is>
      </c>
      <c r="E420" s="23" t="n">
        <v>790</v>
      </c>
    </row>
    <row r="421">
      <c r="A421" s="22" t="inlineStr">
        <is>
          <t>Водоспад</t>
        </is>
      </c>
      <c r="B421" s="22" t="inlineStr">
        <is>
          <t>1148/18.5</t>
        </is>
      </c>
      <c r="C421" s="22" t="inlineStr">
        <is>
          <t>37645</t>
        </is>
      </c>
      <c r="D421" s="22" t="inlineStr">
        <is>
          <t>Ножиці Due Buoi 1148/18,5 INOX (1148/18.5) Італія</t>
        </is>
      </c>
      <c r="E421" s="23" t="n">
        <v>295</v>
      </c>
    </row>
    <row r="422">
      <c r="A422" s="22" t="inlineStr">
        <is>
          <t>Клуб Рослин</t>
        </is>
      </c>
      <c r="B422" s="22" t="inlineStr">
        <is>
          <t>1148/18.5</t>
        </is>
      </c>
      <c r="C422" s="22" t="inlineStr">
        <is>
          <t>11886</t>
        </is>
      </c>
      <c r="D422" s="22" t="inlineStr">
        <is>
          <t>Ножиці Due Buoi 1148/18,5 INOX (1148/18.5) Італія</t>
        </is>
      </c>
      <c r="E422" s="23" t="n">
        <v>275</v>
      </c>
    </row>
    <row r="423">
      <c r="A423" s="22" t="inlineStr">
        <is>
          <t>Водоспад</t>
        </is>
      </c>
      <c r="B423" s="22" t="inlineStr">
        <is>
          <t>P128-19</t>
        </is>
      </c>
      <c r="C423" s="22" t="inlineStr">
        <is>
          <t>31972</t>
        </is>
      </c>
      <c r="D423" s="22" t="inlineStr">
        <is>
          <t>Ножиці для збирання винограду Р128-19 Bahco</t>
        </is>
      </c>
      <c r="E423" s="23" t="n">
        <v>570</v>
      </c>
    </row>
    <row r="424">
      <c r="A424" s="22" t="inlineStr">
        <is>
          <t>Клуб Рослин</t>
        </is>
      </c>
      <c r="B424" s="22" t="inlineStr">
        <is>
          <t>P128-19</t>
        </is>
      </c>
      <c r="C424" s="22" t="inlineStr">
        <is>
          <t>11037</t>
        </is>
      </c>
      <c r="D424" s="22" t="inlineStr">
        <is>
          <t>Ножиці для збирання винограду Р128-19 Bahco</t>
        </is>
      </c>
      <c r="E424" s="23" t="n">
        <v>570</v>
      </c>
    </row>
    <row r="425">
      <c r="A425" s="22" t="inlineStr">
        <is>
          <t>Клуб Рослин</t>
        </is>
      </c>
      <c r="B425" s="22" t="inlineStr">
        <is>
          <t>3461-R.B</t>
        </is>
      </c>
      <c r="C425" s="22" t="inlineStr">
        <is>
          <t>11020</t>
        </is>
      </c>
      <c r="D425" s="22" t="inlineStr">
        <is>
          <t>Ножиці для кущів (3461-R.B) Bellota Іспанія</t>
        </is>
      </c>
      <c r="E425" s="23" t="n">
        <v>2287</v>
      </c>
    </row>
    <row r="426">
      <c r="A426" s="22" t="inlineStr">
        <is>
          <t>Водоспад</t>
        </is>
      </c>
      <c r="B426" s="22" t="inlineStr">
        <is>
          <t>613/20</t>
        </is>
      </c>
      <c r="C426" s="22" t="inlineStr">
        <is>
          <t>37725</t>
        </is>
      </c>
      <c r="D426" s="22" t="inlineStr">
        <is>
          <t>Ножиці для кущів Due Buoi 613/20 Італія</t>
        </is>
      </c>
      <c r="E426" s="23" t="n">
        <v>1990</v>
      </c>
    </row>
    <row r="427">
      <c r="A427" s="22" t="inlineStr">
        <is>
          <t>Клуб Рослин</t>
        </is>
      </c>
      <c r="B427" s="22" t="inlineStr">
        <is>
          <t>K-800</t>
        </is>
      </c>
      <c r="C427" s="22" t="inlineStr">
        <is>
          <t>11015</t>
        </is>
      </c>
      <c r="D427" s="22" t="inlineStr">
        <is>
          <t>Ножиці для кущів АРС / ARS (K-800) Японія</t>
        </is>
      </c>
      <c r="E427" s="23" t="n">
        <v>2389</v>
      </c>
    </row>
    <row r="428">
      <c r="A428" s="22" t="inlineStr">
        <is>
          <t>Водоспад</t>
        </is>
      </c>
      <c r="B428" s="22" t="inlineStr">
        <is>
          <t>KR-1000</t>
        </is>
      </c>
      <c r="C428" s="22" t="inlineStr">
        <is>
          <t>33507</t>
        </is>
      </c>
      <c r="D428" s="22" t="inlineStr">
        <is>
          <t>Ножиці для кущів АРС / ARS (KR-1000) Японія</t>
        </is>
      </c>
      <c r="E428" s="23" t="n">
        <v>4460</v>
      </c>
    </row>
    <row r="429">
      <c r="A429" s="22" t="inlineStr">
        <is>
          <t>Клуб Рослин</t>
        </is>
      </c>
      <c r="B429" s="22" t="inlineStr">
        <is>
          <t>KR-1000</t>
        </is>
      </c>
      <c r="C429" s="22" t="inlineStr">
        <is>
          <t>11017</t>
        </is>
      </c>
      <c r="D429" s="22" t="inlineStr">
        <is>
          <t>Ножиці для кущів АРС / ARS (KR-1000) Японія</t>
        </is>
      </c>
      <c r="E429" s="23" t="n">
        <v>4460</v>
      </c>
    </row>
    <row r="430">
      <c r="A430" s="22" t="inlineStr">
        <is>
          <t>Водоспад</t>
        </is>
      </c>
      <c r="B430" s="22" t="inlineStr">
        <is>
          <t>KR-1000L</t>
        </is>
      </c>
      <c r="C430" s="22" t="inlineStr">
        <is>
          <t>41092</t>
        </is>
      </c>
      <c r="D430" s="22" t="inlineStr">
        <is>
          <t>Ножиці для кущів АРС / ARS (KR-1000L) Японія</t>
        </is>
      </c>
      <c r="E430" s="23" t="n">
        <v>4459</v>
      </c>
    </row>
    <row r="431">
      <c r="A431" s="22" t="inlineStr">
        <is>
          <t>Клуб Рослин</t>
        </is>
      </c>
      <c r="B431" s="22" t="inlineStr">
        <is>
          <t>KR-1000L</t>
        </is>
      </c>
      <c r="C431" s="22" t="inlineStr">
        <is>
          <t>11018</t>
        </is>
      </c>
      <c r="D431" s="22" t="inlineStr">
        <is>
          <t>Ножиці для кущів АРС / ARS (KR-1000L) Японія</t>
        </is>
      </c>
      <c r="E431" s="23" t="n">
        <v>4459</v>
      </c>
    </row>
    <row r="432">
      <c r="A432" s="22" t="inlineStr">
        <is>
          <t>Водоспад</t>
        </is>
      </c>
      <c r="B432" s="22" t="inlineStr">
        <is>
          <t>P52-SL-20</t>
        </is>
      </c>
      <c r="C432" s="22" t="inlineStr">
        <is>
          <t>42776</t>
        </is>
      </c>
      <c r="D432" s="22" t="inlineStr">
        <is>
          <t>Ножиці для топіарної стрижки P52-SL-20 Bahco</t>
        </is>
      </c>
      <c r="E432" s="23" t="n">
        <v>4299</v>
      </c>
    </row>
    <row r="433">
      <c r="A433" s="22" t="inlineStr">
        <is>
          <t>Клуб Рослин</t>
        </is>
      </c>
      <c r="B433" s="22" t="inlineStr">
        <is>
          <t>P52-SL-20</t>
        </is>
      </c>
      <c r="C433" s="22" t="inlineStr">
        <is>
          <t>11763</t>
        </is>
      </c>
      <c r="D433" s="22" t="inlineStr">
        <is>
          <t>Ножиці для топіарної стрижки P52-SL-20 Bahco</t>
        </is>
      </c>
      <c r="E433" s="23" t="n">
        <v>4299</v>
      </c>
    </row>
    <row r="434">
      <c r="A434" s="22" t="inlineStr">
        <is>
          <t>Водоспад</t>
        </is>
      </c>
      <c r="B434" s="22" t="inlineStr">
        <is>
          <t>TBS270</t>
        </is>
      </c>
      <c r="C434" s="22" t="inlineStr">
        <is>
          <t>41110</t>
        </is>
      </c>
      <c r="D434" s="22" t="inlineStr">
        <is>
          <t>Ножиці для топінарної стрижки 270 мм Тобішо / Tobisho (TBS270) Японія</t>
        </is>
      </c>
      <c r="E434" s="23" t="n">
        <v>8999</v>
      </c>
    </row>
    <row r="435">
      <c r="A435" s="22" t="inlineStr">
        <is>
          <t>Клуб Рослин</t>
        </is>
      </c>
      <c r="B435" s="22" t="inlineStr">
        <is>
          <t>4587-13.В</t>
        </is>
      </c>
      <c r="C435" s="22" t="inlineStr">
        <is>
          <t>11297</t>
        </is>
      </c>
      <c r="D435" s="22" t="inlineStr">
        <is>
          <t>Ножівка садова з чохлом 330 мм Bellota (4587-13.В) Іспанія</t>
        </is>
      </c>
      <c r="E435" s="23" t="n">
        <v>1310</v>
      </c>
    </row>
    <row r="436">
      <c r="A436" s="22" t="inlineStr">
        <is>
          <t>Клуб Рослин</t>
        </is>
      </c>
      <c r="B436" s="22" t="inlineStr">
        <is>
          <t>4588-13.B</t>
        </is>
      </c>
      <c r="C436" s="22" t="inlineStr">
        <is>
          <t>11210</t>
        </is>
      </c>
      <c r="D436" s="22" t="inlineStr">
        <is>
          <t>Ножівка садова з чохлом 330 мм Bellota (4588-13.В) Іспанія</t>
        </is>
      </c>
      <c r="E436" s="23" t="n">
        <v>1638</v>
      </c>
    </row>
    <row r="437">
      <c r="A437" s="22" t="inlineStr">
        <is>
          <t>Водоспад</t>
        </is>
      </c>
      <c r="B437" s="22" t="inlineStr">
        <is>
          <t>5791/R</t>
        </is>
      </c>
      <c r="C437" s="22" t="inlineStr">
        <is>
          <t>41718</t>
        </is>
      </c>
      <c r="D437" s="22" t="inlineStr">
        <is>
          <t>Ніж Antonini 5791/R для щеплення Антоніні Італія</t>
        </is>
      </c>
      <c r="E437" s="23" t="n">
        <v>430</v>
      </c>
    </row>
    <row r="438">
      <c r="A438" s="22" t="inlineStr">
        <is>
          <t>Клуб Рослин</t>
        </is>
      </c>
      <c r="B438" s="22" t="inlineStr">
        <is>
          <t>201AP</t>
        </is>
      </c>
      <c r="C438" s="22" t="inlineStr">
        <is>
          <t>10847</t>
        </is>
      </c>
      <c r="D438" s="22" t="inlineStr">
        <is>
          <t>Ніж Due Buoi 201AP для щеплення універсальний Італія</t>
        </is>
      </c>
      <c r="E438" s="23" t="n">
        <v>1990</v>
      </c>
    </row>
    <row r="439">
      <c r="A439" s="22" t="inlineStr">
        <is>
          <t>Водоспад</t>
        </is>
      </c>
      <c r="B439" s="22" t="inlineStr">
        <is>
          <t>12057</t>
        </is>
      </c>
      <c r="C439" s="22" t="inlineStr">
        <is>
          <t>41021</t>
        </is>
      </c>
      <c r="D439" s="22" t="inlineStr">
        <is>
          <t>Ніж Morakniv Outdoor Mora 2000 (S) Orange (12057) Швеція</t>
        </is>
      </c>
      <c r="E439" s="23" t="n">
        <v>1339</v>
      </c>
    </row>
    <row r="440">
      <c r="A440" s="22" t="inlineStr">
        <is>
          <t>Водоспад</t>
        </is>
      </c>
      <c r="B440" s="22" t="inlineStr">
        <is>
          <t>12356</t>
        </is>
      </c>
      <c r="C440" s="22" t="inlineStr">
        <is>
          <t>41024</t>
        </is>
      </c>
      <c r="D440" s="22" t="inlineStr">
        <is>
          <t>Ніж Мора / Morakniv Bushcraft Forest Sandvik 12C27 (12356) Швеція</t>
        </is>
      </c>
      <c r="E440" s="23" t="n">
        <v>1799</v>
      </c>
    </row>
    <row r="441">
      <c r="A441" s="22" t="inlineStr">
        <is>
          <t>Водоспад</t>
        </is>
      </c>
      <c r="B441" s="22" t="inlineStr">
        <is>
          <t>9387/19LU</t>
        </is>
      </c>
      <c r="C441" s="22" t="inlineStr">
        <is>
          <t>40906</t>
        </is>
      </c>
      <c r="D441" s="22" t="inlineStr">
        <is>
          <t>Ніж грибника Old Bear M 19 см Antonini (9387/19LU) Італія</t>
        </is>
      </c>
      <c r="E441" s="23" t="n">
        <v>1650</v>
      </c>
    </row>
    <row r="442">
      <c r="A442" s="22" t="inlineStr">
        <is>
          <t>Клуб Рослин</t>
        </is>
      </c>
      <c r="B442" s="22" t="inlineStr">
        <is>
          <t>9500/L.A</t>
        </is>
      </c>
      <c r="C442" s="22" t="inlineStr">
        <is>
          <t>15498</t>
        </is>
      </c>
      <c r="D442" s="22" t="inlineStr">
        <is>
          <t>Ніж для обрізки і зачистки високовуглецева сталь Антоніні / Antonini (9500/L.A) Італія</t>
        </is>
      </c>
      <c r="E442" s="23" t="n">
        <v>535</v>
      </c>
    </row>
    <row r="443">
      <c r="A443" s="22" t="inlineStr">
        <is>
          <t>Водоспад</t>
        </is>
      </c>
      <c r="B443" s="22" t="inlineStr">
        <is>
          <t>TC90045</t>
        </is>
      </c>
      <c r="C443" s="22" t="inlineStr">
        <is>
          <t>36474</t>
        </is>
      </c>
      <c r="D443" s="22" t="inlineStr">
        <is>
          <t>Ніж для степлера (комплект) Tapener HT-R1 MAX (TC90045)</t>
        </is>
      </c>
      <c r="E443" s="23" t="n">
        <v>325</v>
      </c>
    </row>
    <row r="444">
      <c r="A444" s="22" t="inlineStr">
        <is>
          <t>Водоспад</t>
        </is>
      </c>
      <c r="B444" s="22" t="inlineStr">
        <is>
          <t>202P-SIN</t>
        </is>
      </c>
      <c r="C444" s="22" t="inlineStr">
        <is>
          <t>33500</t>
        </is>
      </c>
      <c r="D444" s="22" t="inlineStr">
        <is>
          <t>Ніж для шульги прищепний Due Buoi 202P-SIN Італія</t>
        </is>
      </c>
      <c r="E444" s="23" t="n">
        <v>1100</v>
      </c>
    </row>
    <row r="445">
      <c r="A445" s="22" t="inlineStr">
        <is>
          <t>Водоспад</t>
        </is>
      </c>
      <c r="B445" s="22" t="inlineStr">
        <is>
          <t>5037/L</t>
        </is>
      </c>
      <c r="C445" s="22" t="inlineStr">
        <is>
          <t>42664</t>
        </is>
      </c>
      <c r="D445" s="22" t="inlineStr">
        <is>
          <t>Ніж для щеплення Антоніні / Antonini (5037/L) Італія</t>
        </is>
      </c>
      <c r="E445" s="23" t="n">
        <v>1090</v>
      </c>
    </row>
    <row r="446">
      <c r="A446" s="22" t="inlineStr">
        <is>
          <t>Водоспад</t>
        </is>
      </c>
      <c r="B446" s="22" t="inlineStr">
        <is>
          <t>266L</t>
        </is>
      </c>
      <c r="C446" s="22" t="inlineStr">
        <is>
          <t>33239</t>
        </is>
      </c>
      <c r="D446" s="22" t="inlineStr">
        <is>
          <t>Ніж для щеплення горіха Due Buoi 266L Італія</t>
        </is>
      </c>
      <c r="E446" s="23" t="n">
        <v>1725</v>
      </c>
    </row>
    <row r="447">
      <c r="A447" s="22" t="inlineStr">
        <is>
          <t>Водоспад</t>
        </is>
      </c>
      <c r="B447" s="22" t="inlineStr">
        <is>
          <t>5116/L</t>
        </is>
      </c>
      <c r="C447" s="22" t="inlineStr">
        <is>
          <t>42665</t>
        </is>
      </c>
      <c r="D447" s="22" t="inlineStr">
        <is>
          <t>Ніж для щеплення з відокремлювачем​​​​​​​ кори Антоніні / Antonini (5116/L) Італія</t>
        </is>
      </c>
      <c r="E447" s="23" t="n">
        <v>1490</v>
      </c>
    </row>
    <row r="448">
      <c r="A448" s="22" t="inlineStr">
        <is>
          <t>Клуб Рослин</t>
        </is>
      </c>
      <c r="B448" s="22" t="inlineStr">
        <is>
          <t>5016/AL.R</t>
        </is>
      </c>
      <c r="C448" s="22" t="inlineStr">
        <is>
          <t>10809</t>
        </is>
      </c>
      <c r="D448" s="22" t="inlineStr">
        <is>
          <t>Ніж для щеплення універсальний високовуглецева сталь Антоніні / Antonini (5016/AL.R) Італія</t>
        </is>
      </c>
      <c r="E448" s="23" t="n">
        <v>1900</v>
      </c>
    </row>
    <row r="449">
      <c r="A449" s="22" t="inlineStr">
        <is>
          <t>Водоспад</t>
        </is>
      </c>
      <c r="B449" s="22" t="inlineStr">
        <is>
          <t>9377/19_LN</t>
        </is>
      </c>
      <c r="C449" s="22" t="inlineStr">
        <is>
          <t>40623</t>
        </is>
      </c>
      <c r="D449" s="22" t="inlineStr">
        <is>
          <t>Ніж для щеплення універсальний нержавіюча сталь Антоніні / Antonini OLD BEAR (9377/19_LN) Італія</t>
        </is>
      </c>
      <c r="E449" s="23" t="n">
        <v>1290</v>
      </c>
    </row>
    <row r="450">
      <c r="A450" s="22" t="inlineStr">
        <is>
          <t>Клуб Рослин</t>
        </is>
      </c>
      <c r="B450" s="22" t="inlineStr">
        <is>
          <t>9377/19_LN</t>
        </is>
      </c>
      <c r="C450" s="22" t="inlineStr">
        <is>
          <t>15500</t>
        </is>
      </c>
      <c r="D450" s="22" t="inlineStr">
        <is>
          <t>Ніж для щеплення універсальний нержавіюча сталь Антоніні / Antonini OLD BEAR (9377/19_LN) Італія</t>
        </is>
      </c>
      <c r="E450" s="23" t="n">
        <v>1150</v>
      </c>
    </row>
    <row r="451">
      <c r="A451" s="22" t="inlineStr">
        <is>
          <t>Водоспад</t>
        </is>
      </c>
      <c r="B451" s="22" t="inlineStr">
        <is>
          <t>5540/2N</t>
        </is>
      </c>
      <c r="C451" s="22" t="inlineStr">
        <is>
          <t>41716</t>
        </is>
      </c>
      <c r="D451" s="22" t="inlineStr">
        <is>
          <t>Ніж садовий 2 леза для щеплення Антоніні / Antonini 17 см сталь - C67 (5540/2N) Італія</t>
        </is>
      </c>
      <c r="E451" s="23" t="n">
        <v>710</v>
      </c>
    </row>
    <row r="452">
      <c r="A452" s="22" t="inlineStr">
        <is>
          <t>Клуб Рослин</t>
        </is>
      </c>
      <c r="B452" s="22" t="inlineStr">
        <is>
          <t>5540/2N</t>
        </is>
      </c>
      <c r="C452" s="22" t="inlineStr">
        <is>
          <t>13252</t>
        </is>
      </c>
      <c r="D452" s="22" t="inlineStr">
        <is>
          <t>Ніж садовий 2 леза для щеплення Антоніні / Antonini 17 см сталь - C67 (5540/2N) Італія</t>
        </is>
      </c>
      <c r="E452" s="23" t="n">
        <v>650</v>
      </c>
    </row>
    <row r="453">
      <c r="A453" s="22" t="inlineStr">
        <is>
          <t>Водоспад</t>
        </is>
      </c>
      <c r="B453" s="22" t="inlineStr">
        <is>
          <t>626/11</t>
        </is>
      </c>
      <c r="C453" s="22" t="inlineStr">
        <is>
          <t>40645</t>
        </is>
      </c>
      <c r="D453" s="22" t="inlineStr">
        <is>
          <t>Ніж садовий для обрізки Тіна / Tina (626/11) Німеччина</t>
        </is>
      </c>
      <c r="E453" s="23" t="n">
        <v>6599</v>
      </c>
    </row>
    <row r="454">
      <c r="A454" s="22" t="inlineStr">
        <is>
          <t>Водоспад</t>
        </is>
      </c>
      <c r="B454" s="22" t="inlineStr">
        <is>
          <t>630/11</t>
        </is>
      </c>
      <c r="C454" s="22" t="inlineStr">
        <is>
          <t>42245</t>
        </is>
      </c>
      <c r="D454" s="22" t="inlineStr">
        <is>
          <t>Ніж садовий для обрізки Тіна / Tina (630/11) Німеччина</t>
        </is>
      </c>
      <c r="E454" s="23" t="n">
        <v>6999</v>
      </c>
    </row>
    <row r="455">
      <c r="A455" s="22" t="inlineStr">
        <is>
          <t>Водоспад</t>
        </is>
      </c>
      <c r="B455" s="22" t="inlineStr">
        <is>
          <t>5540/L</t>
        </is>
      </c>
      <c r="C455" s="22" t="inlineStr">
        <is>
          <t>41714</t>
        </is>
      </c>
      <c r="D455" s="22" t="inlineStr">
        <is>
          <t>Ніж садовий для щеплення Антоніні / Antonini 17 см лезо - C67 (5540/L) Італія</t>
        </is>
      </c>
      <c r="E455" s="23" t="n">
        <v>750</v>
      </c>
    </row>
    <row r="456">
      <c r="A456" s="22" t="inlineStr">
        <is>
          <t>Водоспад</t>
        </is>
      </c>
      <c r="B456" s="22" t="inlineStr">
        <is>
          <t>5540/N</t>
        </is>
      </c>
      <c r="C456" s="22" t="inlineStr">
        <is>
          <t>41715</t>
        </is>
      </c>
      <c r="D456" s="22" t="inlineStr">
        <is>
          <t>Ніж садовий для щеплення Антоніні / Antonini 17 см лезо - C67 (5540/N) Італія</t>
        </is>
      </c>
      <c r="E456" s="23" t="n">
        <v>410</v>
      </c>
    </row>
    <row r="457">
      <c r="A457" s="22" t="inlineStr">
        <is>
          <t>Клуб Рослин</t>
        </is>
      </c>
      <c r="B457" s="22" t="inlineStr">
        <is>
          <t>SR-LIM-255</t>
        </is>
      </c>
      <c r="C457" s="22" t="inlineStr">
        <is>
          <t>16110</t>
        </is>
      </c>
      <c r="D457" s="22" t="inlineStr">
        <is>
          <t>Обмежувач для тримера на ніж 255 мм Smart Rain (SR-LIM-255) Україна</t>
        </is>
      </c>
      <c r="E457" s="23" t="n">
        <v>1450</v>
      </c>
    </row>
    <row r="458">
      <c r="A458" s="22" t="inlineStr">
        <is>
          <t>Водоспад</t>
        </is>
      </c>
      <c r="B458" s="22" t="inlineStr">
        <is>
          <t>21002</t>
        </is>
      </c>
      <c r="C458" s="22" t="inlineStr">
        <is>
          <t>32792</t>
        </is>
      </c>
      <c r="D458" s="22" t="inlineStr">
        <is>
          <t>Опорне лезо для сучкоріза LOWE 21 Lowe 21002 Німеччина</t>
        </is>
      </c>
      <c r="E458" s="23" t="n">
        <v>1430</v>
      </c>
    </row>
    <row r="459">
      <c r="A459" s="22" t="inlineStr">
        <is>
          <t>Водоспад</t>
        </is>
      </c>
      <c r="B459" s="22" t="inlineStr">
        <is>
          <t>20013</t>
        </is>
      </c>
      <c r="C459" s="22" t="inlineStr">
        <is>
          <t>32790</t>
        </is>
      </c>
      <c r="D459" s="22" t="inlineStr">
        <is>
          <t>Опорний важіль для гілкоріза Lowe 20013 Німеччина</t>
        </is>
      </c>
      <c r="E459" s="23" t="n">
        <v>1235</v>
      </c>
    </row>
    <row r="460">
      <c r="A460" s="22" t="inlineStr">
        <is>
          <t>Клуб Рослин</t>
        </is>
      </c>
      <c r="B460" s="22" t="inlineStr">
        <is>
          <t>20013</t>
        </is>
      </c>
      <c r="C460" s="22" t="inlineStr">
        <is>
          <t>11138</t>
        </is>
      </c>
      <c r="D460" s="22" t="inlineStr">
        <is>
          <t>Опорний важіль для гілкоріза Lowe 20013 Німеччина</t>
        </is>
      </c>
      <c r="E460" s="23" t="n">
        <v>1235</v>
      </c>
    </row>
    <row r="461">
      <c r="A461" s="22" t="inlineStr">
        <is>
          <t>Водоспад</t>
        </is>
      </c>
      <c r="B461" s="22" t="inlineStr">
        <is>
          <t>22013</t>
        </is>
      </c>
      <c r="C461" s="22" t="inlineStr">
        <is>
          <t>32796</t>
        </is>
      </c>
      <c r="D461" s="22" t="inlineStr">
        <is>
          <t>Опорний важіль для гілкоріза Lowe 22013 Німеччина</t>
        </is>
      </c>
      <c r="E461" s="23" t="n">
        <v>1250</v>
      </c>
    </row>
    <row r="462">
      <c r="A462" s="22" t="inlineStr">
        <is>
          <t>Водоспад</t>
        </is>
      </c>
      <c r="B462" s="22" t="inlineStr">
        <is>
          <t>5020003N</t>
        </is>
      </c>
      <c r="C462" s="22" t="inlineStr">
        <is>
          <t>37647</t>
        </is>
      </c>
      <c r="D462" s="22" t="inlineStr">
        <is>
          <t>Паста Потабен / Potaben Ci 1 кг AgriChem Італія</t>
        </is>
      </c>
      <c r="E462" s="23" t="n">
        <v>1295</v>
      </c>
    </row>
    <row r="463">
      <c r="A463" s="22" t="inlineStr">
        <is>
          <t>Водоспад</t>
        </is>
      </c>
      <c r="B463" s="22" t="inlineStr">
        <is>
          <t>5020001N</t>
        </is>
      </c>
      <c r="C463" s="22" t="inlineStr">
        <is>
          <t>37646</t>
        </is>
      </c>
      <c r="D463" s="22" t="inlineStr">
        <is>
          <t>Паста Потабен / Potaben Ci 500 г AgriChem Італія</t>
        </is>
      </c>
      <c r="E463" s="23" t="n">
        <v>750</v>
      </c>
    </row>
    <row r="464">
      <c r="A464" s="22" t="inlineStr">
        <is>
          <t>Клуб Рослин</t>
        </is>
      </c>
      <c r="B464" s="22" t="inlineStr">
        <is>
          <t>210DX</t>
        </is>
      </c>
      <c r="C464" s="22" t="inlineStr">
        <is>
          <t>11175</t>
        </is>
      </c>
      <c r="D464" s="22" t="inlineStr">
        <is>
          <t>Пила АРС / ARS (210DX) складна Японія</t>
        </is>
      </c>
      <c r="E464" s="23" t="n">
        <v>939</v>
      </c>
    </row>
    <row r="465">
      <c r="A465" s="22" t="inlineStr">
        <is>
          <t>Водоспад</t>
        </is>
      </c>
      <c r="B465" s="22" t="inlineStr">
        <is>
          <t>CAM-24LN</t>
        </is>
      </c>
      <c r="C465" s="22" t="inlineStr">
        <is>
          <t>38653</t>
        </is>
      </c>
      <c r="D465" s="22" t="inlineStr">
        <is>
          <t>Пила АРС / ARS (CAM-24LN) з кобурою Японія</t>
        </is>
      </c>
      <c r="E465" s="23" t="n">
        <v>1459</v>
      </c>
    </row>
    <row r="466">
      <c r="A466" s="22" t="inlineStr">
        <is>
          <t>Водоспад</t>
        </is>
      </c>
      <c r="B466" s="22" t="inlineStr">
        <is>
          <t>CAM-24PRO</t>
        </is>
      </c>
      <c r="C466" s="22" t="inlineStr">
        <is>
          <t>38654</t>
        </is>
      </c>
      <c r="D466" s="22" t="inlineStr">
        <is>
          <t>Пила АРС / ARS (CAM-24PRO) з кобурою Японія</t>
        </is>
      </c>
      <c r="E466" s="23" t="n">
        <v>1999</v>
      </c>
    </row>
    <row r="467">
      <c r="A467" s="22" t="inlineStr">
        <is>
          <t>Клуб Рослин</t>
        </is>
      </c>
      <c r="B467" s="22" t="inlineStr">
        <is>
          <t>CAM-24PRO</t>
        </is>
      </c>
      <c r="C467" s="22" t="inlineStr">
        <is>
          <t>11178</t>
        </is>
      </c>
      <c r="D467" s="22" t="inlineStr">
        <is>
          <t>Пила АРС / ARS (CAM-24PRO) з кобурою Японія</t>
        </is>
      </c>
      <c r="E467" s="23" t="n">
        <v>1999</v>
      </c>
    </row>
    <row r="468">
      <c r="A468" s="22" t="inlineStr">
        <is>
          <t>Водоспад</t>
        </is>
      </c>
      <c r="B468" s="22" t="inlineStr">
        <is>
          <t>CT-32E</t>
        </is>
      </c>
      <c r="C468" s="22" t="inlineStr">
        <is>
          <t>37717</t>
        </is>
      </c>
      <c r="D468" s="22" t="inlineStr">
        <is>
          <t>Пила АРС / ARS (CT-32E) серповидна з кобурою Японія</t>
        </is>
      </c>
      <c r="E468" s="23" t="n">
        <v>1690</v>
      </c>
    </row>
    <row r="469">
      <c r="A469" s="22" t="inlineStr">
        <is>
          <t>Клуб Рослин</t>
        </is>
      </c>
      <c r="B469" s="22" t="inlineStr">
        <is>
          <t>G-18L</t>
        </is>
      </c>
      <c r="C469" s="22" t="inlineStr">
        <is>
          <t>11187</t>
        </is>
      </c>
      <c r="D469" s="22" t="inlineStr">
        <is>
          <t>Пила АРС / ARS (G-18L) складна Японія</t>
        </is>
      </c>
      <c r="E469" s="23" t="n">
        <v>1199</v>
      </c>
    </row>
    <row r="470">
      <c r="A470" s="22" t="inlineStr">
        <is>
          <t>Водоспад</t>
        </is>
      </c>
      <c r="B470" s="22" t="inlineStr">
        <is>
          <t>GR-18L</t>
        </is>
      </c>
      <c r="C470" s="22" t="inlineStr">
        <is>
          <t>38659</t>
        </is>
      </c>
      <c r="D470" s="22" t="inlineStr">
        <is>
          <t>Пила АРС / ARS (GR-18L) складна Японія</t>
        </is>
      </c>
      <c r="E470" s="23" t="n">
        <v>1449</v>
      </c>
    </row>
    <row r="471">
      <c r="A471" s="22" t="inlineStr">
        <is>
          <t>Клуб Рослин</t>
        </is>
      </c>
      <c r="B471" s="22" t="inlineStr">
        <is>
          <t>PM-24</t>
        </is>
      </c>
      <c r="C471" s="22" t="inlineStr">
        <is>
          <t>11192</t>
        </is>
      </c>
      <c r="D471" s="22" t="inlineStr">
        <is>
          <t>Пила АРС / ARS (PM-24) складна Японія</t>
        </is>
      </c>
      <c r="E471" s="23" t="n">
        <v>1920</v>
      </c>
    </row>
    <row r="472">
      <c r="A472" s="22" t="inlineStr">
        <is>
          <t>Водоспад</t>
        </is>
      </c>
      <c r="B472" s="22" t="inlineStr">
        <is>
          <t>PM-24L</t>
        </is>
      </c>
      <c r="C472" s="22" t="inlineStr">
        <is>
          <t>38661</t>
        </is>
      </c>
      <c r="D472" s="22" t="inlineStr">
        <is>
          <t>Пила АРС / ARS (PM-24L) складна Японія</t>
        </is>
      </c>
      <c r="E472" s="23" t="n">
        <v>1920</v>
      </c>
    </row>
    <row r="473">
      <c r="A473" s="22" t="inlineStr">
        <is>
          <t>Водоспад</t>
        </is>
      </c>
      <c r="B473" s="22" t="inlineStr">
        <is>
          <t>UV-32E</t>
        </is>
      </c>
      <c r="C473" s="22" t="inlineStr">
        <is>
          <t>37716</t>
        </is>
      </c>
      <c r="D473" s="22" t="inlineStr">
        <is>
          <t>Пила АРС / ARS (UV-32E) серповидна з кобурою Японія</t>
        </is>
      </c>
      <c r="E473" s="23" t="n">
        <v>1690</v>
      </c>
    </row>
    <row r="474">
      <c r="A474" s="22" t="inlineStr">
        <is>
          <t>Водоспад</t>
        </is>
      </c>
      <c r="B474" s="22" t="inlineStr">
        <is>
          <t>UVR-32PRO</t>
        </is>
      </c>
      <c r="C474" s="22" t="inlineStr">
        <is>
          <t>41929</t>
        </is>
      </c>
      <c r="D474" s="22" t="inlineStr">
        <is>
          <t>Пила АРС Супер Турбокат / ARS Super Turbocut (UVR-32PRO) з кобурою Японія</t>
        </is>
      </c>
      <c r="E474" s="23" t="n">
        <v>3590</v>
      </c>
    </row>
    <row r="475">
      <c r="A475" s="22" t="inlineStr">
        <is>
          <t>Водоспад</t>
        </is>
      </c>
      <c r="B475" s="22" t="inlineStr">
        <is>
          <t>CTR-32PRO</t>
        </is>
      </c>
      <c r="C475" s="22" t="inlineStr">
        <is>
          <t>38663</t>
        </is>
      </c>
      <c r="D475" s="22" t="inlineStr">
        <is>
          <t>Пила АРС Турбокат / ARS Turbocut (CTR-32PRO) серповидна з кобурою Японія</t>
        </is>
      </c>
      <c r="E475" s="23" t="n">
        <v>3590</v>
      </c>
    </row>
    <row r="476">
      <c r="A476" s="22" t="inlineStr">
        <is>
          <t>Клуб Рослин</t>
        </is>
      </c>
      <c r="B476" s="22" t="inlineStr">
        <is>
          <t>CTR-32PRO</t>
        </is>
      </c>
      <c r="C476" s="22" t="inlineStr">
        <is>
          <t>11183</t>
        </is>
      </c>
      <c r="D476" s="22" t="inlineStr">
        <is>
          <t>Пила АРС Турбокат / ARS Turbocut (CTR-32PRO) серповидна з кобурою Японія</t>
        </is>
      </c>
      <c r="E476" s="23" t="n">
        <v>3590</v>
      </c>
    </row>
    <row r="477">
      <c r="A477" s="22" t="inlineStr">
        <is>
          <t>Клуб Рослин</t>
        </is>
      </c>
      <c r="B477" s="22" t="inlineStr">
        <is>
          <t>6350</t>
        </is>
      </c>
      <c r="C477" s="22" t="inlineStr">
        <is>
          <t>14598</t>
        </is>
      </c>
      <c r="D477" s="22" t="inlineStr">
        <is>
          <t>Пила з вигнутим лезом Альпен Берніна / Alpen Bernina (6350) Швейцарія</t>
        </is>
      </c>
      <c r="E477" s="23" t="n">
        <v>1520</v>
      </c>
    </row>
    <row r="478">
      <c r="A478" s="22" t="inlineStr">
        <is>
          <t>Водоспад</t>
        </is>
      </c>
      <c r="B478" s="22" t="inlineStr">
        <is>
          <t>DUKE-25</t>
        </is>
      </c>
      <c r="C478" s="22" t="inlineStr">
        <is>
          <t>38656</t>
        </is>
      </c>
      <c r="D478" s="22" t="inlineStr">
        <is>
          <t>Пила с кобурой АРС / ARS ( DUKE-25) Японія</t>
        </is>
      </c>
      <c r="E478" s="23" t="n">
        <v>1470</v>
      </c>
    </row>
    <row r="479">
      <c r="A479" s="22" t="inlineStr">
        <is>
          <t>Водоспад</t>
        </is>
      </c>
      <c r="B479" s="22" t="inlineStr">
        <is>
          <t>390-33</t>
        </is>
      </c>
      <c r="C479" s="22" t="inlineStr">
        <is>
          <t>42303</t>
        </is>
      </c>
      <c r="D479" s="22" t="inlineStr">
        <is>
          <t>Пила садова Silky Sugoi 330-6.5-5.5 (390-33) Японія</t>
        </is>
      </c>
      <c r="E479" s="23" t="n">
        <v>5290</v>
      </c>
    </row>
    <row r="480">
      <c r="A480" s="22" t="inlineStr">
        <is>
          <t>Водоспад</t>
        </is>
      </c>
      <c r="B480" s="22" t="inlineStr">
        <is>
          <t>340-17</t>
        </is>
      </c>
      <c r="C480" s="22" t="inlineStr">
        <is>
          <t>32947</t>
        </is>
      </c>
      <c r="D480" s="22" t="inlineStr">
        <is>
          <t>Пила садова розкладна Silky Pocketboy 170-10 (340-17) Японія</t>
        </is>
      </c>
      <c r="E480" s="23" t="n">
        <v>2190</v>
      </c>
    </row>
    <row r="481">
      <c r="A481" s="22" t="inlineStr">
        <is>
          <t>Водоспад</t>
        </is>
      </c>
      <c r="B481" s="22" t="inlineStr">
        <is>
          <t>356-36</t>
        </is>
      </c>
      <c r="C481" s="22" t="inlineStr">
        <is>
          <t>32917</t>
        </is>
      </c>
      <c r="D481" s="22" t="inlineStr">
        <is>
          <t>Пила садова складна Silky Bigboy 360-6.5 (356-36) Японія</t>
        </is>
      </c>
      <c r="E481" s="23" t="n">
        <v>4495</v>
      </c>
    </row>
    <row r="482">
      <c r="A482" s="22" t="inlineStr">
        <is>
          <t>Водоспад</t>
        </is>
      </c>
      <c r="B482" s="22" t="inlineStr">
        <is>
          <t>354-36</t>
        </is>
      </c>
      <c r="C482" s="22" t="inlineStr">
        <is>
          <t>32916</t>
        </is>
      </c>
      <c r="D482" s="22" t="inlineStr">
        <is>
          <t>Пила садова складна Silky Bigboy 360-7 (354-36) Японія</t>
        </is>
      </c>
      <c r="E482" s="23" t="n">
        <v>3995</v>
      </c>
    </row>
    <row r="483">
      <c r="A483" s="22" t="inlineStr">
        <is>
          <t>Водоспад</t>
        </is>
      </c>
      <c r="B483" s="22" t="inlineStr">
        <is>
          <t>141-18</t>
        </is>
      </c>
      <c r="C483" s="22" t="inlineStr">
        <is>
          <t>32907</t>
        </is>
      </c>
      <c r="D483" s="22" t="inlineStr">
        <is>
          <t>Пила садова складна Silky F-180-14 (141-18) Японія</t>
        </is>
      </c>
      <c r="E483" s="23" t="n">
        <v>1490</v>
      </c>
    </row>
    <row r="484">
      <c r="A484" s="22" t="inlineStr">
        <is>
          <t>Клуб Рослин</t>
        </is>
      </c>
      <c r="B484" s="22" t="inlineStr">
        <is>
          <t>141-18</t>
        </is>
      </c>
      <c r="C484" s="22" t="inlineStr">
        <is>
          <t>11230</t>
        </is>
      </c>
      <c r="D484" s="22" t="inlineStr">
        <is>
          <t>Пила садова складна Silky F-180-14 (141-18) Японія</t>
        </is>
      </c>
      <c r="E484" s="23" t="n">
        <v>1490</v>
      </c>
    </row>
    <row r="485">
      <c r="A485" s="22" t="inlineStr">
        <is>
          <t>Водоспад</t>
        </is>
      </c>
      <c r="B485" s="22" t="inlineStr">
        <is>
          <t>403-50</t>
        </is>
      </c>
      <c r="C485" s="22" t="inlineStr">
        <is>
          <t>32905</t>
        </is>
      </c>
      <c r="D485" s="22" t="inlineStr">
        <is>
          <t>Пила садова складна Silky Katanaboy 500-5 (403-50) Японія</t>
        </is>
      </c>
      <c r="E485" s="23" t="n">
        <v>8990</v>
      </c>
    </row>
    <row r="486">
      <c r="A486" s="22" t="inlineStr">
        <is>
          <t>Водоспад</t>
        </is>
      </c>
      <c r="B486" s="22" t="inlineStr">
        <is>
          <t>104-27</t>
        </is>
      </c>
      <c r="C486" s="22" t="inlineStr">
        <is>
          <t>33459</t>
        </is>
      </c>
      <c r="D486" s="22" t="inlineStr">
        <is>
          <t>Пила садова із чохлом Silky Gomtaro 270-13 (104-27) Японія</t>
        </is>
      </c>
      <c r="E486" s="23" t="n">
        <v>2950</v>
      </c>
    </row>
    <row r="487">
      <c r="A487" s="22" t="inlineStr">
        <is>
          <t>Водоспад</t>
        </is>
      </c>
      <c r="B487" s="22" t="inlineStr">
        <is>
          <t>102-30</t>
        </is>
      </c>
      <c r="C487" s="22" t="inlineStr">
        <is>
          <t>32891</t>
        </is>
      </c>
      <c r="D487" s="22" t="inlineStr">
        <is>
          <t>Пила садова із чохлом Silky Gomtaro 300-8 (102-30) Японія</t>
        </is>
      </c>
      <c r="E487" s="23" t="n">
        <v>3290</v>
      </c>
    </row>
    <row r="488">
      <c r="A488" s="22" t="inlineStr">
        <is>
          <t>Водоспад</t>
        </is>
      </c>
      <c r="B488" s="22" t="inlineStr">
        <is>
          <t>275-39</t>
        </is>
      </c>
      <c r="C488" s="22" t="inlineStr">
        <is>
          <t>32913</t>
        </is>
      </c>
      <c r="D488" s="22" t="inlineStr">
        <is>
          <t>Пила садова із чохлом Silky Ibuki 390-5.5 (275-39) Японія</t>
        </is>
      </c>
      <c r="E488" s="23" t="n">
        <v>5490</v>
      </c>
    </row>
    <row r="489">
      <c r="A489" s="22" t="inlineStr">
        <is>
          <t>Водоспад</t>
        </is>
      </c>
      <c r="B489" s="22" t="inlineStr">
        <is>
          <t>390-36</t>
        </is>
      </c>
      <c r="C489" s="22" t="inlineStr">
        <is>
          <t>36718</t>
        </is>
      </c>
      <c r="D489" s="22" t="inlineStr">
        <is>
          <t>Пила садова із чохлом Silky Sugoi 360-6.5 (390-36) Японія</t>
        </is>
      </c>
      <c r="E489" s="23" t="n">
        <v>5690</v>
      </c>
    </row>
    <row r="490">
      <c r="A490" s="22" t="inlineStr">
        <is>
          <t>Водоспад</t>
        </is>
      </c>
      <c r="B490" s="22" t="inlineStr">
        <is>
          <t>390-42</t>
        </is>
      </c>
      <c r="C490" s="22" t="inlineStr">
        <is>
          <t>40640</t>
        </is>
      </c>
      <c r="D490" s="22" t="inlineStr">
        <is>
          <t>Пила садова із чохлом Silky Sugoi 420-6.5 (390-42) Японія</t>
        </is>
      </c>
      <c r="E490" s="23" t="n">
        <v>5990</v>
      </c>
    </row>
    <row r="491">
      <c r="A491" s="22" t="inlineStr">
        <is>
          <t>Водоспад</t>
        </is>
      </c>
      <c r="B491" s="22" t="inlineStr">
        <is>
          <t>419-42</t>
        </is>
      </c>
      <c r="C491" s="22" t="inlineStr">
        <is>
          <t>32914</t>
        </is>
      </c>
      <c r="D491" s="22" t="inlineStr">
        <is>
          <t>Пила садова із чохлом Silky Sugowaza 420-6.5 (419-42) Японія</t>
        </is>
      </c>
      <c r="E491" s="23" t="n">
        <v>5890</v>
      </c>
    </row>
    <row r="492">
      <c r="A492" s="22" t="inlineStr">
        <is>
          <t>Водоспад</t>
        </is>
      </c>
      <c r="B492" s="22" t="inlineStr">
        <is>
          <t>270-30</t>
        </is>
      </c>
      <c r="C492" s="22" t="inlineStr">
        <is>
          <t>33215</t>
        </is>
      </c>
      <c r="D492" s="22" t="inlineStr">
        <is>
          <t>Пила садова із чохлом Silky Zubat 300-7.5 (270-30) Японія</t>
        </is>
      </c>
      <c r="E492" s="23" t="n">
        <v>3690</v>
      </c>
    </row>
    <row r="493">
      <c r="A493" s="22" t="inlineStr">
        <is>
          <t>Водоспад</t>
        </is>
      </c>
      <c r="B493" s="22" t="inlineStr">
        <is>
          <t>278-33</t>
        </is>
      </c>
      <c r="C493" s="22" t="inlineStr">
        <is>
          <t>32904</t>
        </is>
      </c>
      <c r="D493" s="22" t="inlineStr">
        <is>
          <t>Пила садова із чохлом Silky Zubat 330-10 (278-33) Японія</t>
        </is>
      </c>
      <c r="E493" s="23" t="n">
        <v>3890</v>
      </c>
    </row>
    <row r="494">
      <c r="A494" s="22" t="inlineStr">
        <is>
          <t>Водоспад</t>
        </is>
      </c>
      <c r="B494" s="22" t="inlineStr">
        <is>
          <t>270-39</t>
        </is>
      </c>
      <c r="C494" s="22" t="inlineStr">
        <is>
          <t>32903</t>
        </is>
      </c>
      <c r="D494" s="22" t="inlineStr">
        <is>
          <t>Пила садова із чохлом Silky Zubat 390-7.5 (270-39) Японія</t>
        </is>
      </c>
      <c r="E494" s="23" t="n">
        <v>4290</v>
      </c>
    </row>
    <row r="495">
      <c r="A495" s="22" t="inlineStr">
        <is>
          <t>Водоспад</t>
        </is>
      </c>
      <c r="B495" s="22" t="inlineStr">
        <is>
          <t>752-24</t>
        </is>
      </c>
      <c r="C495" s="22" t="inlineStr">
        <is>
          <t>42186</t>
        </is>
      </c>
      <c r="D495" s="22" t="inlineStr">
        <is>
          <t>Пила складна Silky Gomboy 240-8 Curve Outback Edition (752-24) Японія</t>
        </is>
      </c>
      <c r="E495" s="23" t="n">
        <v>3490</v>
      </c>
    </row>
    <row r="496">
      <c r="A496" s="22" t="inlineStr">
        <is>
          <t>Водоспад</t>
        </is>
      </c>
      <c r="B496" s="22" t="inlineStr">
        <is>
          <t>717-30</t>
        </is>
      </c>
      <c r="C496" s="22" t="inlineStr">
        <is>
          <t>40713</t>
        </is>
      </c>
      <c r="D496" s="22" t="inlineStr">
        <is>
          <t>Пила складна Silky Gomboy 300 мм (717-30) Японія</t>
        </is>
      </c>
      <c r="E496" s="23" t="n">
        <v>3790</v>
      </c>
    </row>
    <row r="497">
      <c r="A497" s="22" t="inlineStr">
        <is>
          <t>Водоспад</t>
        </is>
      </c>
      <c r="B497" s="22" t="inlineStr">
        <is>
          <t>352-36</t>
        </is>
      </c>
      <c r="C497" s="22" t="inlineStr">
        <is>
          <t>40871</t>
        </is>
      </c>
      <c r="D497" s="22" t="inlineStr">
        <is>
          <t>Пила складна Silky Professional Bigboy Fine Teeth (352-36) Японія</t>
        </is>
      </c>
      <c r="E497" s="23" t="n">
        <v>3995</v>
      </c>
    </row>
    <row r="498">
      <c r="A498" s="22" t="inlineStr">
        <is>
          <t>Водоспад</t>
        </is>
      </c>
      <c r="B498" s="22" t="inlineStr">
        <is>
          <t>726-13</t>
        </is>
      </c>
      <c r="C498" s="22" t="inlineStr">
        <is>
          <t>40873</t>
        </is>
      </c>
      <c r="D498" s="22" t="inlineStr">
        <is>
          <t>Пилка складана Silky Professional Series PocketBoy (726-13) Японія</t>
        </is>
      </c>
      <c r="E498" s="23" t="n">
        <v>2090</v>
      </c>
    </row>
    <row r="499">
      <c r="A499" s="22" t="inlineStr">
        <is>
          <t>Водоспад</t>
        </is>
      </c>
      <c r="B499" s="22" t="inlineStr">
        <is>
          <t>754-36</t>
        </is>
      </c>
      <c r="C499" s="22" t="inlineStr">
        <is>
          <t>42187</t>
        </is>
      </c>
      <c r="D499" s="22" t="inlineStr">
        <is>
          <t>Пилка складна Silky Bigboy 2000 Outback edition (754-36) Японія</t>
        </is>
      </c>
      <c r="E499" s="23" t="n">
        <v>5990</v>
      </c>
    </row>
    <row r="500">
      <c r="A500" s="22" t="inlineStr">
        <is>
          <t>Водоспад</t>
        </is>
      </c>
      <c r="B500" s="22" t="inlineStr">
        <is>
          <t>350-36</t>
        </is>
      </c>
      <c r="C500" s="22" t="inlineStr">
        <is>
          <t>33987</t>
        </is>
      </c>
      <c r="D500" s="22" t="inlineStr">
        <is>
          <t>Пилка складна Silky Bigboy 360-10 (350-36) Японія</t>
        </is>
      </c>
      <c r="E500" s="23" t="n">
        <v>3995</v>
      </c>
    </row>
    <row r="501">
      <c r="A501" s="22" t="inlineStr">
        <is>
          <t>Клуб Рослин</t>
        </is>
      </c>
      <c r="B501" s="22" t="inlineStr">
        <is>
          <t>SR-L-1190</t>
        </is>
      </c>
      <c r="C501" s="22" t="inlineStr">
        <is>
          <t>16111</t>
        </is>
      </c>
      <c r="D501" s="22" t="inlineStr">
        <is>
          <t>Планувальник грунту ручний без держака Смарт Рейн / Smart Rain (SR-L-1190) Україна</t>
        </is>
      </c>
      <c r="E501" s="23" t="n">
        <v>2950</v>
      </c>
    </row>
    <row r="502">
      <c r="A502" s="22" t="inlineStr">
        <is>
          <t>Клуб Рослин</t>
        </is>
      </c>
      <c r="B502" s="22" t="inlineStr">
        <is>
          <t>SR-L-890</t>
        </is>
      </c>
      <c r="C502" s="22" t="inlineStr">
        <is>
          <t>16113</t>
        </is>
      </c>
      <c r="D502" s="22" t="inlineStr">
        <is>
          <t>Планувальник грунту ручний без держака Смарт Рейн / Smart Rain (SR-L-890)</t>
        </is>
      </c>
      <c r="E502" s="23" t="n">
        <v>2650</v>
      </c>
    </row>
    <row r="503">
      <c r="A503" s="22" t="inlineStr">
        <is>
          <t>Клуб Рослин</t>
        </is>
      </c>
      <c r="B503" s="22" t="inlineStr">
        <is>
          <t>121001004985</t>
        </is>
      </c>
      <c r="C503" s="22" t="inlineStr">
        <is>
          <t>15677</t>
        </is>
      </c>
      <c r="D503" s="22" t="inlineStr">
        <is>
          <t>Подарунковий набір Felco (Секатор Фелко 2 + Фірмова Шапка) Швейцарія</t>
        </is>
      </c>
      <c r="E503" s="23" t="n">
        <v>3090</v>
      </c>
    </row>
    <row r="504">
      <c r="A504" s="22" t="inlineStr">
        <is>
          <t>Водоспад</t>
        </is>
      </c>
      <c r="B504" s="22" t="inlineStr">
        <is>
          <t>4420-11</t>
        </is>
      </c>
      <c r="C504" s="22" t="inlineStr">
        <is>
          <t>32538</t>
        </is>
      </c>
      <c r="D504" s="22" t="inlineStr">
        <is>
          <t>Полотно для обрізних пил Bahco (4420-11) Швеція</t>
        </is>
      </c>
      <c r="E504" s="23" t="n">
        <v>570</v>
      </c>
    </row>
    <row r="505">
      <c r="A505" s="22" t="inlineStr">
        <is>
          <t>Водоспад</t>
        </is>
      </c>
      <c r="B505" s="22" t="inlineStr">
        <is>
          <t>23FASPE10</t>
        </is>
      </c>
      <c r="C505" s="22" t="inlineStr">
        <is>
          <t>42309</t>
        </is>
      </c>
      <c r="D505" s="22" t="inlineStr">
        <is>
          <t>Підв`язка для рослин 10 см Х 1000 шт гнучкий сталевий дріт Cordioli (23FASPE10) Італія</t>
        </is>
      </c>
      <c r="E505" s="23" t="n">
        <v>130</v>
      </c>
    </row>
    <row r="506">
      <c r="A506" s="22" t="inlineStr">
        <is>
          <t>Водоспад</t>
        </is>
      </c>
      <c r="B506" s="22" t="inlineStr">
        <is>
          <t>23FCSPE10</t>
        </is>
      </c>
      <c r="C506" s="22" t="inlineStr">
        <is>
          <t>40552</t>
        </is>
      </c>
      <c r="D506" s="22" t="inlineStr">
        <is>
          <t>Підв`язка для рослин 10 см х 1000 шт гнучкий сталевий дріт у паперовій оболонці (23FCSPE10) Італія</t>
        </is>
      </c>
      <c r="E506" s="23" t="n">
        <v>90</v>
      </c>
    </row>
    <row r="507">
      <c r="A507" s="22" t="inlineStr">
        <is>
          <t>Водоспад</t>
        </is>
      </c>
      <c r="B507" s="22" t="inlineStr">
        <is>
          <t>23FCSPE15</t>
        </is>
      </c>
      <c r="C507" s="22" t="inlineStr">
        <is>
          <t>40554</t>
        </is>
      </c>
      <c r="D507" s="22" t="inlineStr">
        <is>
          <t>Підв`язка для рослин 15 см Х 1000 шт сталевий дріт у паперовій оболонці (23FCSPE15) Cordioli Італія</t>
        </is>
      </c>
      <c r="E507" s="23" t="n">
        <v>130</v>
      </c>
    </row>
    <row r="508">
      <c r="A508" s="22" t="inlineStr">
        <is>
          <t>Водоспад</t>
        </is>
      </c>
      <c r="B508" s="22" t="inlineStr">
        <is>
          <t>23FA150</t>
        </is>
      </c>
      <c r="C508" s="22" t="inlineStr">
        <is>
          <t>42173</t>
        </is>
      </c>
      <c r="D508" s="22" t="inlineStr">
        <is>
          <t>Підв`язка для рослин 150 м 0.45 см сталевий дріт у пластикові оболонці (23FA150) Cordioli Італія</t>
        </is>
      </c>
      <c r="E508" s="23" t="n">
        <v>160</v>
      </c>
    </row>
    <row r="509">
      <c r="A509" s="22" t="inlineStr">
        <is>
          <t>Водоспад</t>
        </is>
      </c>
      <c r="B509" s="22" t="inlineStr">
        <is>
          <t>23FC250</t>
        </is>
      </c>
      <c r="C509" s="22" t="inlineStr">
        <is>
          <t>42175</t>
        </is>
      </c>
      <c r="D509" s="22" t="inlineStr">
        <is>
          <t>Підв`язка для рослин 250 м сталевий дріт у паперовій оболонці (23FC250) Cordioli Італія</t>
        </is>
      </c>
      <c r="E509" s="23" t="n">
        <v>235</v>
      </c>
    </row>
    <row r="510">
      <c r="A510" s="22" t="inlineStr">
        <is>
          <t>Водоспад</t>
        </is>
      </c>
      <c r="B510" s="22" t="inlineStr">
        <is>
          <t>23FCTO</t>
        </is>
      </c>
      <c r="C510" s="22" t="inlineStr">
        <is>
          <t>42174</t>
        </is>
      </c>
      <c r="D510" s="22" t="inlineStr">
        <is>
          <t>Підв`язка для рослин 250м сталевий дріт у паперовій оболонці (23FCTO) Cordioli Італія</t>
        </is>
      </c>
      <c r="E510" s="23" t="n">
        <v>285</v>
      </c>
    </row>
    <row r="511">
      <c r="A511" s="22" t="inlineStr">
        <is>
          <t>Водоспад</t>
        </is>
      </c>
      <c r="B511" s="22" t="inlineStr">
        <is>
          <t>23FASPE15</t>
        </is>
      </c>
      <c r="C511" s="22" t="inlineStr">
        <is>
          <t>37925</t>
        </is>
      </c>
      <c r="D511" s="22" t="inlineStr">
        <is>
          <t>Підв`язка для рослин Tie_15 ~1000 шт 15 см (23FASPE15) Cordioli Італія</t>
        </is>
      </c>
      <c r="E511" s="23" t="n">
        <v>180</v>
      </c>
    </row>
    <row r="512">
      <c r="A512" s="22" t="inlineStr">
        <is>
          <t>Водоспад</t>
        </is>
      </c>
      <c r="B512" s="22" t="inlineStr">
        <is>
          <t>21001</t>
        </is>
      </c>
      <c r="C512" s="22" t="inlineStr">
        <is>
          <t>32791</t>
        </is>
      </c>
      <c r="D512" s="22" t="inlineStr">
        <is>
          <t>Робоче лезо для сучкорізу LOWE 21 Lowe 21001 Німеччина</t>
        </is>
      </c>
      <c r="E512" s="23" t="n">
        <v>1750</v>
      </c>
    </row>
    <row r="513">
      <c r="A513" s="22" t="inlineStr">
        <is>
          <t>Водоспад</t>
        </is>
      </c>
      <c r="B513" s="22" t="inlineStr">
        <is>
          <t>20011/100</t>
        </is>
      </c>
      <c r="C513" s="22" t="inlineStr">
        <is>
          <t>32788</t>
        </is>
      </c>
      <c r="D513" s="22" t="inlineStr">
        <is>
          <t>Ручки для сучкоріза Lowe 20/22 (20011/100) Німеччина</t>
        </is>
      </c>
      <c r="E513" s="23" t="n">
        <v>2190</v>
      </c>
    </row>
    <row r="514">
      <c r="A514" s="22" t="inlineStr">
        <is>
          <t>Клуб Рослин</t>
        </is>
      </c>
      <c r="B514" s="22" t="inlineStr">
        <is>
          <t>20011/100</t>
        </is>
      </c>
      <c r="C514" s="22" t="inlineStr">
        <is>
          <t>15718</t>
        </is>
      </c>
      <c r="D514" s="22" t="inlineStr">
        <is>
          <t>Ручки для сучкоріза Lowe 20/22 (20011/100) Німеччина</t>
        </is>
      </c>
      <c r="E514" s="23" t="n">
        <v>1990</v>
      </c>
    </row>
    <row r="515">
      <c r="A515" s="22" t="inlineStr">
        <is>
          <t>Клуб Рослин</t>
        </is>
      </c>
      <c r="B515" s="22" t="inlineStr">
        <is>
          <t>SR-AR-2</t>
        </is>
      </c>
      <c r="C515" s="22" t="inlineStr">
        <is>
          <t>16106</t>
        </is>
      </c>
      <c r="D515" s="22" t="inlineStr">
        <is>
          <t>Ручний аератор Смарт Рейн / Smart Rain (SR-AR-2) Україна</t>
        </is>
      </c>
      <c r="E515" s="23" t="n">
        <v>3450</v>
      </c>
    </row>
    <row r="516">
      <c r="A516" s="22" t="inlineStr">
        <is>
          <t>Водоспад</t>
        </is>
      </c>
      <c r="B516" s="22" t="inlineStr">
        <is>
          <t>4211-11-6T</t>
        </is>
      </c>
      <c r="C516" s="22" t="inlineStr">
        <is>
          <t>31928</t>
        </is>
      </c>
      <c r="D516" s="22" t="inlineStr">
        <is>
          <t>Садова обрізна пила Bahco 4211-11-6T (із загартованими зубами ) 280 мм</t>
        </is>
      </c>
      <c r="E516" s="23" t="n">
        <v>950</v>
      </c>
    </row>
    <row r="517">
      <c r="A517" s="22" t="inlineStr">
        <is>
          <t>Клуб Рослин</t>
        </is>
      </c>
      <c r="B517" s="22" t="inlineStr">
        <is>
          <t>4211-11-6T</t>
        </is>
      </c>
      <c r="C517" s="22" t="inlineStr">
        <is>
          <t>11706</t>
        </is>
      </c>
      <c r="D517" s="22" t="inlineStr">
        <is>
          <t>Садова обрізна пила Bahco 4211-11-6T (із загартованими зубами ) 280 мм</t>
        </is>
      </c>
      <c r="E517" s="23" t="n">
        <v>950</v>
      </c>
    </row>
    <row r="518">
      <c r="A518" s="22" t="inlineStr">
        <is>
          <t>Водоспад</t>
        </is>
      </c>
      <c r="B518" s="22" t="inlineStr">
        <is>
          <t>4212-11-6T</t>
        </is>
      </c>
      <c r="C518" s="22" t="inlineStr">
        <is>
          <t>31975</t>
        </is>
      </c>
      <c r="D518" s="22" t="inlineStr">
        <is>
          <t>Садова обрізна пила Bahco 4212-11-6T (з переточуваними зубами) 280 мм</t>
        </is>
      </c>
      <c r="E518" s="23" t="n">
        <v>890</v>
      </c>
    </row>
    <row r="519">
      <c r="A519" s="22" t="inlineStr">
        <is>
          <t>Клуб Рослин</t>
        </is>
      </c>
      <c r="B519" s="22" t="inlineStr">
        <is>
          <t>4212-11-6T</t>
        </is>
      </c>
      <c r="C519" s="22" t="inlineStr">
        <is>
          <t>11708</t>
        </is>
      </c>
      <c r="D519" s="22" t="inlineStr">
        <is>
          <t>Садова обрізна пила Bahco 4212-11-6T (з переточуваними зубами) 280 мм</t>
        </is>
      </c>
      <c r="E519" s="23" t="n">
        <v>890</v>
      </c>
    </row>
    <row r="520">
      <c r="A520" s="22" t="inlineStr">
        <is>
          <t>Водоспад</t>
        </is>
      </c>
      <c r="B520" s="22" t="inlineStr">
        <is>
          <t>121-21</t>
        </is>
      </c>
      <c r="C520" s="22" t="inlineStr">
        <is>
          <t>33344</t>
        </is>
      </c>
      <c r="D520" s="22" t="inlineStr">
        <is>
          <t>Садова пила складна Silky Gomboy 210-10 (121-21) Японія</t>
        </is>
      </c>
      <c r="E520" s="23" t="n">
        <v>2590</v>
      </c>
    </row>
    <row r="521">
      <c r="A521" s="22" t="inlineStr">
        <is>
          <t>Водоспад</t>
        </is>
      </c>
      <c r="B521" s="22" t="inlineStr">
        <is>
          <t>121-30</t>
        </is>
      </c>
      <c r="C521" s="22" t="inlineStr">
        <is>
          <t>32901</t>
        </is>
      </c>
      <c r="D521" s="22" t="inlineStr">
        <is>
          <t>Садова пила складна Silky Gomboy 300-10 (121-30) Японія</t>
        </is>
      </c>
      <c r="E521" s="23" t="n">
        <v>3590</v>
      </c>
    </row>
    <row r="522">
      <c r="A522" s="22" t="inlineStr">
        <is>
          <t>Водоспад</t>
        </is>
      </c>
      <c r="B522" s="22" t="inlineStr">
        <is>
          <t>717-24</t>
        </is>
      </c>
      <c r="C522" s="22" t="inlineStr">
        <is>
          <t>36319</t>
        </is>
      </c>
      <c r="D522" s="22" t="inlineStr">
        <is>
          <t>Садова пила складна Silky Gomboy Curve 240-8 (717-24) Японія</t>
        </is>
      </c>
      <c r="E522" s="23" t="n">
        <v>3000</v>
      </c>
    </row>
    <row r="523">
      <c r="A523" s="22" t="inlineStr">
        <is>
          <t>Водоспад</t>
        </is>
      </c>
      <c r="B523" s="22" t="inlineStr">
        <is>
          <t>717-27</t>
        </is>
      </c>
      <c r="C523" s="22" t="inlineStr">
        <is>
          <t>33664</t>
        </is>
      </c>
      <c r="D523" s="22" t="inlineStr">
        <is>
          <t>Садова пила складна Silky Gomboy Curve 270-8 (717-27) Японія</t>
        </is>
      </c>
      <c r="E523" s="23" t="n">
        <v>3290</v>
      </c>
    </row>
    <row r="524">
      <c r="A524" s="22" t="inlineStr">
        <is>
          <t>Водоспад</t>
        </is>
      </c>
      <c r="B524" s="22" t="inlineStr">
        <is>
          <t>760-55</t>
        </is>
      </c>
      <c r="C524" s="22" t="inlineStr">
        <is>
          <t>43339</t>
        </is>
      </c>
      <c r="D524" s="22" t="inlineStr">
        <is>
          <t>Садова пила складна Silky Katanaboy 550-5 (760-55) Японія</t>
        </is>
      </c>
      <c r="E524" s="23" t="n">
        <v>11990</v>
      </c>
    </row>
    <row r="525">
      <c r="A525" s="22" t="inlineStr">
        <is>
          <t>Водоспад</t>
        </is>
      </c>
      <c r="B525" s="22" t="inlineStr">
        <is>
          <t>710-65</t>
        </is>
      </c>
      <c r="C525" s="22" t="inlineStr">
        <is>
          <t>33434</t>
        </is>
      </c>
      <c r="D525" s="22" t="inlineStr">
        <is>
          <t>Садова пила складна Silky Katanaboy 650-4 (710-65) Японія</t>
        </is>
      </c>
      <c r="E525" s="23" t="n">
        <v>13990</v>
      </c>
    </row>
    <row r="526">
      <c r="A526" s="22" t="inlineStr">
        <is>
          <t>Водоспад</t>
        </is>
      </c>
      <c r="B526" s="22" t="inlineStr">
        <is>
          <t>143-18</t>
        </is>
      </c>
      <c r="C526" s="22" t="inlineStr">
        <is>
          <t>32908</t>
        </is>
      </c>
      <c r="D526" s="22" t="inlineStr">
        <is>
          <t>Садова складна пилка Silky F-180-7,5 (143-18) Японія</t>
        </is>
      </c>
      <c r="E526" s="23" t="n">
        <v>1490</v>
      </c>
    </row>
    <row r="527">
      <c r="A527" s="22" t="inlineStr">
        <is>
          <t>Водоспад</t>
        </is>
      </c>
      <c r="B527" s="22" t="inlineStr">
        <is>
          <t>5771/R</t>
        </is>
      </c>
      <c r="C527" s="22" t="inlineStr">
        <is>
          <t>40910</t>
        </is>
      </c>
      <c r="D527" s="22" t="inlineStr">
        <is>
          <t>Садовий ніж для щеплення Антоніні / Antonini 17 см сталь - AISI 420 (5771/R) Італія</t>
        </is>
      </c>
      <c r="E527" s="23" t="n">
        <v>490</v>
      </c>
    </row>
    <row r="528">
      <c r="A528" s="22" t="inlineStr">
        <is>
          <t>Водоспад</t>
        </is>
      </c>
      <c r="B528" s="22" t="inlineStr">
        <is>
          <t>5776/N</t>
        </is>
      </c>
      <c r="C528" s="22" t="inlineStr">
        <is>
          <t>40625</t>
        </is>
      </c>
      <c r="D528" s="22" t="inlineStr">
        <is>
          <t>Садовий ніж для щеплення Антоніні / Antonini 17 см сталь - C67 (5776/N) Італія</t>
        </is>
      </c>
      <c r="E528" s="23" t="n">
        <v>550</v>
      </c>
    </row>
    <row r="529">
      <c r="A529" s="22" t="inlineStr">
        <is>
          <t>Водоспад</t>
        </is>
      </c>
      <c r="B529" s="22" t="inlineStr">
        <is>
          <t>11.107</t>
        </is>
      </c>
      <c r="C529" s="22" t="inlineStr">
        <is>
          <t>38283</t>
        </is>
      </c>
      <c r="D529" s="22" t="inlineStr">
        <is>
          <t>Садовий секатор LOWE Original 11.107 Німеччина</t>
        </is>
      </c>
      <c r="E529" s="23" t="n">
        <v>2490</v>
      </c>
    </row>
    <row r="530">
      <c r="A530" s="22" t="inlineStr">
        <is>
          <t>Водоспад</t>
        </is>
      </c>
      <c r="B530" s="22" t="inlineStr">
        <is>
          <t>KST103</t>
        </is>
      </c>
      <c r="C530" s="22" t="inlineStr">
        <is>
          <t>32950</t>
        </is>
      </c>
      <c r="D530" s="22" t="inlineStr">
        <is>
          <t>Садовий секатор Okatsune KST103 Японія</t>
        </is>
      </c>
      <c r="E530" s="23" t="n">
        <v>2695</v>
      </c>
    </row>
    <row r="531">
      <c r="A531" s="22" t="inlineStr">
        <is>
          <t>Клуб Рослин</t>
        </is>
      </c>
      <c r="B531" s="22" t="inlineStr">
        <is>
          <t>KST103</t>
        </is>
      </c>
      <c r="C531" s="22" t="inlineStr">
        <is>
          <t>12057</t>
        </is>
      </c>
      <c r="D531" s="22" t="inlineStr">
        <is>
          <t>Садовий секатор Okatsune KST103 Японія</t>
        </is>
      </c>
      <c r="E531" s="23" t="n">
        <v>2695</v>
      </c>
    </row>
    <row r="532">
      <c r="A532" s="22" t="inlineStr">
        <is>
          <t>Водоспад</t>
        </is>
      </c>
      <c r="B532" s="22" t="inlineStr">
        <is>
          <t>1000694</t>
        </is>
      </c>
      <c r="C532" s="22" t="inlineStr">
        <is>
          <t>32177</t>
        </is>
      </c>
      <c r="D532" s="22" t="inlineStr">
        <is>
          <t>Садовий совок Фіскарс Fiskars Solid 137000 (1000694) Фінляндія</t>
        </is>
      </c>
      <c r="E532" s="23" t="n">
        <v>249</v>
      </c>
    </row>
    <row r="533">
      <c r="A533" s="22" t="inlineStr">
        <is>
          <t>Клуб Рослин</t>
        </is>
      </c>
      <c r="B533" s="22" t="inlineStr">
        <is>
          <t>1000694</t>
        </is>
      </c>
      <c r="C533" s="22" t="inlineStr">
        <is>
          <t>12301</t>
        </is>
      </c>
      <c r="D533" s="22" t="inlineStr">
        <is>
          <t>Садовий совок Фіскарс Fiskars Solid 137000 (1000694) Фінляндія</t>
        </is>
      </c>
      <c r="E533" s="23" t="n">
        <v>696</v>
      </c>
    </row>
    <row r="534">
      <c r="A534" s="22" t="inlineStr">
        <is>
          <t>Водоспад</t>
        </is>
      </c>
      <c r="B534" s="22" t="inlineStr">
        <is>
          <t>KST307</t>
        </is>
      </c>
      <c r="C534" s="22" t="inlineStr">
        <is>
          <t>33470</t>
        </is>
      </c>
      <c r="D534" s="22" t="inlineStr">
        <is>
          <t>Садові ножиці Okatsune (KST307) Японія</t>
        </is>
      </c>
      <c r="E534" s="23" t="n">
        <v>850</v>
      </c>
    </row>
    <row r="535">
      <c r="A535" s="22" t="inlineStr">
        <is>
          <t>Клуб Рослин</t>
        </is>
      </c>
      <c r="B535" s="22" t="inlineStr">
        <is>
          <t>KST307</t>
        </is>
      </c>
      <c r="C535" s="22" t="inlineStr">
        <is>
          <t>12076</t>
        </is>
      </c>
      <c r="D535" s="22" t="inlineStr">
        <is>
          <t>Садові ножиці Okatsune (KST307) Японія</t>
        </is>
      </c>
      <c r="E535" s="23" t="n">
        <v>850</v>
      </c>
    </row>
    <row r="536">
      <c r="A536" s="22" t="inlineStr">
        <is>
          <t>Водоспад</t>
        </is>
      </c>
      <c r="B536" s="22" t="inlineStr">
        <is>
          <t>KST304</t>
        </is>
      </c>
      <c r="C536" s="22" t="inlineStr">
        <is>
          <t>33461</t>
        </is>
      </c>
      <c r="D536" s="22" t="inlineStr">
        <is>
          <t>Садові ножиці Окатсуне / Okatsune (KST304) Японія</t>
        </is>
      </c>
      <c r="E536" s="23" t="n">
        <v>850</v>
      </c>
    </row>
    <row r="537">
      <c r="A537" s="22" t="inlineStr">
        <is>
          <t>Клуб Рослин</t>
        </is>
      </c>
      <c r="B537" s="22" t="inlineStr">
        <is>
          <t>KST304</t>
        </is>
      </c>
      <c r="C537" s="22" t="inlineStr">
        <is>
          <t>12074</t>
        </is>
      </c>
      <c r="D537" s="22" t="inlineStr">
        <is>
          <t>Садові ножиці Окатсуне / Okatsune (KST304) Японія</t>
        </is>
      </c>
      <c r="E537" s="23" t="n">
        <v>850</v>
      </c>
    </row>
    <row r="538">
      <c r="A538" s="22" t="inlineStr">
        <is>
          <t>Водоспад</t>
        </is>
      </c>
      <c r="B538" s="22" t="inlineStr">
        <is>
          <t>KST306</t>
        </is>
      </c>
      <c r="C538" s="22" t="inlineStr">
        <is>
          <t>33458</t>
        </is>
      </c>
      <c r="D538" s="22" t="inlineStr">
        <is>
          <t>Садові ножиці Окатсуне / Okatsune (KST306) Японія</t>
        </is>
      </c>
      <c r="E538" s="23" t="n">
        <v>850</v>
      </c>
    </row>
    <row r="539">
      <c r="A539" s="22" t="inlineStr">
        <is>
          <t>Клуб Рослин</t>
        </is>
      </c>
      <c r="B539" s="22" t="inlineStr">
        <is>
          <t>KST306</t>
        </is>
      </c>
      <c r="C539" s="22" t="inlineStr">
        <is>
          <t>12075</t>
        </is>
      </c>
      <c r="D539" s="22" t="inlineStr">
        <is>
          <t>Садові ножиці Окатсуне / Okatsune (KST306) Японія</t>
        </is>
      </c>
      <c r="E539" s="23" t="n">
        <v>850</v>
      </c>
    </row>
    <row r="540">
      <c r="A540" s="22" t="inlineStr">
        <is>
          <t>Водоспад</t>
        </is>
      </c>
      <c r="B540" s="22" t="inlineStr">
        <is>
          <t>5356</t>
        </is>
      </c>
      <c r="C540" s="22" t="inlineStr">
        <is>
          <t>42198</t>
        </is>
      </c>
      <c r="D540" s="22" t="inlineStr">
        <is>
          <t>Садові ножиці для кущів Окатсуне / Okatsune (KST 204) Японія</t>
        </is>
      </c>
      <c r="E540" s="23" t="n">
        <v>4220</v>
      </c>
    </row>
    <row r="541">
      <c r="A541" s="22" t="inlineStr">
        <is>
          <t>Клуб Рослин</t>
        </is>
      </c>
      <c r="B541" s="22" t="inlineStr">
        <is>
          <t>5356</t>
        </is>
      </c>
      <c r="C541" s="22" t="inlineStr">
        <is>
          <t>16183</t>
        </is>
      </c>
      <c r="D541" s="22" t="inlineStr">
        <is>
          <t>Садові ножиці для кущів Окатсуне / Okatsune (KST 204) Японія</t>
        </is>
      </c>
      <c r="E541" s="23" t="n">
        <v>4220</v>
      </c>
    </row>
    <row r="542">
      <c r="A542" s="22" t="inlineStr">
        <is>
          <t>Водоспад</t>
        </is>
      </c>
      <c r="B542" s="22" t="inlineStr">
        <is>
          <t>KST 204</t>
        </is>
      </c>
      <c r="C542" s="22" t="inlineStr">
        <is>
          <t>42198</t>
        </is>
      </c>
      <c r="D542" s="22" t="inlineStr">
        <is>
          <t>Садові ножиці для кущів Окатсуне / Okatsune (KST 204) Японія</t>
        </is>
      </c>
      <c r="E542" s="23" t="n">
        <v>4220</v>
      </c>
    </row>
    <row r="543">
      <c r="A543" s="22" t="inlineStr">
        <is>
          <t>Клуб Рослин</t>
        </is>
      </c>
      <c r="B543" s="22" t="inlineStr">
        <is>
          <t>KST 204</t>
        </is>
      </c>
      <c r="C543" s="22" t="inlineStr">
        <is>
          <t>16183</t>
        </is>
      </c>
      <c r="D543" s="22" t="inlineStr">
        <is>
          <t>Садові ножиці для кущів Окатсуне / Okatsune (KST 204) Японія</t>
        </is>
      </c>
      <c r="E543" s="23" t="n">
        <v>4220</v>
      </c>
    </row>
    <row r="544">
      <c r="A544" s="22" t="inlineStr">
        <is>
          <t>Водоспад</t>
        </is>
      </c>
      <c r="B544" s="22" t="inlineStr">
        <is>
          <t>KST204</t>
        </is>
      </c>
      <c r="C544" s="22" t="inlineStr">
        <is>
          <t>42198</t>
        </is>
      </c>
      <c r="D544" s="22" t="inlineStr">
        <is>
          <t>Садові ножиці для кущів Окатсуне / Okatsune (KST204) Японія</t>
        </is>
      </c>
      <c r="E544" s="23" t="n">
        <v>4220</v>
      </c>
    </row>
    <row r="545">
      <c r="A545" s="22" t="inlineStr">
        <is>
          <t>Клуб Рослин</t>
        </is>
      </c>
      <c r="B545" s="22" t="inlineStr">
        <is>
          <t>KST204</t>
        </is>
      </c>
      <c r="C545" s="22" t="inlineStr">
        <is>
          <t>16183</t>
        </is>
      </c>
      <c r="D545" s="22" t="inlineStr">
        <is>
          <t>Садові ножиці для кущів Окатсуне / Okatsune (KST204) Японія</t>
        </is>
      </c>
      <c r="E545" s="23" t="n">
        <v>4220</v>
      </c>
    </row>
    <row r="546">
      <c r="A546" s="22" t="inlineStr">
        <is>
          <t>Водоспад</t>
        </is>
      </c>
      <c r="B546" s="22" t="inlineStr">
        <is>
          <t>KST205-K</t>
        </is>
      </c>
      <c r="C546" s="22" t="inlineStr">
        <is>
          <t>33479</t>
        </is>
      </c>
      <c r="D546" s="22" t="inlineStr">
        <is>
          <t>Садові ножиці для кущів Окатсуне / Okatsune (KST205-K) Японія</t>
        </is>
      </c>
      <c r="E546" s="23" t="n">
        <v>5550</v>
      </c>
    </row>
    <row r="547">
      <c r="A547" s="22" t="inlineStr">
        <is>
          <t>Клуб Рослин</t>
        </is>
      </c>
      <c r="B547" s="22" t="inlineStr">
        <is>
          <t>KST205-K</t>
        </is>
      </c>
      <c r="C547" s="22" t="inlineStr">
        <is>
          <t>11764</t>
        </is>
      </c>
      <c r="D547" s="22" t="inlineStr">
        <is>
          <t>Садові ножиці для кущів Окатсуне / Okatsune (KST205-K) Японія</t>
        </is>
      </c>
      <c r="E547" s="23" t="n">
        <v>5550</v>
      </c>
    </row>
    <row r="548">
      <c r="A548" s="22" t="inlineStr">
        <is>
          <t>Водоспад</t>
        </is>
      </c>
      <c r="B548" s="22" t="inlineStr">
        <is>
          <t>KST214</t>
        </is>
      </c>
      <c r="C548" s="22" t="inlineStr">
        <is>
          <t>42363</t>
        </is>
      </c>
      <c r="D548" s="22" t="inlineStr">
        <is>
          <t>Садові ножиці для кущів Окатсуне / Okatsune (KST214) Японія</t>
        </is>
      </c>
      <c r="E548" s="23" t="n">
        <v>5190</v>
      </c>
    </row>
    <row r="549">
      <c r="A549" s="22" t="inlineStr">
        <is>
          <t>Клуб Рослин</t>
        </is>
      </c>
      <c r="B549" s="22" t="inlineStr">
        <is>
          <t>KST214</t>
        </is>
      </c>
      <c r="C549" s="22" t="inlineStr">
        <is>
          <t>16185</t>
        </is>
      </c>
      <c r="D549" s="22" t="inlineStr">
        <is>
          <t>Садові ножиці для кущів Окатсуне / Okatsune (KST214) Японія</t>
        </is>
      </c>
      <c r="E549" s="23" t="n">
        <v>5190</v>
      </c>
    </row>
    <row r="550">
      <c r="A550" s="22" t="inlineStr">
        <is>
          <t>Водоспад</t>
        </is>
      </c>
      <c r="B550" s="22" t="inlineStr">
        <is>
          <t>KST216</t>
        </is>
      </c>
      <c r="C550" s="22" t="inlineStr">
        <is>
          <t>37067</t>
        </is>
      </c>
      <c r="D550" s="22" t="inlineStr">
        <is>
          <t>Садові ножиці для кущів Окатсуне / Okatsune (KST216) Японія</t>
        </is>
      </c>
      <c r="E550" s="23" t="n">
        <v>4490</v>
      </c>
    </row>
    <row r="551">
      <c r="A551" s="22" t="inlineStr">
        <is>
          <t>Клуб Рослин</t>
        </is>
      </c>
      <c r="B551" s="22" t="inlineStr">
        <is>
          <t>KST216</t>
        </is>
      </c>
      <c r="C551" s="22" t="inlineStr">
        <is>
          <t>11765</t>
        </is>
      </c>
      <c r="D551" s="22" t="inlineStr">
        <is>
          <t>Садові ножиці для кущів Окатсуне / Okatsune (KST216) Японія</t>
        </is>
      </c>
      <c r="E551" s="23" t="n">
        <v>4490</v>
      </c>
    </row>
    <row r="552">
      <c r="A552" s="22" t="inlineStr">
        <is>
          <t>Водоспад</t>
        </is>
      </c>
      <c r="B552" s="22" t="inlineStr">
        <is>
          <t>KST217</t>
        </is>
      </c>
      <c r="C552" s="22" t="inlineStr">
        <is>
          <t>33477</t>
        </is>
      </c>
      <c r="D552" s="22" t="inlineStr">
        <is>
          <t>Садові ножиці для кущів Окатсуне / Okatsune (KST217) Японія</t>
        </is>
      </c>
      <c r="E552" s="23" t="n">
        <v>4790</v>
      </c>
    </row>
    <row r="553">
      <c r="A553" s="22" t="inlineStr">
        <is>
          <t>Клуб Рослин</t>
        </is>
      </c>
      <c r="B553" s="22" t="inlineStr">
        <is>
          <t>KST217</t>
        </is>
      </c>
      <c r="C553" s="22" t="inlineStr">
        <is>
          <t>11766</t>
        </is>
      </c>
      <c r="D553" s="22" t="inlineStr">
        <is>
          <t>Садові ножиці для кущів Окатсуне / Okatsune (KST217) Японія</t>
        </is>
      </c>
      <c r="E553" s="23" t="n">
        <v>4790</v>
      </c>
    </row>
    <row r="554">
      <c r="A554" s="22" t="inlineStr">
        <is>
          <t>Водоспад</t>
        </is>
      </c>
      <c r="B554" s="22" t="inlineStr">
        <is>
          <t>KST230</t>
        </is>
      </c>
      <c r="C554" s="22" t="inlineStr">
        <is>
          <t>33531</t>
        </is>
      </c>
      <c r="D554" s="22" t="inlineStr">
        <is>
          <t>Садові ножиці для кущів Окатсуне / Okatsune (KST230) Японія</t>
        </is>
      </c>
      <c r="E554" s="23" t="n">
        <v>5990</v>
      </c>
    </row>
    <row r="555">
      <c r="A555" s="22" t="inlineStr">
        <is>
          <t>Клуб Рослин</t>
        </is>
      </c>
      <c r="B555" s="22" t="inlineStr">
        <is>
          <t>KST230</t>
        </is>
      </c>
      <c r="C555" s="22" t="inlineStr">
        <is>
          <t>11767</t>
        </is>
      </c>
      <c r="D555" s="22" t="inlineStr">
        <is>
          <t>Садові ножиці для кущів Окатсуне / Okatsune (KST230) Японія</t>
        </is>
      </c>
      <c r="E555" s="23" t="n">
        <v>5990</v>
      </c>
    </row>
    <row r="556">
      <c r="A556" s="22" t="inlineStr">
        <is>
          <t>Водоспад</t>
        </is>
      </c>
      <c r="B556" s="22" t="inlineStr">
        <is>
          <t>KST231</t>
        </is>
      </c>
      <c r="C556" s="22" t="inlineStr">
        <is>
          <t>33336</t>
        </is>
      </c>
      <c r="D556" s="22" t="inlineStr">
        <is>
          <t>Садові ножиці для кущів Окатсуне / Okatsune (KST231) Японія</t>
        </is>
      </c>
      <c r="E556" s="23" t="n">
        <v>5390</v>
      </c>
    </row>
    <row r="557">
      <c r="A557" s="22" t="inlineStr">
        <is>
          <t>Клуб Рослин</t>
        </is>
      </c>
      <c r="B557" s="22" t="inlineStr">
        <is>
          <t>KST231</t>
        </is>
      </c>
      <c r="C557" s="22" t="inlineStr">
        <is>
          <t>11768</t>
        </is>
      </c>
      <c r="D557" s="22" t="inlineStr">
        <is>
          <t>Садові ножиці для кущів Окатсуне / Okatsune (KST231) Японія</t>
        </is>
      </c>
      <c r="E557" s="23" t="n">
        <v>5390</v>
      </c>
    </row>
    <row r="558">
      <c r="A558" s="22" t="inlineStr">
        <is>
          <t>Водоспад</t>
        </is>
      </c>
      <c r="B558" s="22" t="inlineStr">
        <is>
          <t>3081.B</t>
        </is>
      </c>
      <c r="C558" s="22" t="inlineStr">
        <is>
          <t>43387</t>
        </is>
      </c>
      <c r="D558" s="22" t="inlineStr">
        <is>
          <t>Сапка прямокутна без держака 153 мм Bellota (3081.B) Іспанія</t>
        </is>
      </c>
      <c r="E558" s="23" t="n">
        <v>499</v>
      </c>
    </row>
    <row r="559">
      <c r="A559" s="22" t="inlineStr">
        <is>
          <t>Водоспад</t>
        </is>
      </c>
      <c r="B559" s="22" t="inlineStr">
        <is>
          <t>Fal2112</t>
        </is>
      </c>
      <c r="C559" s="22" t="inlineStr">
        <is>
          <t>41182</t>
        </is>
      </c>
      <c r="D559" s="22" t="inlineStr">
        <is>
          <t>Секатор 21 см Falket / Фалкет (FAL2112) Італія</t>
        </is>
      </c>
      <c r="E559" s="23" t="n">
        <v>1690</v>
      </c>
    </row>
    <row r="560">
      <c r="A560" s="22" t="inlineStr">
        <is>
          <t>Клуб Рослин</t>
        </is>
      </c>
      <c r="B560" s="22" t="inlineStr">
        <is>
          <t>23523-21.B</t>
        </is>
      </c>
      <c r="C560" s="22" t="inlineStr">
        <is>
          <t>11863</t>
        </is>
      </c>
      <c r="D560" s="22" t="inlineStr">
        <is>
          <t>Секатор 210 мм Bellota (23523-21.B) Іспанія</t>
        </is>
      </c>
      <c r="E560" s="23" t="n">
        <v>769</v>
      </c>
    </row>
    <row r="561">
      <c r="A561" s="22" t="inlineStr">
        <is>
          <t>Водоспад</t>
        </is>
      </c>
      <c r="B561" s="22" t="inlineStr">
        <is>
          <t>FAL2190</t>
        </is>
      </c>
      <c r="C561" s="22" t="inlineStr">
        <is>
          <t>42611</t>
        </is>
      </c>
      <c r="D561" s="22" t="inlineStr">
        <is>
          <t>Секатор 210 мм Falket / Фалкет (FAL2190) Італія</t>
        </is>
      </c>
      <c r="E561" s="23" t="n">
        <v>790</v>
      </c>
    </row>
    <row r="562">
      <c r="A562" s="22" t="inlineStr">
        <is>
          <t>Водоспад</t>
        </is>
      </c>
      <c r="B562" s="22" t="inlineStr">
        <is>
          <t>FAL2097</t>
        </is>
      </c>
      <c r="C562" s="22" t="inlineStr">
        <is>
          <t>42411</t>
        </is>
      </c>
      <c r="D562" s="22" t="inlineStr">
        <is>
          <t>Секатор 220 мм Falket / Фалкет (FAL2097) Італія</t>
        </is>
      </c>
      <c r="E562" s="23" t="n">
        <v>1190</v>
      </c>
    </row>
    <row r="563">
      <c r="A563" s="22" t="inlineStr">
        <is>
          <t>Клуб Рослин</t>
        </is>
      </c>
      <c r="B563" s="22" t="inlineStr">
        <is>
          <t>3512-22.B</t>
        </is>
      </c>
      <c r="C563" s="22" t="inlineStr">
        <is>
          <t>12061</t>
        </is>
      </c>
      <c r="D563" s="22" t="inlineStr">
        <is>
          <t>Секатор 220 мм професійний для великих рук Bellota (3512-22.B) Іспанія</t>
        </is>
      </c>
      <c r="E563" s="23" t="n">
        <v>1909</v>
      </c>
    </row>
    <row r="564">
      <c r="A564" s="22" t="inlineStr">
        <is>
          <t>Водоспад</t>
        </is>
      </c>
      <c r="B564" s="22" t="inlineStr">
        <is>
          <t>PG-12-F</t>
        </is>
      </c>
      <c r="C564" s="22" t="inlineStr">
        <is>
          <t>31921</t>
        </is>
      </c>
      <c r="D564" s="22" t="inlineStr">
        <is>
          <t>Секатор Bahco PG-12-F Швеція</t>
        </is>
      </c>
      <c r="E564" s="23" t="n">
        <v>650</v>
      </c>
    </row>
    <row r="565">
      <c r="A565" s="22" t="inlineStr">
        <is>
          <t>Водоспад</t>
        </is>
      </c>
      <c r="B565" s="22" t="inlineStr">
        <is>
          <t>1145/17,5</t>
        </is>
      </c>
      <c r="C565" s="22" t="inlineStr">
        <is>
          <t>39920</t>
        </is>
      </c>
      <c r="D565" s="22" t="inlineStr">
        <is>
          <t>Секатор Due Buoi (1145/17,5) типу ножиці довгі леза Італія</t>
        </is>
      </c>
      <c r="E565" s="23" t="n">
        <v>490</v>
      </c>
    </row>
    <row r="566">
      <c r="A566" s="22" t="inlineStr">
        <is>
          <t>Клуб Рослин</t>
        </is>
      </c>
      <c r="B566" s="22" t="inlineStr">
        <is>
          <t>1145/17,5</t>
        </is>
      </c>
      <c r="C566" s="22" t="inlineStr">
        <is>
          <t>11884</t>
        </is>
      </c>
      <c r="D566" s="22" t="inlineStr">
        <is>
          <t>Секатор Due Buoi (1145/17,5) типу ножиці довгі леза Італія</t>
        </is>
      </c>
      <c r="E566" s="23" t="n">
        <v>496</v>
      </c>
    </row>
    <row r="567">
      <c r="A567" s="22" t="inlineStr">
        <is>
          <t>Клуб Рослин</t>
        </is>
      </c>
      <c r="B567" s="22" t="inlineStr">
        <is>
          <t>125/18S</t>
        </is>
      </c>
      <c r="C567" s="22" t="inlineStr">
        <is>
          <t>17580</t>
        </is>
      </c>
      <c r="D567" s="22" t="inlineStr">
        <is>
          <t>Секатор Due Buoi (125/18S) Італія</t>
        </is>
      </c>
      <c r="E567" s="23" t="n">
        <v>1949</v>
      </c>
    </row>
    <row r="568">
      <c r="A568" s="22" t="inlineStr">
        <is>
          <t>Клуб Рослин</t>
        </is>
      </c>
      <c r="B568" s="22" t="inlineStr">
        <is>
          <t>125/21S</t>
        </is>
      </c>
      <c r="C568" s="22" t="inlineStr">
        <is>
          <t>17581</t>
        </is>
      </c>
      <c r="D568" s="22" t="inlineStr">
        <is>
          <t>Секатор Due Buoi (125/21S) Італія</t>
        </is>
      </c>
      <c r="E568" s="23" t="n">
        <v>1960</v>
      </c>
    </row>
    <row r="569">
      <c r="A569" s="22" t="inlineStr">
        <is>
          <t>Клуб Рослин</t>
        </is>
      </c>
      <c r="B569" s="22" t="inlineStr">
        <is>
          <t>1147/19</t>
        </is>
      </c>
      <c r="C569" s="22" t="inlineStr">
        <is>
          <t>11885</t>
        </is>
      </c>
      <c r="D569" s="22" t="inlineStr">
        <is>
          <t>Секатор Due Buoi 1147/19 типу ножиці для збирання плодів Італія</t>
        </is>
      </c>
      <c r="E569" s="23" t="n">
        <v>245</v>
      </c>
    </row>
    <row r="570">
      <c r="A570" s="22" t="inlineStr">
        <is>
          <t>Клуб Рослин</t>
        </is>
      </c>
      <c r="B570" s="22" t="inlineStr">
        <is>
          <t>MK-S200</t>
        </is>
      </c>
      <c r="C570" s="22" t="inlineStr">
        <is>
          <t>16439</t>
        </is>
      </c>
      <c r="D570" s="22" t="inlineStr">
        <is>
          <t>Секатор Kenkatabami MK-S200 обвідний 200 мм</t>
        </is>
      </c>
      <c r="E570" s="23" t="n">
        <v>3199</v>
      </c>
    </row>
    <row r="571">
      <c r="A571" s="22" t="inlineStr">
        <is>
          <t>Водоспад</t>
        </is>
      </c>
      <c r="B571" s="22" t="inlineStr">
        <is>
          <t>1118882</t>
        </is>
      </c>
      <c r="C571" s="22" t="inlineStr">
        <is>
          <t>42831</t>
        </is>
      </c>
      <c r="D571" s="22" t="inlineStr">
        <is>
          <t>Секатор Type A 200 мм Тенджу / Tenju (1118882) Японія</t>
        </is>
      </c>
      <c r="E571" s="23" t="n">
        <v>2990</v>
      </c>
    </row>
    <row r="572">
      <c r="A572" s="22" t="inlineStr">
        <is>
          <t>Водоспад</t>
        </is>
      </c>
      <c r="B572" s="22" t="inlineStr">
        <is>
          <t>130DX-R</t>
        </is>
      </c>
      <c r="C572" s="22" t="inlineStr">
        <is>
          <t>37181</t>
        </is>
      </c>
      <c r="D572" s="22" t="inlineStr">
        <is>
          <t>Секатор АРС / ARS (130DX-R) садовий обвідний червоний Японія</t>
        </is>
      </c>
      <c r="E572" s="23" t="n">
        <v>1259</v>
      </c>
    </row>
    <row r="573">
      <c r="A573" s="22" t="inlineStr">
        <is>
          <t>Клуб Рослин</t>
        </is>
      </c>
      <c r="B573" s="22" t="inlineStr">
        <is>
          <t>130DX-R</t>
        </is>
      </c>
      <c r="C573" s="22" t="inlineStr">
        <is>
          <t>11793</t>
        </is>
      </c>
      <c r="D573" s="22" t="inlineStr">
        <is>
          <t>Секатор АРС / ARS (130DX-R) садовий обвідний червоний Японія</t>
        </is>
      </c>
      <c r="E573" s="23" t="n">
        <v>1259</v>
      </c>
    </row>
    <row r="574">
      <c r="A574" s="22" t="inlineStr">
        <is>
          <t>Водоспад</t>
        </is>
      </c>
      <c r="B574" s="22" t="inlineStr">
        <is>
          <t>140DX-R</t>
        </is>
      </c>
      <c r="C574" s="22" t="inlineStr">
        <is>
          <t>38678</t>
        </is>
      </c>
      <c r="D574" s="22" t="inlineStr">
        <is>
          <t>Секатор АРС / ARS (140DX-R) типу ножиці червоний Японія</t>
        </is>
      </c>
      <c r="E574" s="23" t="n">
        <v>1259</v>
      </c>
    </row>
    <row r="575">
      <c r="A575" s="22" t="inlineStr">
        <is>
          <t>Клуб Рослин</t>
        </is>
      </c>
      <c r="B575" s="22" t="inlineStr">
        <is>
          <t>140DX-R</t>
        </is>
      </c>
      <c r="C575" s="22" t="inlineStr">
        <is>
          <t>11800</t>
        </is>
      </c>
      <c r="D575" s="22" t="inlineStr">
        <is>
          <t>Секатор АРС / ARS (140DX-R) типу ножиці червоний Японія</t>
        </is>
      </c>
      <c r="E575" s="23" t="n">
        <v>1259</v>
      </c>
    </row>
    <row r="576">
      <c r="A576" s="22" t="inlineStr">
        <is>
          <t>Водоспад</t>
        </is>
      </c>
      <c r="B576" s="22" t="inlineStr">
        <is>
          <t>140L-DX</t>
        </is>
      </c>
      <c r="C576" s="22" t="inlineStr">
        <is>
          <t>38681</t>
        </is>
      </c>
      <c r="D576" s="22" t="inlineStr">
        <is>
          <t>Секатор АРС / ARS (140L-DX) типу ножиці Японія</t>
        </is>
      </c>
      <c r="E576" s="23" t="n">
        <v>1399</v>
      </c>
    </row>
    <row r="577">
      <c r="A577" s="22" t="inlineStr">
        <is>
          <t>Клуб Рослин</t>
        </is>
      </c>
      <c r="B577" s="22" t="inlineStr">
        <is>
          <t>140L-DX</t>
        </is>
      </c>
      <c r="C577" s="22" t="inlineStr">
        <is>
          <t>11804</t>
        </is>
      </c>
      <c r="D577" s="22" t="inlineStr">
        <is>
          <t>Секатор АРС / ARS (140L-DX) типу ножиці Японія</t>
        </is>
      </c>
      <c r="E577" s="23" t="n">
        <v>1399</v>
      </c>
    </row>
    <row r="578">
      <c r="A578" s="22" t="inlineStr">
        <is>
          <t>Водоспад</t>
        </is>
      </c>
      <c r="B578" s="22" t="inlineStr">
        <is>
          <t>180-1.8</t>
        </is>
      </c>
      <c r="C578" s="22" t="inlineStr">
        <is>
          <t>38687</t>
        </is>
      </c>
      <c r="D578" s="22" t="inlineStr">
        <is>
          <t>Секатор АРС / ARS (180-1.8) на штанзі 1.8м Японія</t>
        </is>
      </c>
      <c r="E578" s="23" t="n">
        <v>3990</v>
      </c>
    </row>
    <row r="579">
      <c r="A579" s="22" t="inlineStr">
        <is>
          <t>Водоспад</t>
        </is>
      </c>
      <c r="B579" s="22" t="inlineStr">
        <is>
          <t>180-2.4</t>
        </is>
      </c>
      <c r="C579" s="22" t="inlineStr">
        <is>
          <t>41934</t>
        </is>
      </c>
      <c r="D579" s="22" t="inlineStr">
        <is>
          <t>Секатор АРС / ARS (180-2.4) на штанзі 2.4 м Японія</t>
        </is>
      </c>
      <c r="E579" s="23" t="n">
        <v>4680</v>
      </c>
    </row>
    <row r="580">
      <c r="A580" s="22" t="inlineStr">
        <is>
          <t>Водоспад</t>
        </is>
      </c>
      <c r="B580" s="22" t="inlineStr">
        <is>
          <t>180LR-1.8</t>
        </is>
      </c>
      <c r="C580" s="22" t="inlineStr">
        <is>
          <t>38688</t>
        </is>
      </c>
      <c r="D580" s="22" t="inlineStr">
        <is>
          <t>Секатор АРС / ARS (180LR-1.8) на штанзі 1.8 м Японія</t>
        </is>
      </c>
      <c r="E580" s="23" t="n">
        <v>4490</v>
      </c>
    </row>
    <row r="581">
      <c r="A581" s="22" t="inlineStr">
        <is>
          <t>Клуб Рослин</t>
        </is>
      </c>
      <c r="B581" s="22" t="inlineStr">
        <is>
          <t>180LR-1.8</t>
        </is>
      </c>
      <c r="C581" s="22" t="inlineStr">
        <is>
          <t>11816</t>
        </is>
      </c>
      <c r="D581" s="22" t="inlineStr">
        <is>
          <t>Секатор АРС / ARS (180LR-1.8) на штанзі 1.8 м Японія</t>
        </is>
      </c>
      <c r="E581" s="23" t="n">
        <v>4490</v>
      </c>
    </row>
    <row r="582">
      <c r="A582" s="22" t="inlineStr">
        <is>
          <t>Водоспад</t>
        </is>
      </c>
      <c r="B582" s="22" t="inlineStr">
        <is>
          <t>180LR-2.1</t>
        </is>
      </c>
      <c r="C582" s="22" t="inlineStr">
        <is>
          <t>38689</t>
        </is>
      </c>
      <c r="D582" s="22" t="inlineStr">
        <is>
          <t>Секатор АРС / ARS (180LR-2.1) на штанзі 2.1 м Японія</t>
        </is>
      </c>
      <c r="E582" s="23" t="n">
        <v>4919</v>
      </c>
    </row>
    <row r="583">
      <c r="A583" s="22" t="inlineStr">
        <is>
          <t>Клуб Рослин</t>
        </is>
      </c>
      <c r="B583" s="22" t="inlineStr">
        <is>
          <t>180LR-2.1</t>
        </is>
      </c>
      <c r="C583" s="22" t="inlineStr">
        <is>
          <t>11817</t>
        </is>
      </c>
      <c r="D583" s="22" t="inlineStr">
        <is>
          <t>Секатор АРС / ARS (180LR-2.1) на штанзі 2.1 м Японія</t>
        </is>
      </c>
      <c r="E583" s="23" t="n">
        <v>4919</v>
      </c>
    </row>
    <row r="584">
      <c r="A584" s="22" t="inlineStr">
        <is>
          <t>Водоспад</t>
        </is>
      </c>
      <c r="B584" s="22" t="inlineStr">
        <is>
          <t>180R-1.8</t>
        </is>
      </c>
      <c r="C584" s="22" t="inlineStr">
        <is>
          <t>38690</t>
        </is>
      </c>
      <c r="D584" s="22" t="inlineStr">
        <is>
          <t>Секатор АРС / ARS (180R-1.8) на штанзі 1.8 м Японія</t>
        </is>
      </c>
      <c r="E584" s="23" t="n">
        <v>4339</v>
      </c>
    </row>
    <row r="585">
      <c r="A585" s="22" t="inlineStr">
        <is>
          <t>Клуб Рослин</t>
        </is>
      </c>
      <c r="B585" s="22" t="inlineStr">
        <is>
          <t>180R-1.8</t>
        </is>
      </c>
      <c r="C585" s="22" t="inlineStr">
        <is>
          <t>11818</t>
        </is>
      </c>
      <c r="D585" s="22" t="inlineStr">
        <is>
          <t>Секатор АРС / ARS (180R-1.8) на штанзі 1.8 м Японія</t>
        </is>
      </c>
      <c r="E585" s="23" t="n">
        <v>4339</v>
      </c>
    </row>
    <row r="586">
      <c r="A586" s="22" t="inlineStr">
        <is>
          <t>Водоспад</t>
        </is>
      </c>
      <c r="B586" s="22" t="inlineStr">
        <is>
          <t>180ZF-3.0-5</t>
        </is>
      </c>
      <c r="C586" s="22" t="inlineStr">
        <is>
          <t>38685</t>
        </is>
      </c>
      <c r="D586" s="22" t="inlineStr">
        <is>
          <t>Секатор АРС / ARS (180ZF-3.0-5) телескопічний на штанзі 1.7–3 м Японія</t>
        </is>
      </c>
      <c r="E586" s="23" t="n">
        <v>4870</v>
      </c>
    </row>
    <row r="587">
      <c r="A587" s="22" t="inlineStr">
        <is>
          <t>Клуб Рослин</t>
        </is>
      </c>
      <c r="B587" s="22" t="inlineStr">
        <is>
          <t>300L</t>
        </is>
      </c>
      <c r="C587" s="22" t="inlineStr">
        <is>
          <t>11821</t>
        </is>
      </c>
      <c r="D587" s="22" t="inlineStr">
        <is>
          <t>Секатор АРС / ARS (300L) типу ножиці довгі леза Японія</t>
        </is>
      </c>
      <c r="E587" s="23" t="n">
        <v>499</v>
      </c>
    </row>
    <row r="588">
      <c r="A588" s="22" t="inlineStr">
        <is>
          <t>Клуб Рослин</t>
        </is>
      </c>
      <c r="B588" s="22" t="inlineStr">
        <is>
          <t>CB-8</t>
        </is>
      </c>
      <c r="C588" s="22" t="inlineStr">
        <is>
          <t>11827</t>
        </is>
      </c>
      <c r="D588" s="22" t="inlineStr">
        <is>
          <t>Секатор АРС / ARS (CB-8) садовий обвідний Японія</t>
        </is>
      </c>
      <c r="E588" s="23" t="n">
        <v>1649</v>
      </c>
    </row>
    <row r="589">
      <c r="A589" s="22" t="inlineStr">
        <is>
          <t>Клуб Рослин</t>
        </is>
      </c>
      <c r="B589" s="22" t="inlineStr">
        <is>
          <t>CB-8Z</t>
        </is>
      </c>
      <c r="C589" s="22" t="inlineStr">
        <is>
          <t>15593</t>
        </is>
      </c>
      <c r="D589" s="22" t="inlineStr">
        <is>
          <t>Секатор АРС / ARS (CB-8Z ) садовий обвідний Японія</t>
        </is>
      </c>
      <c r="E589" s="23" t="n">
        <v>1730</v>
      </c>
    </row>
    <row r="590">
      <c r="A590" s="22" t="inlineStr">
        <is>
          <t>Клуб Рослин</t>
        </is>
      </c>
      <c r="B590" s="22" t="inlineStr">
        <is>
          <t>CB-9Z</t>
        </is>
      </c>
      <c r="C590" s="22" t="inlineStr">
        <is>
          <t>15594</t>
        </is>
      </c>
      <c r="D590" s="22" t="inlineStr">
        <is>
          <t>Секатор АРС / ARS (CB-9Z) садовий обвідний Японія</t>
        </is>
      </c>
      <c r="E590" s="23" t="n">
        <v>1880</v>
      </c>
    </row>
    <row r="591">
      <c r="A591" s="22" t="inlineStr">
        <is>
          <t>Клуб Рослин</t>
        </is>
      </c>
      <c r="B591" s="22" t="inlineStr">
        <is>
          <t>FB-7</t>
        </is>
      </c>
      <c r="C591" s="22" t="inlineStr">
        <is>
          <t>15595</t>
        </is>
      </c>
      <c r="D591" s="22" t="inlineStr">
        <is>
          <t>Секатор АРС / ARS (FB-7) садовий обвідний Японія</t>
        </is>
      </c>
      <c r="E591" s="23" t="n">
        <v>1365</v>
      </c>
    </row>
    <row r="592">
      <c r="A592" s="22" t="inlineStr">
        <is>
          <t>Клуб Рослин</t>
        </is>
      </c>
      <c r="B592" s="22" t="inlineStr">
        <is>
          <t>FB-8</t>
        </is>
      </c>
      <c r="C592" s="22" t="inlineStr">
        <is>
          <t>15596</t>
        </is>
      </c>
      <c r="D592" s="22" t="inlineStr">
        <is>
          <t>Секатор АРС / ARS (FB-8) садовий обвідний Японія</t>
        </is>
      </c>
      <c r="E592" s="23" t="n">
        <v>1470</v>
      </c>
    </row>
    <row r="593">
      <c r="A593" s="22" t="inlineStr">
        <is>
          <t>Клуб Рослин</t>
        </is>
      </c>
      <c r="B593" s="22" t="inlineStr">
        <is>
          <t>VA-7Z</t>
        </is>
      </c>
      <c r="C593" s="22" t="inlineStr">
        <is>
          <t>11832</t>
        </is>
      </c>
      <c r="D593" s="22" t="inlineStr">
        <is>
          <t>Секатор АРС / ARS (VA-7Z) професійний з коваделком Японія</t>
        </is>
      </c>
      <c r="E593" s="23" t="n">
        <v>2195</v>
      </c>
    </row>
    <row r="594">
      <c r="A594" s="22" t="inlineStr">
        <is>
          <t>Клуб Рослин</t>
        </is>
      </c>
      <c r="B594" s="22" t="inlineStr">
        <is>
          <t>VA-8Z</t>
        </is>
      </c>
      <c r="C594" s="22" t="inlineStr">
        <is>
          <t>11833</t>
        </is>
      </c>
      <c r="D594" s="22" t="inlineStr">
        <is>
          <t>Секатор АРС / ARS (VA-8Z) професійний з коваделком Японія</t>
        </is>
      </c>
      <c r="E594" s="23" t="n">
        <v>2299</v>
      </c>
    </row>
    <row r="595">
      <c r="A595" s="22" t="inlineStr">
        <is>
          <t>Водоспад</t>
        </is>
      </c>
      <c r="B595" s="22" t="inlineStr">
        <is>
          <t>VS-7XZ</t>
        </is>
      </c>
      <c r="C595" s="22" t="inlineStr">
        <is>
          <t>33576</t>
        </is>
      </c>
      <c r="D595" s="22" t="inlineStr">
        <is>
          <t>Секатор АРС / ARS (VS-7XZ) професійний обвідний Японія</t>
        </is>
      </c>
      <c r="E595" s="23" t="n">
        <v>2099</v>
      </c>
    </row>
    <row r="596">
      <c r="A596" s="22" t="inlineStr">
        <is>
          <t>Водоспад</t>
        </is>
      </c>
      <c r="B596" s="22" t="inlineStr">
        <is>
          <t>VS-8XR</t>
        </is>
      </c>
      <c r="C596" s="22" t="inlineStr">
        <is>
          <t>38718</t>
        </is>
      </c>
      <c r="D596" s="22" t="inlineStr">
        <is>
          <t>Секатор АРС / ARS (VS-8XR) садовий з поворотною ручкою Японія</t>
        </is>
      </c>
      <c r="E596" s="23" t="n">
        <v>2629</v>
      </c>
    </row>
    <row r="597">
      <c r="A597" s="22" t="inlineStr">
        <is>
          <t>Водоспад</t>
        </is>
      </c>
      <c r="B597" s="22" t="inlineStr">
        <is>
          <t>VS-8XZ</t>
        </is>
      </c>
      <c r="C597" s="22" t="inlineStr">
        <is>
          <t>33462</t>
        </is>
      </c>
      <c r="D597" s="22" t="inlineStr">
        <is>
          <t>Секатор АРС / ARS (VS-8XZ) професійний обвідний Японія</t>
        </is>
      </c>
      <c r="E597" s="23" t="n">
        <v>2299</v>
      </c>
    </row>
    <row r="598">
      <c r="A598" s="22" t="inlineStr">
        <is>
          <t>Водоспад</t>
        </is>
      </c>
      <c r="B598" s="22" t="inlineStr">
        <is>
          <t>VS-9XR</t>
        </is>
      </c>
      <c r="C598" s="22" t="inlineStr">
        <is>
          <t>38725</t>
        </is>
      </c>
      <c r="D598" s="22" t="inlineStr">
        <is>
          <t>Секатор АРС / ARS (VS-9XR) садовий з поворотною ручкою Японія</t>
        </is>
      </c>
      <c r="E598" s="23" t="n">
        <v>2869</v>
      </c>
    </row>
    <row r="599">
      <c r="A599" s="22" t="inlineStr">
        <is>
          <t>Водоспад</t>
        </is>
      </c>
      <c r="B599" s="22" t="inlineStr">
        <is>
          <t>VS-9XZ</t>
        </is>
      </c>
      <c r="C599" s="22" t="inlineStr">
        <is>
          <t>33516</t>
        </is>
      </c>
      <c r="D599" s="22" t="inlineStr">
        <is>
          <t>Секатор АРС / ARS (VS-9XZ) професійний обвідний Японія</t>
        </is>
      </c>
      <c r="E599" s="23" t="n">
        <v>2519</v>
      </c>
    </row>
    <row r="600">
      <c r="A600" s="22" t="inlineStr">
        <is>
          <t>Клуб Рослин</t>
        </is>
      </c>
      <c r="B600" s="22" t="inlineStr">
        <is>
          <t>СВ-9</t>
        </is>
      </c>
      <c r="C600" s="22" t="inlineStr">
        <is>
          <t>11828</t>
        </is>
      </c>
      <c r="D600" s="22" t="inlineStr">
        <is>
          <t>Секатор АРС / ARS (СВ-9) садовий обвідний Японія</t>
        </is>
      </c>
      <c r="E600" s="23" t="n">
        <v>1792</v>
      </c>
    </row>
    <row r="601">
      <c r="A601" s="22" t="inlineStr">
        <is>
          <t>Клуб Рослин</t>
        </is>
      </c>
      <c r="B601" s="22" t="inlineStr">
        <is>
          <t>121001007003</t>
        </is>
      </c>
      <c r="C601" s="22" t="inlineStr">
        <is>
          <t>14601</t>
        </is>
      </c>
      <c r="D601" s="22" t="inlineStr">
        <is>
          <t>Секатор Альпен Ріджі 300 / Alpen Rigi 300 для збору плодів Швейцарія</t>
        </is>
      </c>
      <c r="E601" s="23" t="n">
        <v>420</v>
      </c>
    </row>
    <row r="602">
      <c r="A602" s="22" t="inlineStr">
        <is>
          <t>Клуб Рослин</t>
        </is>
      </c>
      <c r="B602" s="22" t="inlineStr">
        <is>
          <t>MKK-5</t>
        </is>
      </c>
      <c r="C602" s="22" t="inlineStr">
        <is>
          <t>16440</t>
        </is>
      </c>
      <c r="D602" s="22" t="inlineStr">
        <is>
          <t>Секатор Кошійї / Koshiji MKK-5 ковані ножиці для квітів 180 мм</t>
        </is>
      </c>
      <c r="E602" s="23" t="n">
        <v>2259</v>
      </c>
    </row>
    <row r="603">
      <c r="A603" s="22" t="inlineStr">
        <is>
          <t>Клуб Рослин</t>
        </is>
      </c>
      <c r="B603" s="22" t="inlineStr">
        <is>
          <t>MKK-7</t>
        </is>
      </c>
      <c r="C603" s="22" t="inlineStr">
        <is>
          <t>16441</t>
        </is>
      </c>
      <c r="D603" s="22" t="inlineStr">
        <is>
          <t>Секатор Кошійї / Koshiji MKK-7 ковані ножиці для квітів 170 мм</t>
        </is>
      </c>
      <c r="E603" s="23" t="n">
        <v>2259</v>
      </c>
    </row>
    <row r="604">
      <c r="A604" s="22" t="inlineStr">
        <is>
          <t>Водоспад</t>
        </is>
      </c>
      <c r="B604" s="22" t="inlineStr">
        <is>
          <t>BCL21</t>
        </is>
      </c>
      <c r="C604" s="22" t="inlineStr">
        <is>
          <t>33966</t>
        </is>
      </c>
      <c r="D604" s="22" t="inlineStr">
        <is>
          <t>Секатор акумуляторний Bahco BCL21</t>
        </is>
      </c>
      <c r="E604" s="23" t="n">
        <v>47862</v>
      </c>
    </row>
    <row r="605">
      <c r="A605" s="22" t="inlineStr">
        <is>
          <t>Клуб Рослин</t>
        </is>
      </c>
      <c r="B605" s="22" t="inlineStr">
        <is>
          <t>BCL21</t>
        </is>
      </c>
      <c r="C605" s="22" t="inlineStr">
        <is>
          <t>12033</t>
        </is>
      </c>
      <c r="D605" s="22" t="inlineStr">
        <is>
          <t>Секатор акумуляторний Bahco BCL21</t>
        </is>
      </c>
      <c r="E605" s="23" t="n">
        <v>49900</v>
      </c>
    </row>
    <row r="606">
      <c r="A606" s="22" t="inlineStr">
        <is>
          <t>Водоспад</t>
        </is>
      </c>
      <c r="B606" s="22" t="inlineStr">
        <is>
          <t>06019K1021</t>
        </is>
      </c>
      <c r="C606" s="22" t="inlineStr">
        <is>
          <t>41137</t>
        </is>
      </c>
      <c r="D606" s="22" t="inlineStr">
        <is>
          <t>Секатор акумуляторний Bosch Professional Pro Pruner (06019K1021)</t>
        </is>
      </c>
      <c r="E606" s="23" t="n">
        <v>11766</v>
      </c>
    </row>
    <row r="607">
      <c r="A607" s="22" t="inlineStr">
        <is>
          <t>Клуб Рослин</t>
        </is>
      </c>
      <c r="B607" s="22" t="inlineStr">
        <is>
          <t>06019K1021</t>
        </is>
      </c>
      <c r="C607" s="22" t="inlineStr">
        <is>
          <t>15716</t>
        </is>
      </c>
      <c r="D607" s="22" t="inlineStr">
        <is>
          <t>Секатор акумуляторний Bosch Professional Pro Pruner (06019K1021)</t>
        </is>
      </c>
      <c r="E607" s="23" t="n">
        <v>11202</v>
      </c>
    </row>
    <row r="608">
      <c r="A608" s="22" t="inlineStr">
        <is>
          <t>Водоспад</t>
        </is>
      </c>
      <c r="B608" s="22" t="inlineStr">
        <is>
          <t>FAL2000</t>
        </is>
      </c>
      <c r="C608" s="22" t="inlineStr">
        <is>
          <t>41184</t>
        </is>
      </c>
      <c r="D608" s="22" t="inlineStr">
        <is>
          <t>Секатор з двома ріжучими лезами 21 см Falket / Фалкет (FAL2000) Італія</t>
        </is>
      </c>
      <c r="E608" s="23" t="n">
        <v>1990</v>
      </c>
    </row>
    <row r="609">
      <c r="A609" s="22" t="inlineStr">
        <is>
          <t>Водоспад</t>
        </is>
      </c>
      <c r="B609" s="22" t="inlineStr">
        <is>
          <t>FAL2209</t>
        </is>
      </c>
      <c r="C609" s="22" t="inlineStr">
        <is>
          <t>41180</t>
        </is>
      </c>
      <c r="D609" s="22" t="inlineStr">
        <is>
          <t>Секатор з двома ріжучими лезами зі зміщенням осі 20 см Falket / Фалкет (FAL2209) Італія</t>
        </is>
      </c>
      <c r="E609" s="23" t="n">
        <v>2050</v>
      </c>
    </row>
    <row r="610">
      <c r="A610" s="22" t="inlineStr">
        <is>
          <t>Водоспад</t>
        </is>
      </c>
      <c r="B610" s="22" t="inlineStr">
        <is>
          <t>1.109</t>
        </is>
      </c>
      <c r="C610" s="22" t="inlineStr">
        <is>
          <t>32331</t>
        </is>
      </c>
      <c r="D610" s="22" t="inlineStr">
        <is>
          <t>Секатор з ковадлом Lowe Original 1.109 Німеччина</t>
        </is>
      </c>
      <c r="E610" s="23" t="n">
        <v>2800</v>
      </c>
    </row>
    <row r="611">
      <c r="A611" s="22" t="inlineStr">
        <is>
          <t>Водоспад</t>
        </is>
      </c>
      <c r="B611" s="22" t="inlineStr">
        <is>
          <t>Fal1162</t>
        </is>
      </c>
      <c r="C611" s="22" t="inlineStr">
        <is>
          <t>41939</t>
        </is>
      </c>
      <c r="D611" s="22" t="inlineStr">
        <is>
          <t>Секатор з наковальнею Falket / Фалкет (FAL1162) Італія</t>
        </is>
      </c>
      <c r="E611" s="23" t="n">
        <v>1850</v>
      </c>
    </row>
    <row r="612">
      <c r="A612" s="22" t="inlineStr">
        <is>
          <t>Водоспад</t>
        </is>
      </c>
      <c r="B612" s="22" t="inlineStr">
        <is>
          <t>FAL2390</t>
        </is>
      </c>
      <c r="C612" s="22" t="inlineStr">
        <is>
          <t>42927</t>
        </is>
      </c>
      <c r="D612" s="22" t="inlineStr">
        <is>
          <t>Секатор обвідний 23 см Фалкет / Falket (FAL2390) Італія</t>
        </is>
      </c>
      <c r="E612" s="23" t="n">
        <v>895</v>
      </c>
    </row>
    <row r="613">
      <c r="A613" s="22" t="inlineStr">
        <is>
          <t>Водоспад</t>
        </is>
      </c>
      <c r="B613" s="22" t="inlineStr">
        <is>
          <t>12.104</t>
        </is>
      </c>
      <c r="C613" s="22" t="inlineStr">
        <is>
          <t>32346</t>
        </is>
      </c>
      <c r="D613" s="22" t="inlineStr">
        <is>
          <t>Секатор обвідний Льове / Lowe Original (12.104) Німеччина</t>
        </is>
      </c>
      <c r="E613" s="23" t="n">
        <v>2440</v>
      </c>
    </row>
    <row r="614">
      <c r="A614" s="22" t="inlineStr">
        <is>
          <t>Водоспад</t>
        </is>
      </c>
      <c r="B614" s="22" t="inlineStr">
        <is>
          <t>12.109</t>
        </is>
      </c>
      <c r="C614" s="22" t="inlineStr">
        <is>
          <t>32347</t>
        </is>
      </c>
      <c r="D614" s="22" t="inlineStr">
        <is>
          <t>Секатор обвідний з поворотною ручкою Льове / Lowe Original (12.109) Німеччина</t>
        </is>
      </c>
      <c r="E614" s="23" t="n">
        <v>3190</v>
      </c>
    </row>
    <row r="615">
      <c r="A615" s="22" t="inlineStr">
        <is>
          <t>Водоспад</t>
        </is>
      </c>
      <c r="B615" s="22" t="inlineStr">
        <is>
          <t>14.104</t>
        </is>
      </c>
      <c r="C615" s="22" t="inlineStr">
        <is>
          <t>32926</t>
        </is>
      </c>
      <c r="D615" s="22" t="inlineStr">
        <is>
          <t>Секатор садовий LOWE Original 14.104 (190 мм) Німеччина</t>
        </is>
      </c>
      <c r="E615" s="23" t="n">
        <v>1850</v>
      </c>
    </row>
    <row r="616">
      <c r="A616" s="22" t="inlineStr">
        <is>
          <t>Водоспад</t>
        </is>
      </c>
      <c r="B616" s="22" t="inlineStr">
        <is>
          <t>14.107</t>
        </is>
      </c>
      <c r="C616" s="22" t="inlineStr">
        <is>
          <t>32927</t>
        </is>
      </c>
      <c r="D616" s="22" t="inlineStr">
        <is>
          <t>Секатор садовий LOWE Original 14.107 (Німеччина)</t>
        </is>
      </c>
      <c r="E616" s="23" t="n">
        <v>1850</v>
      </c>
    </row>
    <row r="617">
      <c r="A617" s="22" t="inlineStr">
        <is>
          <t>Водоспад</t>
        </is>
      </c>
      <c r="B617" s="22" t="inlineStr">
        <is>
          <t>15.104</t>
        </is>
      </c>
      <c r="C617" s="22" t="inlineStr">
        <is>
          <t>32929</t>
        </is>
      </c>
      <c r="D617" s="22" t="inlineStr">
        <is>
          <t>Секатор садовий LOWE Original 15.104</t>
        </is>
      </c>
      <c r="E617" s="23" t="n">
        <v>1850</v>
      </c>
    </row>
    <row r="618">
      <c r="A618" s="22" t="inlineStr">
        <is>
          <t>Водоспад</t>
        </is>
      </c>
      <c r="B618" s="22" t="inlineStr">
        <is>
          <t>KST104</t>
        </is>
      </c>
      <c r="C618" s="22" t="inlineStr">
        <is>
          <t>33217</t>
        </is>
      </c>
      <c r="D618" s="22" t="inlineStr">
        <is>
          <t>Секатор садовий Okatsune 104 (KST104) 210 мм. Японія</t>
        </is>
      </c>
      <c r="E618" s="23" t="n">
        <v>2990</v>
      </c>
    </row>
    <row r="619">
      <c r="A619" s="22" t="inlineStr">
        <is>
          <t>Клуб Рослин</t>
        </is>
      </c>
      <c r="B619" s="22" t="inlineStr">
        <is>
          <t>KST104</t>
        </is>
      </c>
      <c r="C619" s="22" t="inlineStr">
        <is>
          <t>12058</t>
        </is>
      </c>
      <c r="D619" s="22" t="inlineStr">
        <is>
          <t>Секатор садовий Okatsune 104 (KST104) 210 мм. Японія</t>
        </is>
      </c>
      <c r="E619" s="23" t="n">
        <v>2990</v>
      </c>
    </row>
    <row r="620">
      <c r="A620" s="22" t="inlineStr">
        <is>
          <t>Водоспад</t>
        </is>
      </c>
      <c r="B620" s="22" t="inlineStr">
        <is>
          <t>11.104</t>
        </is>
      </c>
      <c r="C620" s="22" t="inlineStr">
        <is>
          <t>32344</t>
        </is>
      </c>
      <c r="D620" s="22" t="inlineStr">
        <is>
          <t>Секатор садовий Льове / Lowe Original (11.104) Німеччина</t>
        </is>
      </c>
      <c r="E620" s="23" t="n">
        <v>2490</v>
      </c>
    </row>
    <row r="621">
      <c r="A621" s="22" t="inlineStr">
        <is>
          <t>Водоспад</t>
        </is>
      </c>
      <c r="B621" s="22" t="inlineStr">
        <is>
          <t>KST101</t>
        </is>
      </c>
      <c r="C621" s="22" t="inlineStr">
        <is>
          <t>33506</t>
        </is>
      </c>
      <c r="D621" s="22" t="inlineStr">
        <is>
          <t>Секатор садовий Окатсуне / Okatsune 101 (KST101) Японія</t>
        </is>
      </c>
      <c r="E621" s="23" t="n">
        <v>2590</v>
      </c>
    </row>
    <row r="622">
      <c r="A622" s="22" t="inlineStr">
        <is>
          <t>Клуб Рослин</t>
        </is>
      </c>
      <c r="B622" s="22" t="inlineStr">
        <is>
          <t>KST101</t>
        </is>
      </c>
      <c r="C622" s="22" t="inlineStr">
        <is>
          <t>12056</t>
        </is>
      </c>
      <c r="D622" s="22" t="inlineStr">
        <is>
          <t>Секатор садовий Окатсуне / Okatsune 101 (KST101) Японія</t>
        </is>
      </c>
      <c r="E622" s="23" t="n">
        <v>2590</v>
      </c>
    </row>
    <row r="623">
      <c r="A623" s="22" t="inlineStr">
        <is>
          <t>Водоспад</t>
        </is>
      </c>
      <c r="B623" s="22" t="inlineStr">
        <is>
          <t>16.104</t>
        </is>
      </c>
      <c r="C623" s="22" t="inlineStr">
        <is>
          <t>33875</t>
        </is>
      </c>
      <c r="D623" s="22" t="inlineStr">
        <is>
          <t>Секатор садовий для троянд Льове / Lowe Original (16.104) Німеччина</t>
        </is>
      </c>
      <c r="E623" s="23" t="n">
        <v>2390</v>
      </c>
    </row>
    <row r="624">
      <c r="A624" s="22" t="inlineStr">
        <is>
          <t>Водоспад</t>
        </is>
      </c>
      <c r="B624" s="22" t="inlineStr">
        <is>
          <t>16.107</t>
        </is>
      </c>
      <c r="C624" s="22" t="inlineStr">
        <is>
          <t>33337</t>
        </is>
      </c>
      <c r="D624" s="22" t="inlineStr">
        <is>
          <t>Секатор садовий для троянд Льове / Lowe Original (16.107) Німеччина</t>
        </is>
      </c>
      <c r="E624" s="23" t="n">
        <v>2390</v>
      </c>
    </row>
    <row r="625">
      <c r="A625" s="22" t="inlineStr">
        <is>
          <t>Водоспад</t>
        </is>
      </c>
      <c r="B625" s="22" t="inlineStr">
        <is>
          <t>11.109</t>
        </is>
      </c>
      <c r="C625" s="22" t="inlineStr">
        <is>
          <t>32345</t>
        </is>
      </c>
      <c r="D625" s="22" t="inlineStr">
        <is>
          <t>Секатор садовий з поворотною ручкою Льове / Lowe Original (11.109) Німеччина</t>
        </is>
      </c>
      <c r="E625" s="23" t="n">
        <v>3495</v>
      </c>
    </row>
    <row r="626">
      <c r="A626" s="22" t="inlineStr">
        <is>
          <t>Клуб Рослин</t>
        </is>
      </c>
      <c r="B626" s="22" t="inlineStr">
        <is>
          <t>DK-673</t>
        </is>
      </c>
      <c r="C626" s="22" t="inlineStr">
        <is>
          <t>15815</t>
        </is>
      </c>
      <c r="D626" s="22" t="inlineStr">
        <is>
          <t>Секатор типу ножиці Доукан / Doukan (DK-673) Японія</t>
        </is>
      </c>
      <c r="E626" s="23" t="n">
        <v>3945</v>
      </c>
    </row>
    <row r="627">
      <c r="A627" s="22" t="inlineStr">
        <is>
          <t>Клуб Рослин</t>
        </is>
      </c>
      <c r="B627" s="22" t="inlineStr">
        <is>
          <t>Z-21K</t>
        </is>
      </c>
      <c r="C627" s="22" t="inlineStr">
        <is>
          <t>15818</t>
        </is>
      </c>
      <c r="D627" s="22" t="inlineStr">
        <is>
          <t>Секатор типу ножиці Камакі / Kamaki (Z-21K) Японія</t>
        </is>
      </c>
      <c r="E627" s="23" t="n">
        <v>1470</v>
      </c>
    </row>
    <row r="628">
      <c r="A628" s="22" t="inlineStr">
        <is>
          <t>Клуб Рослин</t>
        </is>
      </c>
      <c r="B628" s="22" t="inlineStr">
        <is>
          <t>N-207</t>
        </is>
      </c>
      <c r="C628" s="22" t="inlineStr">
        <is>
          <t>15967</t>
        </is>
      </c>
      <c r="D628" s="22" t="inlineStr">
        <is>
          <t>Секатор типу ножиці Нішігакі / Nishigaki N-207 Японія</t>
        </is>
      </c>
      <c r="E628" s="23" t="n">
        <v>3299</v>
      </c>
    </row>
    <row r="629">
      <c r="A629" s="22" t="inlineStr">
        <is>
          <t>Клуб Рослин</t>
        </is>
      </c>
      <c r="B629" s="22" t="inlineStr">
        <is>
          <t>ARS-310</t>
        </is>
      </c>
      <c r="C629" s="22" t="inlineStr">
        <is>
          <t>11825</t>
        </is>
      </c>
      <c r="D629" s="22" t="inlineStr">
        <is>
          <t>Секатор типу ножиці вигнуті леза АРС / ARS (310) Японія</t>
        </is>
      </c>
      <c r="E629" s="23" t="n">
        <v>445</v>
      </c>
    </row>
    <row r="630">
      <c r="A630" s="22" t="inlineStr">
        <is>
          <t>Водоспад</t>
        </is>
      </c>
      <c r="B630" s="22" t="inlineStr">
        <is>
          <t>300L-DX</t>
        </is>
      </c>
      <c r="C630" s="22" t="inlineStr">
        <is>
          <t>41936</t>
        </is>
      </c>
      <c r="D630" s="22" t="inlineStr">
        <is>
          <t>Секатор типу ножиці довгі леза АРС / ARS (300L-DX) Японія</t>
        </is>
      </c>
      <c r="E630" s="23" t="n">
        <v>629</v>
      </c>
    </row>
    <row r="631">
      <c r="A631" s="22" t="inlineStr">
        <is>
          <t>Клуб Рослин</t>
        </is>
      </c>
      <c r="B631" s="22" t="inlineStr">
        <is>
          <t>300L-DX</t>
        </is>
      </c>
      <c r="C631" s="22" t="inlineStr">
        <is>
          <t>11823</t>
        </is>
      </c>
      <c r="D631" s="22" t="inlineStr">
        <is>
          <t>Секатор типу ножиці довгі леза АРС / ARS (300L-DX) Японія</t>
        </is>
      </c>
      <c r="E631" s="23" t="n">
        <v>629</v>
      </c>
    </row>
    <row r="632">
      <c r="A632" s="22" t="inlineStr">
        <is>
          <t>Водоспад</t>
        </is>
      </c>
      <c r="B632" s="22" t="inlineStr">
        <is>
          <t>P6201</t>
        </is>
      </c>
      <c r="C632" s="22" t="inlineStr">
        <is>
          <t>41419</t>
        </is>
      </c>
      <c r="D632" s="22" t="inlineStr">
        <is>
          <t>Серп-коса для трави 32 см Фукс / Fux (P6201) Австрія</t>
        </is>
      </c>
      <c r="E632" s="23" t="n">
        <v>2400</v>
      </c>
    </row>
    <row r="633">
      <c r="A633" s="22" t="inlineStr">
        <is>
          <t>Водоспад</t>
        </is>
      </c>
      <c r="B633" s="22" t="inlineStr">
        <is>
          <t>P6202</t>
        </is>
      </c>
      <c r="C633" s="22" t="inlineStr">
        <is>
          <t>40647</t>
        </is>
      </c>
      <c r="D633" s="22" t="inlineStr">
        <is>
          <t>Серп-коса для трави 37 см Фукс / Fux (P6202) Австрія</t>
        </is>
      </c>
      <c r="E633" s="23" t="n">
        <v>2650</v>
      </c>
    </row>
    <row r="634">
      <c r="A634" s="22" t="inlineStr">
        <is>
          <t>Водоспад</t>
        </is>
      </c>
      <c r="B634" s="22" t="inlineStr">
        <is>
          <t>121-24</t>
        </is>
      </c>
      <c r="C634" s="22" t="inlineStr">
        <is>
          <t>33562</t>
        </is>
      </c>
      <c r="D634" s="22" t="inlineStr">
        <is>
          <t>Складна пила Silky Gomboy 240-10 (121-24) Японія</t>
        </is>
      </c>
      <c r="E634" s="23" t="n">
        <v>2990</v>
      </c>
    </row>
    <row r="635">
      <c r="A635" s="22" t="inlineStr">
        <is>
          <t>Водоспад</t>
        </is>
      </c>
      <c r="B635" s="22" t="inlineStr">
        <is>
          <t>MS93305</t>
        </is>
      </c>
      <c r="C635" s="22" t="inlineStr">
        <is>
          <t>33291</t>
        </is>
      </c>
      <c r="D635" s="22" t="inlineStr">
        <is>
          <t>Скоби оригінальні для степлера Tapener Max (MS93305) Японія</t>
        </is>
      </c>
      <c r="E635" s="23" t="n">
        <v>130</v>
      </c>
    </row>
    <row r="636">
      <c r="A636" s="22" t="inlineStr">
        <is>
          <t>Водоспад</t>
        </is>
      </c>
      <c r="B636" s="22" t="inlineStr">
        <is>
          <t>568-10</t>
        </is>
      </c>
      <c r="C636" s="22" t="inlineStr">
        <is>
          <t>33449</t>
        </is>
      </c>
      <c r="D636" s="22" t="inlineStr">
        <is>
          <t>Сокира Silky ONO 120 (568-10) Японія</t>
        </is>
      </c>
      <c r="E636" s="23" t="n">
        <v>5990</v>
      </c>
    </row>
    <row r="637">
      <c r="A637" s="22" t="inlineStr">
        <is>
          <t>Клуб Рослин</t>
        </is>
      </c>
      <c r="B637" s="22" t="inlineStr">
        <is>
          <t>460</t>
        </is>
      </c>
      <c r="C637" s="22" t="inlineStr">
        <is>
          <t>17587</t>
        </is>
      </c>
      <c r="D637" s="22" t="inlineStr">
        <is>
          <t>Сокира універсальна туристична Фелко / Felco 460 Швейцарія</t>
        </is>
      </c>
      <c r="E637" s="23" t="n">
        <v>2490</v>
      </c>
    </row>
    <row r="638">
      <c r="A638" s="22" t="inlineStr">
        <is>
          <t>Водоспад</t>
        </is>
      </c>
      <c r="B638" s="22" t="inlineStr">
        <is>
          <t>TP91041</t>
        </is>
      </c>
      <c r="C638" s="22" t="inlineStr">
        <is>
          <t>40900</t>
        </is>
      </c>
      <c r="D638" s="22" t="inlineStr">
        <is>
          <t>Стрічка для підв'язки Max Tape-10VP (TP91041) 0.10*11мм*40м*20шт Японія</t>
        </is>
      </c>
      <c r="E638" s="23" t="n">
        <v>499</v>
      </c>
    </row>
    <row r="639">
      <c r="A639" s="22" t="inlineStr">
        <is>
          <t>Водоспад</t>
        </is>
      </c>
      <c r="B639" s="22" t="inlineStr">
        <is>
          <t>TP91043</t>
        </is>
      </c>
      <c r="C639" s="22" t="inlineStr">
        <is>
          <t>38999</t>
        </is>
      </c>
      <c r="D639" s="22" t="inlineStr">
        <is>
          <t>Стрічка для підв'язки Max Tape-15VP (TP91043) 0.15*11мм*26м*20шт Японія</t>
        </is>
      </c>
      <c r="E639" s="23" t="n">
        <v>649</v>
      </c>
    </row>
    <row r="640">
      <c r="A640" s="22" t="inlineStr">
        <is>
          <t>Водоспад</t>
        </is>
      </c>
      <c r="B640" s="22" t="inlineStr">
        <is>
          <t>TP91510</t>
        </is>
      </c>
      <c r="C640" s="22" t="inlineStr">
        <is>
          <t>40732</t>
        </is>
      </c>
      <c r="D640" s="22" t="inlineStr">
        <is>
          <t>Стрічка для підв'язки армована Max Tape-T32B (TP91510) 0.25*9мм*32м*5шт для степлера Max Tapener HT-S45E Японія</t>
        </is>
      </c>
      <c r="E640" s="23" t="n">
        <v>990</v>
      </c>
    </row>
    <row r="641">
      <c r="A641" s="22" t="inlineStr">
        <is>
          <t>Водоспад</t>
        </is>
      </c>
      <c r="B641" s="22" t="inlineStr">
        <is>
          <t>12MAXBIOD</t>
        </is>
      </c>
      <c r="C641" s="22" t="inlineStr">
        <is>
          <t>40865</t>
        </is>
      </c>
      <c r="D641" s="22" t="inlineStr">
        <is>
          <t>Стрічка для степлера підв'язувача Tapener саморозкладна BIO Nastro (12MAXBIOD) 0.15*11мм*26м*10шт Gielle Італія</t>
        </is>
      </c>
      <c r="E641" s="23" t="n">
        <v>495</v>
      </c>
    </row>
    <row r="642">
      <c r="A642" s="22" t="inlineStr">
        <is>
          <t>Водоспад</t>
        </is>
      </c>
      <c r="B642" s="22" t="inlineStr">
        <is>
          <t>5030005N</t>
        </is>
      </c>
      <c r="C642" s="22" t="inlineStr">
        <is>
          <t>41774</t>
        </is>
      </c>
      <c r="D642" s="22" t="inlineStr">
        <is>
          <t>Стрічка-плівка для щеплення 66 метрів (19мм х 0.1мм) самоклеюча Agrichem (5030005N) Італія</t>
        </is>
      </c>
      <c r="E642" s="23" t="n">
        <v>850</v>
      </c>
    </row>
    <row r="643">
      <c r="A643" s="22" t="inlineStr">
        <is>
          <t>Водоспад</t>
        </is>
      </c>
      <c r="B643" s="22" t="inlineStr">
        <is>
          <t>4980005N</t>
        </is>
      </c>
      <c r="C643" s="22" t="inlineStr">
        <is>
          <t>40800</t>
        </is>
      </c>
      <c r="D643" s="22" t="inlineStr">
        <is>
          <t>Стрічка-плівка для щеплення Agrichem 50 м (32мм х 0.1мм) без перфорації (самоклейна) (4980005N) Італія</t>
        </is>
      </c>
      <c r="E643" s="23" t="n">
        <v>795</v>
      </c>
    </row>
    <row r="644">
      <c r="A644" s="22" t="inlineStr">
        <is>
          <t>Клуб Рослин</t>
        </is>
      </c>
      <c r="B644" s="22" t="inlineStr">
        <is>
          <t>SR-BAG</t>
        </is>
      </c>
      <c r="C644" s="22" t="inlineStr">
        <is>
          <t>16238</t>
        </is>
      </c>
      <c r="D644" s="22" t="inlineStr">
        <is>
          <t>Сумка Смарт Рейн / Smart Rain 280 л (SR-BAG)</t>
        </is>
      </c>
      <c r="E644" s="23" t="n">
        <v>695</v>
      </c>
    </row>
    <row r="645">
      <c r="A645" s="22" t="inlineStr">
        <is>
          <t>Водоспад</t>
        </is>
      </c>
      <c r="B645" s="22" t="inlineStr">
        <is>
          <t>WW12-20</t>
        </is>
      </c>
      <c r="C645" s="22" t="inlineStr">
        <is>
          <t>42257</t>
        </is>
      </c>
      <c r="D645" s="22" t="inlineStr">
        <is>
          <t>Сумка для збирання яблук 12/20 кг Manzana (WW12-20) Іспанія</t>
        </is>
      </c>
      <c r="E645" s="23" t="n">
        <v>2299</v>
      </c>
    </row>
    <row r="646">
      <c r="A646" s="22" t="inlineStr">
        <is>
          <t>Водоспад</t>
        </is>
      </c>
      <c r="B646" s="22" t="inlineStr">
        <is>
          <t>12Margo</t>
        </is>
      </c>
      <c r="C646" s="22" t="inlineStr">
        <is>
          <t>40559</t>
        </is>
      </c>
      <c r="D646" s="22" t="inlineStr">
        <is>
          <t>Сумка для кембрика з ременем (12Margo) Tubet Італія</t>
        </is>
      </c>
      <c r="E646" s="23" t="n">
        <v>710</v>
      </c>
    </row>
    <row r="647">
      <c r="A647" s="22" t="inlineStr">
        <is>
          <t>Клуб Рослин</t>
        </is>
      </c>
      <c r="B647" s="22" t="inlineStr">
        <is>
          <t>200А-60</t>
        </is>
      </c>
      <c r="C647" s="22" t="inlineStr">
        <is>
          <t>12514</t>
        </is>
      </c>
      <c r="D647" s="22" t="inlineStr">
        <is>
          <t>Сучкоріз / Гілкоріз Felco 200A-60</t>
        </is>
      </c>
      <c r="E647" s="23" t="n">
        <v>4690</v>
      </c>
    </row>
    <row r="648">
      <c r="A648" s="22" t="inlineStr">
        <is>
          <t>Клуб Рослин</t>
        </is>
      </c>
      <c r="B648" s="22" t="inlineStr">
        <is>
          <t>200a-60</t>
        </is>
      </c>
      <c r="C648" s="22" t="inlineStr">
        <is>
          <t>12514</t>
        </is>
      </c>
      <c r="D648" s="22" t="inlineStr">
        <is>
          <t>Сучкоріз / Гілкоріз Felco 200A-60</t>
        </is>
      </c>
      <c r="E648" s="23" t="n">
        <v>4690</v>
      </c>
    </row>
    <row r="649">
      <c r="A649" s="22" t="inlineStr">
        <is>
          <t>Клуб Рослин</t>
        </is>
      </c>
      <c r="B649" s="22" t="inlineStr">
        <is>
          <t>64628351-abbb-11ee-bf43-c87f546feb15</t>
        </is>
      </c>
      <c r="C649" s="22" t="inlineStr">
        <is>
          <t>12514</t>
        </is>
      </c>
      <c r="D649" s="22" t="inlineStr">
        <is>
          <t>Сучкоріз Felco 200A-60 / Гілкоріз Felco 200A-60</t>
        </is>
      </c>
      <c r="E649" s="23" t="n">
        <v>4690</v>
      </c>
    </row>
    <row r="650">
      <c r="A650" s="22" t="inlineStr">
        <is>
          <t>Водоспад</t>
        </is>
      </c>
      <c r="B650" s="22" t="inlineStr">
        <is>
          <t>N21.080</t>
        </is>
      </c>
      <c r="C650" s="22" t="inlineStr">
        <is>
          <t>43332</t>
        </is>
      </c>
      <c r="D650" s="22" t="inlineStr">
        <is>
          <t>Сучкоріз обвідний Lowe Natural Series (N21.080) дерев’яні ручки Німеччина</t>
        </is>
      </c>
      <c r="E650" s="23" t="n">
        <v>7599</v>
      </c>
    </row>
    <row r="651">
      <c r="A651" s="22" t="inlineStr">
        <is>
          <t>Водоспад</t>
        </is>
      </c>
      <c r="B651" s="22" t="inlineStr">
        <is>
          <t>SD-100-BT</t>
        </is>
      </c>
      <c r="C651" s="22" t="inlineStr">
        <is>
          <t>42730</t>
        </is>
      </c>
      <c r="D651" s="22" t="inlineStr">
        <is>
          <t>Точилка алмазна складна АРС / ARS Butterfly (SD-100-BT) Японія</t>
        </is>
      </c>
      <c r="E651" s="23" t="n">
        <v>799</v>
      </c>
    </row>
    <row r="652">
      <c r="A652" s="22" t="inlineStr">
        <is>
          <t>Водоспад</t>
        </is>
      </c>
      <c r="B652" s="22" t="inlineStr">
        <is>
          <t>KST412</t>
        </is>
      </c>
      <c r="C652" s="22" t="inlineStr">
        <is>
          <t>32951</t>
        </is>
      </c>
      <c r="D652" s="22" t="inlineStr">
        <is>
          <t>Точильний камінь Okatsune 400 Grit (KST412) Японія</t>
        </is>
      </c>
      <c r="E652" s="23" t="n">
        <v>825</v>
      </c>
    </row>
    <row r="653">
      <c r="A653" s="22" t="inlineStr">
        <is>
          <t>Клуб Рослин</t>
        </is>
      </c>
      <c r="B653" s="22" t="inlineStr">
        <is>
          <t>KST412</t>
        </is>
      </c>
      <c r="C653" s="22" t="inlineStr">
        <is>
          <t>12722</t>
        </is>
      </c>
      <c r="D653" s="22" t="inlineStr">
        <is>
          <t>Точильний камінь Okatsune 400 Grit (KST412) Японія</t>
        </is>
      </c>
      <c r="E653" s="23" t="n">
        <v>825</v>
      </c>
    </row>
    <row r="654">
      <c r="A654" s="22" t="inlineStr">
        <is>
          <t>Водоспад</t>
        </is>
      </c>
      <c r="B654" s="22" t="inlineStr">
        <is>
          <t>902</t>
        </is>
      </c>
      <c r="C654" s="22" t="inlineStr">
        <is>
          <t>32579</t>
        </is>
      </c>
      <c r="D654" s="22" t="inlineStr">
        <is>
          <t>Точильний камінь алмаз 100 мм (500-2000 grit) Felco 902</t>
        </is>
      </c>
      <c r="E654" s="23" t="n">
        <v>959</v>
      </c>
    </row>
    <row r="655">
      <c r="A655" s="22" t="inlineStr">
        <is>
          <t>Клуб Рослин</t>
        </is>
      </c>
      <c r="B655" s="22" t="inlineStr">
        <is>
          <t>905</t>
        </is>
      </c>
      <c r="C655" s="22" t="inlineStr">
        <is>
          <t>12711</t>
        </is>
      </c>
      <c r="D655" s="22" t="inlineStr">
        <is>
          <t>Точильний інструмент Фелко / Felco 905 Швейцарія</t>
        </is>
      </c>
      <c r="E655" s="23" t="n">
        <v>1480</v>
      </c>
    </row>
    <row r="656">
      <c r="A656" s="22" t="inlineStr">
        <is>
          <t>Клуб Рослин</t>
        </is>
      </c>
      <c r="B656" s="22" t="inlineStr">
        <is>
          <t>906</t>
        </is>
      </c>
      <c r="C656" s="22" t="inlineStr">
        <is>
          <t>14623</t>
        </is>
      </c>
      <c r="D656" s="22" t="inlineStr">
        <is>
          <t>Точильний інструмент Фелко / Felco 906 Швейцарія</t>
        </is>
      </c>
      <c r="E656" s="23" t="n">
        <v>930</v>
      </c>
    </row>
    <row r="657">
      <c r="A657" s="22" t="inlineStr">
        <is>
          <t>Клуб Рослин</t>
        </is>
      </c>
      <c r="B657" s="22" t="inlineStr">
        <is>
          <t>SP-426</t>
        </is>
      </c>
      <c r="C657" s="22" t="inlineStr">
        <is>
          <t>12797</t>
        </is>
      </c>
      <c r="D657" s="22" t="inlineStr">
        <is>
          <t>Фіксатор центрального болта до сучкорізів ARS LPB SERIES, LPA-30L</t>
        </is>
      </c>
      <c r="E657" s="23" t="n">
        <v>87</v>
      </c>
    </row>
    <row r="658">
      <c r="A658" s="22" t="inlineStr">
        <is>
          <t>Клуб Рослин</t>
        </is>
      </c>
      <c r="B658" s="22" t="inlineStr">
        <is>
          <t>121000550502</t>
        </is>
      </c>
      <c r="C658" s="22" t="inlineStr">
        <is>
          <t>10070</t>
        </is>
      </c>
      <c r="D658" s="22" t="inlineStr">
        <is>
          <t>Чохол для секатора Due Buoi (121000550502) Італія</t>
        </is>
      </c>
      <c r="E658" s="23" t="n">
        <v>890</v>
      </c>
    </row>
    <row r="659">
      <c r="A659" s="22" t="inlineStr">
        <is>
          <t>Водоспад</t>
        </is>
      </c>
      <c r="B659" s="22" t="inlineStr">
        <is>
          <t>131419</t>
        </is>
      </c>
      <c r="C659" s="22" t="inlineStr">
        <is>
          <t>32744</t>
        </is>
      </c>
      <c r="D659" s="22" t="inlineStr">
        <is>
          <t>Чохол камуфляжний 80 см (131419) для лопати Fiskars Solid 1066715</t>
        </is>
      </c>
      <c r="E659" s="23" t="n">
        <v>999</v>
      </c>
    </row>
    <row r="660">
      <c r="A660" s="22" t="inlineStr">
        <is>
          <t>Водоспад</t>
        </is>
      </c>
      <c r="B660" s="22" t="inlineStr">
        <is>
          <t>131426</t>
        </is>
      </c>
      <c r="C660" s="22" t="inlineStr">
        <is>
          <t>32412</t>
        </is>
      </c>
      <c r="D660" s="22" t="inlineStr">
        <is>
          <t>Чохол чорний 126 см (131426) для лопати Fiskars Solid 1066716</t>
        </is>
      </c>
      <c r="E660" s="23" t="n">
        <v>1199</v>
      </c>
    </row>
    <row r="661">
      <c r="A661" s="22" t="inlineStr">
        <is>
          <t>Водоспад</t>
        </is>
      </c>
      <c r="B661" s="22" t="inlineStr">
        <is>
          <t>131418</t>
        </is>
      </c>
      <c r="C661" s="22" t="inlineStr">
        <is>
          <t>32744</t>
        </is>
      </c>
      <c r="D661" s="22" t="inlineStr">
        <is>
          <t>Чохол чорний 80 см (131418) для лопати Fiskars Solid 1066715</t>
        </is>
      </c>
      <c r="E661" s="23" t="n">
        <v>999</v>
      </c>
    </row>
    <row r="662">
      <c r="A662" s="22" t="inlineStr">
        <is>
          <t>Водоспад</t>
        </is>
      </c>
      <c r="B662" s="22" t="inlineStr">
        <is>
          <t>KST133</t>
        </is>
      </c>
      <c r="C662" s="22" t="inlineStr">
        <is>
          <t>33896</t>
        </is>
      </c>
      <c r="D662" s="22" t="inlineStr">
        <is>
          <t>Чохол шкіряний Окатсуне / Okatsune (KST133) Японія</t>
        </is>
      </c>
      <c r="E662" s="23" t="n">
        <v>1090</v>
      </c>
    </row>
    <row r="663">
      <c r="A663" s="22" t="inlineStr">
        <is>
          <t>Клуб Рослин</t>
        </is>
      </c>
      <c r="B663" s="22" t="inlineStr">
        <is>
          <t>KST133</t>
        </is>
      </c>
      <c r="C663" s="22" t="inlineStr">
        <is>
          <t>16234</t>
        </is>
      </c>
      <c r="D663" s="22" t="inlineStr">
        <is>
          <t>Чохол шкіряний Окатсуне / Okatsune (KST133) Японія</t>
        </is>
      </c>
      <c r="E663" s="23" t="n">
        <v>990</v>
      </c>
    </row>
    <row r="664">
      <c r="A664" s="22" t="inlineStr">
        <is>
          <t>Водоспад</t>
        </is>
      </c>
      <c r="B664" s="22" t="inlineStr">
        <is>
          <t>1297010133</t>
        </is>
      </c>
      <c r="C664" s="22" t="inlineStr">
        <is>
          <t>42434</t>
        </is>
      </c>
      <c r="D664" s="22" t="inlineStr">
        <is>
          <t>Чохол шкіряний для секатора Due Buoi (1297010133) Італія</t>
        </is>
      </c>
      <c r="E664" s="23" t="n">
        <v>720</v>
      </c>
    </row>
    <row r="665">
      <c r="A665" s="22" t="inlineStr">
        <is>
          <t>Водоспад</t>
        </is>
      </c>
      <c r="B665" s="22" t="inlineStr">
        <is>
          <t>600/11</t>
        </is>
      </c>
      <c r="C665" s="22" t="inlineStr">
        <is>
          <t>36624</t>
        </is>
      </c>
      <c r="D665" s="22" t="inlineStr">
        <is>
          <t>Щеплювальний ніж Тіна / Tina (600/11) Німеччина</t>
        </is>
      </c>
      <c r="E665" s="23" t="n">
        <v>5499</v>
      </c>
    </row>
    <row r="666">
      <c r="A666" s="22" t="inlineStr">
        <is>
          <t>Водоспад</t>
        </is>
      </c>
      <c r="B666" s="22" t="inlineStr">
        <is>
          <t>635/12</t>
        </is>
      </c>
      <c r="C666" s="22" t="inlineStr">
        <is>
          <t>41214</t>
        </is>
      </c>
      <c r="D666" s="22" t="inlineStr">
        <is>
          <t>Щеплювальний ніж Тіна / Tina (635/12) Німеччина</t>
        </is>
      </c>
      <c r="E666" s="23" t="n">
        <v>8999</v>
      </c>
    </row>
    <row r="667">
      <c r="A667" s="22" t="inlineStr">
        <is>
          <t>Водоспад</t>
        </is>
      </c>
      <c r="B667" s="22" t="inlineStr">
        <is>
          <t>211P-SP-OT</t>
        </is>
      </c>
      <c r="C667" s="22" t="inlineStr">
        <is>
          <t>33577</t>
        </is>
      </c>
      <c r="D667" s="22" t="inlineStr">
        <is>
          <t>Щеплювальний ніж для окулірування з відокремлювачем кори Due Buoi 211P-SP-OT Італія</t>
        </is>
      </c>
      <c r="E667" s="23" t="n">
        <v>1990</v>
      </c>
    </row>
    <row r="668">
      <c r="A668" s="22" t="inlineStr">
        <is>
          <t>Водоспад</t>
        </is>
      </c>
      <c r="B668" s="22" t="inlineStr">
        <is>
          <t>641/10L</t>
        </is>
      </c>
      <c r="C668" s="22" t="inlineStr">
        <is>
          <t>40646</t>
        </is>
      </c>
      <c r="D668" s="22" t="inlineStr">
        <is>
          <t>Щеплювальний ніж для шульги Тіна / Tina (641/10L) Німеччина</t>
        </is>
      </c>
      <c r="E668" s="23" t="n">
        <v>7299</v>
      </c>
    </row>
    <row r="669">
      <c r="A669" s="22" t="inlineStr">
        <is>
          <t>Водоспад</t>
        </is>
      </c>
      <c r="B669" s="22" t="inlineStr">
        <is>
          <t>224P-SP-OT</t>
        </is>
      </c>
      <c r="C669" s="22" t="inlineStr">
        <is>
          <t>33188</t>
        </is>
      </c>
      <c r="D669" s="22" t="inlineStr">
        <is>
          <t>Щеплювальний ніж з відділювачем кори Due Buoi 224P-SP-OT Італія</t>
        </is>
      </c>
      <c r="E669" s="23" t="n">
        <v>1360</v>
      </c>
    </row>
    <row r="670">
      <c r="A670" s="22" t="inlineStr">
        <is>
          <t>Клуб Рослин</t>
        </is>
      </c>
      <c r="B670" s="22" t="inlineStr">
        <is>
          <t>224P-SP-OT</t>
        </is>
      </c>
      <c r="C670" s="22" t="inlineStr">
        <is>
          <t>10864</t>
        </is>
      </c>
      <c r="D670" s="22" t="inlineStr">
        <is>
          <t>Щеплювальний ніж з відділювачем кори Due Buoi 224P-SP-OT Італія</t>
        </is>
      </c>
      <c r="E670" s="23" t="n">
        <v>1520</v>
      </c>
    </row>
    <row r="671">
      <c r="A671" s="22" t="inlineStr">
        <is>
          <t>Водоспад</t>
        </is>
      </c>
      <c r="B671" s="22" t="inlineStr">
        <is>
          <t>641/10F</t>
        </is>
      </c>
      <c r="C671" s="22" t="inlineStr">
        <is>
          <t>37043</t>
        </is>
      </c>
      <c r="D671" s="22" t="inlineStr">
        <is>
          <t>Щеплювальний ніж з відокремлювачем кори Тіна / Tina (641/10F ) Німеччина</t>
        </is>
      </c>
      <c r="E671" s="23" t="n">
        <v>6499</v>
      </c>
    </row>
    <row r="672">
      <c r="A672" s="22" t="inlineStr">
        <is>
          <t>Водоспад</t>
        </is>
      </c>
      <c r="B672" s="22" t="inlineStr">
        <is>
          <t>645/10F</t>
        </is>
      </c>
      <c r="C672" s="22" t="inlineStr">
        <is>
          <t>37044</t>
        </is>
      </c>
      <c r="D672" s="22" t="inlineStr">
        <is>
          <t>Щеплювальний ніж з відокремлювачем кори Тіна / Tina (645/10F ) Німеччина</t>
        </is>
      </c>
      <c r="E672" s="23" t="n">
        <v>6599</v>
      </c>
    </row>
    <row r="673">
      <c r="A673" s="22" t="inlineStr">
        <is>
          <t>Клуб Рослин</t>
        </is>
      </c>
      <c r="B673" s="22" t="inlineStr">
        <is>
          <t>645/10F</t>
        </is>
      </c>
      <c r="C673" s="22" t="inlineStr">
        <is>
          <t>10948</t>
        </is>
      </c>
      <c r="D673" s="22" t="inlineStr">
        <is>
          <t>Щеплювальний ніж з відокремлювачем кори Тіна / Tina (645/10F ) Німеччина</t>
        </is>
      </c>
      <c r="E673" s="23" t="n">
        <v>6599</v>
      </c>
    </row>
    <row r="674">
      <c r="A674" s="22" t="inlineStr">
        <is>
          <t>Водоспад</t>
        </is>
      </c>
      <c r="B674" s="22" t="inlineStr">
        <is>
          <t>600А/12</t>
        </is>
      </c>
      <c r="C674" s="22" t="inlineStr">
        <is>
          <t>32937</t>
        </is>
      </c>
      <c r="D674" s="22" t="inlineStr">
        <is>
          <t>Щеплювальний ніж універсальний Тіна / Tina (600А/12) Німеччина</t>
        </is>
      </c>
      <c r="E674" s="23" t="n">
        <v>6499</v>
      </c>
    </row>
    <row r="675">
      <c r="A675" s="22" t="inlineStr">
        <is>
          <t>Водоспад</t>
        </is>
      </c>
      <c r="B675" s="22" t="inlineStr">
        <is>
          <t>3.90.20</t>
        </is>
      </c>
      <c r="C675" s="22" t="inlineStr">
        <is>
          <t>32375</t>
        </is>
      </c>
      <c r="D675" s="22" t="inlineStr">
        <is>
          <t>​​​​​​​Ніж для щеплення Victorinox 3.90.20 Швейцарія</t>
        </is>
      </c>
      <c r="E675" s="23" t="n">
        <v>1449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46" customWidth="1" min="4" max="4"/>
    <col width="10" customWidth="1" min="5" max="5"/>
  </cols>
  <sheetData>
    <row r="1" ht="32" customHeight="1">
      <c r="A1" s="1" t="inlineStr">
        <is>
          <t>Постачальник</t>
        </is>
      </c>
      <c r="B1" s="1" t="inlineStr">
        <is>
          <t>Мій ID</t>
        </is>
      </c>
      <c r="C1" s="1" t="inlineStr">
        <is>
          <t>ID у постачальника</t>
        </is>
      </c>
      <c r="D1" s="1" t="inlineStr">
        <is>
          <t>Товар</t>
        </is>
      </c>
      <c r="E1" s="1" t="inlineStr">
        <is>
          <t>08.10</t>
        </is>
      </c>
    </row>
    <row r="2">
      <c r="A2" s="22" t="inlineStr">
        <is>
          <t>Водоспад</t>
        </is>
      </c>
      <c r="B2" s="22" t="inlineStr">
        <is>
          <t>123100400</t>
        </is>
      </c>
      <c r="C2" s="22" t="inlineStr">
        <is>
          <t>42494</t>
        </is>
      </c>
      <c r="D2" s="22" t="inlineStr">
        <is>
          <t>Точильний камінь 4000/1000 S&amp;R (123100400) Німеччина</t>
        </is>
      </c>
      <c r="E2" s="23" t="n">
        <v>540</v>
      </c>
    </row>
    <row r="3">
      <c r="A3" s="22" t="inlineStr">
        <is>
          <t>Водоспад</t>
        </is>
      </c>
      <c r="B3" s="22" t="inlineStr">
        <is>
          <t>123100402</t>
        </is>
      </c>
      <c r="C3" s="22" t="inlineStr">
        <is>
          <t>42494</t>
        </is>
      </c>
      <c r="D3" s="22" t="inlineStr">
        <is>
          <t>Набір точильних каменів 120/240 та 4000/1000 гріт S&amp;R (123100402) Німеччина</t>
        </is>
      </c>
      <c r="E3" s="23" t="n">
        <v>755</v>
      </c>
    </row>
    <row r="4">
      <c r="A4" s="22" t="inlineStr">
        <is>
          <t>Клуб Рослин</t>
        </is>
      </c>
      <c r="B4" s="22" t="inlineStr">
        <is>
          <t>SD-95-PN</t>
        </is>
      </c>
      <c r="C4" s="22" t="inlineStr">
        <is>
          <t>15592</t>
        </is>
      </c>
      <c r="D4" s="22" t="inlineStr">
        <is>
          <t>Точилка діамантова для вигнутих країв АРС / ARS Pen (SD-95-PN) Японія</t>
        </is>
      </c>
      <c r="E4" s="23" t="n">
        <v>849</v>
      </c>
    </row>
    <row r="5">
      <c r="A5" s="22" t="inlineStr">
        <is>
          <t>Водоспад</t>
        </is>
      </c>
      <c r="B5" s="22" t="inlineStr">
        <is>
          <t>0.600.8B2.100</t>
        </is>
      </c>
      <c r="C5" s="22" t="inlineStr">
        <is>
          <t>41370</t>
        </is>
      </c>
      <c r="D5" s="22" t="inlineStr">
        <is>
          <t>Секатор Bosch EasyPrune акумуляторний (0.600.8B2.100) Німеччина</t>
        </is>
      </c>
      <c r="E5" s="23" t="n">
        <v>4245</v>
      </c>
    </row>
    <row r="6">
      <c r="A6" s="22" t="inlineStr">
        <is>
          <t>Клуб Рослин</t>
        </is>
      </c>
      <c r="B6" s="22" t="inlineStr">
        <is>
          <t>7249</t>
        </is>
      </c>
      <c r="C6" s="22" t="inlineStr">
        <is>
          <t>15530</t>
        </is>
      </c>
      <c r="D6" s="22" t="inlineStr">
        <is>
          <t>Добриво Преміум Фоліар Premium Foliar 19-19-19+ТЕ 15 кг AgroWork Туреччина</t>
        </is>
      </c>
      <c r="E6" s="23" t="n">
        <v>2250</v>
      </c>
    </row>
    <row r="7">
      <c r="A7" s="22" t="inlineStr">
        <is>
          <t>Клуб Рослин</t>
        </is>
      </c>
      <c r="B7" s="22" t="inlineStr">
        <is>
          <t>120500200101</t>
        </is>
      </c>
      <c r="C7" s="22" t="inlineStr">
        <is>
          <t>10596</t>
        </is>
      </c>
      <c r="D7" s="22" t="inlineStr">
        <is>
          <t>Маркер перманентний Baumschulen чорний 2 мм (120500200101) Німеччина</t>
        </is>
      </c>
      <c r="E7" s="23" t="n">
        <v>145</v>
      </c>
    </row>
    <row r="8">
      <c r="A8" s="22" t="inlineStr">
        <is>
          <t>Водоспад</t>
        </is>
      </c>
      <c r="B8" s="22" t="inlineStr">
        <is>
          <t>P57-25-F</t>
        </is>
      </c>
      <c r="C8" s="22" t="inlineStr">
        <is>
          <t>42609</t>
        </is>
      </c>
      <c r="D8" s="22" t="inlineStr">
        <is>
          <t>Кущоріз Bahco P57-25-F Бахо</t>
        </is>
      </c>
      <c r="E8" s="23" t="n">
        <v>2160</v>
      </c>
    </row>
    <row r="9">
      <c r="A9" s="22" t="inlineStr">
        <is>
          <t>Водоспад</t>
        </is>
      </c>
      <c r="B9" s="22" t="inlineStr">
        <is>
          <t>PX-M3-R500P</t>
        </is>
      </c>
      <c r="C9" s="22" t="inlineStr">
        <is>
          <t>37459</t>
        </is>
      </c>
      <c r="D9" s="22" t="inlineStr">
        <is>
          <t>Секатор Bahco PX-M3 для обрізки саду</t>
        </is>
      </c>
      <c r="E9" s="23" t="n">
        <v>2500</v>
      </c>
    </row>
    <row r="10">
      <c r="A10" s="22" t="inlineStr">
        <is>
          <t>Клуб Рослин</t>
        </is>
      </c>
      <c r="B10" s="22" t="inlineStr">
        <is>
          <t>PX-M3-R500P</t>
        </is>
      </c>
      <c r="C10" s="22" t="inlineStr">
        <is>
          <t>11858</t>
        </is>
      </c>
      <c r="D10" s="22" t="inlineStr">
        <is>
          <t>Секатор Bahco PX-M3 для обрізки саду</t>
        </is>
      </c>
      <c r="E10" s="23" t="n">
        <v>2500</v>
      </c>
    </row>
    <row r="11">
      <c r="A11" s="22" t="inlineStr">
        <is>
          <t>Водоспад</t>
        </is>
      </c>
      <c r="B11" s="22" t="inlineStr">
        <is>
          <t>11827</t>
        </is>
      </c>
      <c r="C11" s="22" t="inlineStr">
        <is>
          <t>41088</t>
        </is>
      </c>
      <c r="D11" s="22" t="inlineStr">
        <is>
          <t>Ніж Morakniv Companion MG Olive (11827) Mora Швеція</t>
        </is>
      </c>
      <c r="E11" s="23" t="n">
        <v>699</v>
      </c>
    </row>
    <row r="12">
      <c r="A12" s="22" t="inlineStr">
        <is>
          <t>Водоспад</t>
        </is>
      </c>
      <c r="B12" s="22" t="inlineStr">
        <is>
          <t>Rain1</t>
        </is>
      </c>
      <c r="C12" s="22" t="inlineStr">
        <is>
          <t>40534</t>
        </is>
      </c>
      <c r="D12" s="22" t="inlineStr">
        <is>
          <t>Опадомір (дощомір) пластиковий 0-50 mm L/m2 (Rain1) Corteva</t>
        </is>
      </c>
      <c r="E12" s="23" t="n">
        <v>198</v>
      </c>
    </row>
    <row r="13">
      <c r="A13" s="22" t="inlineStr">
        <is>
          <t>Водоспад</t>
        </is>
      </c>
      <c r="B13" s="22" t="inlineStr">
        <is>
          <t>BCL20IB</t>
        </is>
      </c>
      <c r="C13" s="22" t="inlineStr">
        <is>
          <t>39101</t>
        </is>
      </c>
      <c r="D13" s="22" t="inlineStr">
        <is>
          <t>Секатор акумуляторний Bahco BCL20IB Бахо</t>
        </is>
      </c>
      <c r="E13" s="23" t="n">
        <v>15525</v>
      </c>
    </row>
    <row r="14">
      <c r="A14" s="22" t="inlineStr">
        <is>
          <t>Водоспад</t>
        </is>
      </c>
      <c r="B14" s="22" t="inlineStr">
        <is>
          <t>UV-32Е</t>
        </is>
      </c>
      <c r="C14" s="22" t="inlineStr">
        <is>
          <t>37716</t>
        </is>
      </c>
      <c r="D14" s="22" t="inlineStr">
        <is>
          <t>Пила АРС / ARS (UV-32E) серповидна з кобурою Японія</t>
        </is>
      </c>
      <c r="E14" s="23" t="n">
        <v>1549</v>
      </c>
    </row>
    <row r="15">
      <c r="A15" s="22" t="inlineStr">
        <is>
          <t>Клуб Рослин</t>
        </is>
      </c>
      <c r="B15" s="22" t="inlineStr">
        <is>
          <t>120500100606</t>
        </is>
      </c>
      <c r="C15" s="22" t="inlineStr">
        <is>
          <t>9546</t>
        </is>
      </c>
      <c r="D15" s="22" t="inlineStr">
        <is>
          <t>Етикетки на дроті білі ПВХ 2.0 х 10 см 250 шт Німеччина</t>
        </is>
      </c>
      <c r="E15" s="23" t="n">
        <v>479</v>
      </c>
    </row>
    <row r="16">
      <c r="A16" s="22" t="inlineStr">
        <is>
          <t>Клуб Рослин</t>
        </is>
      </c>
      <c r="B16" s="22" t="inlineStr">
        <is>
          <t>120500100703</t>
        </is>
      </c>
      <c r="C16" s="22" t="inlineStr">
        <is>
          <t>9565</t>
        </is>
      </c>
      <c r="D16" s="22" t="inlineStr">
        <is>
          <t>Етикетки-кілочки для рослин PET-R білі 1.6 х 10 см 500 шт</t>
        </is>
      </c>
      <c r="E16" s="23" t="n">
        <v>670</v>
      </c>
    </row>
    <row r="17">
      <c r="A17" s="22" t="inlineStr">
        <is>
          <t>Водоспад</t>
        </is>
      </c>
      <c r="B17" s="22" t="inlineStr">
        <is>
          <t>KST 231</t>
        </is>
      </c>
      <c r="C17" s="22" t="inlineStr">
        <is>
          <t>33336</t>
        </is>
      </c>
      <c r="D17" s="22" t="inlineStr">
        <is>
          <t>Садові ножиці для живоплоту Окатсуне / Okatsune (KST 231) Японія</t>
        </is>
      </c>
      <c r="E17" s="23" t="n">
        <v>4985</v>
      </c>
    </row>
    <row r="18">
      <c r="A18" s="22" t="inlineStr">
        <is>
          <t>Клуб Рослин</t>
        </is>
      </c>
      <c r="B18" s="22" t="inlineStr">
        <is>
          <t>KST 231</t>
        </is>
      </c>
      <c r="C18" s="22" t="inlineStr">
        <is>
          <t>11768</t>
        </is>
      </c>
      <c r="D18" s="22" t="inlineStr">
        <is>
          <t>Садові ножиці для живоплоту Окатсуне / Okatsune (KST 231) Японія</t>
        </is>
      </c>
      <c r="E18" s="23" t="n">
        <v>4985</v>
      </c>
    </row>
    <row r="19">
      <c r="A19" s="22" t="inlineStr">
        <is>
          <t>Клуб Рослин</t>
        </is>
      </c>
      <c r="B19" s="22" t="inlineStr">
        <is>
          <t>120500200110</t>
        </is>
      </c>
      <c r="C19" s="22" t="inlineStr">
        <is>
          <t>10599</t>
        </is>
      </c>
      <c r="D19" s="22" t="inlineStr">
        <is>
          <t>Маркер перманентний Edding 400 чорний 1.0 мм Німеччина</t>
        </is>
      </c>
      <c r="E19" s="23" t="n">
        <v>165</v>
      </c>
    </row>
    <row r="20">
      <c r="A20" s="22" t="inlineStr">
        <is>
          <t>Клуб Рослин</t>
        </is>
      </c>
      <c r="B20" s="22" t="inlineStr">
        <is>
          <t>120500200103</t>
        </is>
      </c>
      <c r="C20" s="22" t="inlineStr">
        <is>
          <t>10601</t>
        </is>
      </c>
      <c r="D20" s="22" t="inlineStr">
        <is>
          <t>Маркер перманентний Pancolor Lumocolor 303F червоний 0.6 мм Staedtler Німеччина</t>
        </is>
      </c>
      <c r="E20" s="23" t="n">
        <v>186</v>
      </c>
    </row>
    <row r="21">
      <c r="A21" s="22" t="inlineStr">
        <is>
          <t>Клуб Рослин</t>
        </is>
      </c>
      <c r="B21" s="22" t="inlineStr">
        <is>
          <t>120500200104</t>
        </is>
      </c>
      <c r="C21" s="22" t="inlineStr">
        <is>
          <t>10602</t>
        </is>
      </c>
      <c r="D21" s="22" t="inlineStr">
        <is>
          <t>Маркер перманентний Pancolor Lumocolor 303M чорний 1.0 мм (120500200104) Staedtler Німеччина</t>
        </is>
      </c>
      <c r="E21" s="23" t="n">
        <v>186</v>
      </c>
    </row>
    <row r="22">
      <c r="A22" s="22" t="inlineStr">
        <is>
          <t>Клуб Рослин</t>
        </is>
      </c>
      <c r="B22" s="22" t="inlineStr">
        <is>
          <t>P127-19</t>
        </is>
      </c>
      <c r="C22" s="22" t="inlineStr">
        <is>
          <t>11036</t>
        </is>
      </c>
      <c r="D22" s="22" t="inlineStr">
        <is>
          <t>Ножиці для збору врожаю P127-19 Bahco</t>
        </is>
      </c>
      <c r="E22" s="23" t="n">
        <v>504</v>
      </c>
    </row>
    <row r="23">
      <c r="A23" s="22" t="inlineStr">
        <is>
          <t>Водоспад</t>
        </is>
      </c>
      <c r="B23" s="22" t="inlineStr">
        <is>
          <t>5386</t>
        </is>
      </c>
      <c r="C23" s="22" t="inlineStr">
        <is>
          <t>37067</t>
        </is>
      </c>
      <c r="D23" s="22" t="inlineStr">
        <is>
          <t>Садові ножиці для кущів Окатсуне / Okatsune (KST 216)</t>
        </is>
      </c>
      <c r="E23" s="23" t="n">
        <v>4190</v>
      </c>
    </row>
    <row r="24">
      <c r="A24" s="22" t="inlineStr">
        <is>
          <t>Клуб Рослин</t>
        </is>
      </c>
      <c r="B24" s="22" t="inlineStr">
        <is>
          <t>5386</t>
        </is>
      </c>
      <c r="C24" s="22" t="inlineStr">
        <is>
          <t>11765</t>
        </is>
      </c>
      <c r="D24" s="22" t="inlineStr">
        <is>
          <t>Садові ножиці для кущів Окатсуне / Okatsune (KST 216)</t>
        </is>
      </c>
      <c r="E24" s="23" t="n">
        <v>4190</v>
      </c>
    </row>
    <row r="25">
      <c r="A25" s="22" t="inlineStr">
        <is>
          <t>Водоспад</t>
        </is>
      </c>
      <c r="B25" s="22" t="inlineStr">
        <is>
          <t>KST 216</t>
        </is>
      </c>
      <c r="C25" s="22" t="inlineStr">
        <is>
          <t>37067</t>
        </is>
      </c>
      <c r="D25" s="22" t="inlineStr">
        <is>
          <t>Садові ножиці для кущів Окатсуне / Okatsune (KST216) Японія</t>
        </is>
      </c>
      <c r="E25" s="23" t="n">
        <v>4190</v>
      </c>
    </row>
    <row r="26">
      <c r="A26" s="22" t="inlineStr">
        <is>
          <t>Клуб Рослин</t>
        </is>
      </c>
      <c r="B26" s="22" t="inlineStr">
        <is>
          <t>KST 216</t>
        </is>
      </c>
      <c r="C26" s="22" t="inlineStr">
        <is>
          <t>11765</t>
        </is>
      </c>
      <c r="D26" s="22" t="inlineStr">
        <is>
          <t>Садові ножиці для кущів Окатсуне / Okatsune (KST216) Японія</t>
        </is>
      </c>
      <c r="E26" s="23" t="n">
        <v>4190</v>
      </c>
    </row>
    <row r="27">
      <c r="A27" s="22" t="inlineStr">
        <is>
          <t>Водоспад</t>
        </is>
      </c>
      <c r="B27" s="22" t="inlineStr">
        <is>
          <t>2C 380/20</t>
        </is>
      </c>
      <c r="C27" s="22" t="inlineStr">
        <is>
          <t>40745</t>
        </is>
      </c>
      <c r="D27" s="22" t="inlineStr">
        <is>
          <t>Секатор Due Cigni 200 мм (2C 380/20) Італія</t>
        </is>
      </c>
      <c r="E27" s="23" t="n">
        <v>1990</v>
      </c>
    </row>
    <row r="28">
      <c r="A28" s="22" t="inlineStr">
        <is>
          <t>Водоспад</t>
        </is>
      </c>
      <c r="B28" s="22" t="inlineStr">
        <is>
          <t>R260A</t>
        </is>
      </c>
      <c r="C28" s="22" t="inlineStr">
        <is>
          <t>36425</t>
        </is>
      </c>
      <c r="D28" s="22" t="inlineStr">
        <is>
          <t>Запасне опорне лезо для сучкоріза Bahco P-160 R260A</t>
        </is>
      </c>
      <c r="E28" s="23" t="n">
        <v>1037</v>
      </c>
    </row>
    <row r="29">
      <c r="A29" s="22" t="inlineStr">
        <is>
          <t>Клуб Рослин</t>
        </is>
      </c>
      <c r="B29" s="22" t="inlineStr">
        <is>
          <t>R260A</t>
        </is>
      </c>
      <c r="C29" s="22" t="inlineStr">
        <is>
          <t>10270</t>
        </is>
      </c>
      <c r="D29" s="22" t="inlineStr">
        <is>
          <t>Запасне опорне лезо для сучкоріза Bahco P-160 R260A</t>
        </is>
      </c>
      <c r="E29" s="23" t="n">
        <v>1037</v>
      </c>
    </row>
    <row r="30">
      <c r="A30" s="22" t="inlineStr">
        <is>
          <t>Водоспад</t>
        </is>
      </c>
      <c r="B30" s="22" t="inlineStr">
        <is>
          <t>23FCSPE12</t>
        </is>
      </c>
      <c r="C30" s="22" t="inlineStr">
        <is>
          <t>40553</t>
        </is>
      </c>
      <c r="D30" s="22" t="inlineStr">
        <is>
          <t>Підв`язка для рослин 12 см Х 1000 шт гнучкий сталевий дріт у паперовій оболонці (23FCSPE12) Італія</t>
        </is>
      </c>
      <c r="E30" s="23" t="n">
        <v>100</v>
      </c>
    </row>
    <row r="31">
      <c r="A31" s="22" t="inlineStr">
        <is>
          <t>Водоспад</t>
        </is>
      </c>
      <c r="B31" s="22" t="inlineStr">
        <is>
          <t>KST404</t>
        </is>
      </c>
      <c r="C31" s="22" t="inlineStr">
        <is>
          <t>42364</t>
        </is>
      </c>
      <c r="D31" s="22" t="inlineStr">
        <is>
          <t>Серп садовий Окатсуне / Okatsune (KST 404) Японія</t>
        </is>
      </c>
      <c r="E31" s="23" t="n">
        <v>1190</v>
      </c>
    </row>
    <row r="32">
      <c r="A32" s="22" t="inlineStr">
        <is>
          <t>Клуб Рослин</t>
        </is>
      </c>
      <c r="B32" s="22" t="inlineStr">
        <is>
          <t>KST404</t>
        </is>
      </c>
      <c r="C32" s="22" t="inlineStr">
        <is>
          <t>16236</t>
        </is>
      </c>
      <c r="D32" s="22" t="inlineStr">
        <is>
          <t>Серп садовий Окатсуне / Okatsune (KST 404) Японія</t>
        </is>
      </c>
      <c r="E32" s="23" t="n">
        <v>1190</v>
      </c>
    </row>
    <row r="33">
      <c r="A33" s="22" t="inlineStr">
        <is>
          <t>Водоспад</t>
        </is>
      </c>
      <c r="B33" s="22" t="inlineStr">
        <is>
          <t>23FIPEGRVS3</t>
        </is>
      </c>
      <c r="C33" s="22" t="inlineStr">
        <is>
          <t>40549</t>
        </is>
      </c>
      <c r="D33" s="22" t="inlineStr">
        <is>
          <t>Агротрубка (кембрик) для підв`язки рослин 3 мм 1 кг 230 м Super extra cordioli (23FIPEGRVS3) Італія</t>
        </is>
      </c>
      <c r="E33" s="23" t="n">
        <v>330</v>
      </c>
    </row>
    <row r="34">
      <c r="A34" s="22" t="inlineStr">
        <is>
          <t>Водоспад</t>
        </is>
      </c>
      <c r="B34" s="22" t="inlineStr">
        <is>
          <t>Lopata_M</t>
        </is>
      </c>
      <c r="C34" s="22" t="inlineStr">
        <is>
          <t>41509</t>
        </is>
      </c>
      <c r="D34" s="22" t="inlineStr">
        <is>
          <t>Лопата саперна Нівакі / Niwaki 820x160x28 мм 0.98 кг (Lopata_M) Японія</t>
        </is>
      </c>
      <c r="E34" s="23" t="n">
        <v>4399</v>
      </c>
    </row>
    <row r="35">
      <c r="A35" s="22" t="inlineStr">
        <is>
          <t>Водоспад</t>
        </is>
      </c>
      <c r="B35" s="22" t="inlineStr">
        <is>
          <t>KST108</t>
        </is>
      </c>
      <c r="C35" s="22" t="inlineStr">
        <is>
          <t>33897</t>
        </is>
      </c>
      <c r="D35" s="22" t="inlineStr">
        <is>
          <t>Чохол шкіряний Окатсуне / Okatsune (KST108) Японія</t>
        </is>
      </c>
      <c r="E35" s="23" t="n">
        <v>950</v>
      </c>
    </row>
    <row r="36">
      <c r="A36" s="22" t="inlineStr">
        <is>
          <t>Клуб Рослин</t>
        </is>
      </c>
      <c r="B36" s="22" t="inlineStr">
        <is>
          <t>KST108</t>
        </is>
      </c>
      <c r="C36" s="22" t="inlineStr">
        <is>
          <t>16233</t>
        </is>
      </c>
      <c r="D36" s="22" t="inlineStr">
        <is>
          <t>Чохол шкіряний Окатсуне / Okatsune (KST108) Японія</t>
        </is>
      </c>
      <c r="E36" s="23" t="n">
        <v>950</v>
      </c>
    </row>
    <row r="37">
      <c r="A37" s="22" t="inlineStr">
        <is>
          <t>Клуб Рослин</t>
        </is>
      </c>
      <c r="B37" s="22" t="inlineStr">
        <is>
          <t>6b06622a-abbb-11ee-bf43-c87f546feb15</t>
        </is>
      </c>
      <c r="C37" s="22" t="inlineStr">
        <is>
          <t>10512</t>
        </is>
      </c>
      <c r="D37" s="22" t="inlineStr">
        <is>
          <t>Лопата штикова Bellota 3103 MFVA.B Іспанія</t>
        </is>
      </c>
      <c r="E37" s="23" t="n">
        <v>1259</v>
      </c>
    </row>
    <row r="38">
      <c r="A38" s="22" t="inlineStr">
        <is>
          <t>Клуб Рослин</t>
        </is>
      </c>
      <c r="B38" s="22" t="inlineStr">
        <is>
          <t>7d31f229-bf5c-11ee-bf58-c87f546feb15</t>
        </is>
      </c>
      <c r="C38" s="22" t="inlineStr">
        <is>
          <t>10316</t>
        </is>
      </c>
      <c r="D38" s="22" t="inlineStr">
        <is>
          <t>Коса 660 мм Bellota 2509-26.B Іспанія</t>
        </is>
      </c>
      <c r="E38" s="23" t="n">
        <v>4499</v>
      </c>
    </row>
    <row r="39">
      <c r="A39" s="22" t="inlineStr">
        <is>
          <t>Водоспад</t>
        </is>
      </c>
      <c r="B39" s="22" t="inlineStr">
        <is>
          <t>R185V</t>
        </is>
      </c>
      <c r="C39" s="22" t="inlineStr">
        <is>
          <t>42982</t>
        </is>
      </c>
      <c r="D39" s="22" t="inlineStr">
        <is>
          <t>Запасне лезо для гілкоріза Bahco P280 (R185V)</t>
        </is>
      </c>
      <c r="E39" s="23" t="n">
        <v>1148</v>
      </c>
    </row>
    <row r="40">
      <c r="A40" s="22" t="inlineStr">
        <is>
          <t>Водоспад</t>
        </is>
      </c>
      <c r="B40" s="22" t="inlineStr">
        <is>
          <t>446-24</t>
        </is>
      </c>
      <c r="C40" s="22" t="inlineStr">
        <is>
          <t>32906</t>
        </is>
      </c>
      <c r="D40" s="22" t="inlineStr">
        <is>
          <t>Садова пила складна Silky Ultra Accel Curve 240-7.5 (446-24) Японія</t>
        </is>
      </c>
      <c r="E40" s="23" t="n">
        <v>2900</v>
      </c>
    </row>
    <row r="41">
      <c r="A41" s="22" t="inlineStr">
        <is>
          <t>Водоспад</t>
        </is>
      </c>
      <c r="B41" s="22" t="inlineStr">
        <is>
          <t>23FIPEGRVS2</t>
        </is>
      </c>
      <c r="C41" s="22" t="inlineStr">
        <is>
          <t>40551</t>
        </is>
      </c>
      <c r="D41" s="22" t="inlineStr">
        <is>
          <t>Агротрубка (кембрик) для підв`язки рослин 2 мм 1кг 320 м Super extra cordioli (23FIPEGRVS2) Італія</t>
        </is>
      </c>
      <c r="E41" s="23" t="n">
        <v>340</v>
      </c>
    </row>
    <row r="42">
      <c r="A42" s="22" t="inlineStr">
        <is>
          <t>Водоспад</t>
        </is>
      </c>
      <c r="B42" s="22" t="inlineStr">
        <is>
          <t>23FIPEGRVS6</t>
        </is>
      </c>
      <c r="C42" s="22" t="inlineStr">
        <is>
          <t>40546</t>
        </is>
      </c>
      <c r="D42" s="22" t="inlineStr">
        <is>
          <t>Агротрубка (кембрик) для підв`язки рослин 6 мм 1 кг 98 м Super extra cordioli (23FIPEGRVS6) Італія</t>
        </is>
      </c>
      <c r="E42" s="23" t="n">
        <v>350</v>
      </c>
    </row>
    <row r="43">
      <c r="A43" s="22" t="inlineStr">
        <is>
          <t>Водоспад</t>
        </is>
      </c>
      <c r="B43" s="22" t="inlineStr">
        <is>
          <t>LAP-KNIFE</t>
        </is>
      </c>
      <c r="C43" s="22" t="inlineStr">
        <is>
          <t>42195</t>
        </is>
      </c>
      <c r="D43" s="22" t="inlineStr">
        <is>
          <t>Набір Bahco laplander 396 пилка + Knife 2446 ніж (LAP-KNIFE)</t>
        </is>
      </c>
      <c r="E43" s="23" t="n">
        <v>1390</v>
      </c>
    </row>
    <row r="44">
      <c r="A44" s="22" t="inlineStr">
        <is>
          <t>Клуб Рослин</t>
        </is>
      </c>
      <c r="B44" s="22" t="inlineStr">
        <is>
          <t>121000332326</t>
        </is>
      </c>
      <c r="C44" s="22" t="inlineStr">
        <is>
          <t>16438</t>
        </is>
      </c>
      <c r="D44" s="22" t="inlineStr">
        <is>
          <t>Масло камелии антикоррозионное Kurobara Tsubak 100 млi Hanakumagawa Япония</t>
        </is>
      </c>
      <c r="E44" s="23" t="n">
        <v>445</v>
      </c>
    </row>
    <row r="45">
      <c r="A45" s="22" t="inlineStr">
        <is>
          <t>Водоспад</t>
        </is>
      </c>
      <c r="B45" s="22" t="inlineStr">
        <is>
          <t>P34-27A-F</t>
        </is>
      </c>
      <c r="C45" s="22" t="inlineStr">
        <is>
          <t>32551</t>
        </is>
      </c>
      <c r="D45" s="22" t="inlineStr">
        <is>
          <t>Висоторіз Bahco P34-27A-F</t>
        </is>
      </c>
      <c r="E45" s="23" t="n">
        <v>2148</v>
      </c>
    </row>
    <row r="46">
      <c r="A46" s="22" t="inlineStr">
        <is>
          <t>Клуб Рослин</t>
        </is>
      </c>
      <c r="B46" s="22" t="inlineStr">
        <is>
          <t>P34-27A-F</t>
        </is>
      </c>
      <c r="C46" s="22" t="inlineStr">
        <is>
          <t>12035</t>
        </is>
      </c>
      <c r="D46" s="22" t="inlineStr">
        <is>
          <t>Висоторіз Bahco P34-27A-F</t>
        </is>
      </c>
      <c r="E46" s="23" t="n">
        <v>2148</v>
      </c>
    </row>
    <row r="47">
      <c r="A47" s="22" t="inlineStr">
        <is>
          <t>Водоспад</t>
        </is>
      </c>
      <c r="B47" s="22" t="inlineStr">
        <is>
          <t>5170007N</t>
        </is>
      </c>
      <c r="C47" s="22" t="inlineStr">
        <is>
          <t>40796</t>
        </is>
      </c>
      <c r="D47" s="22" t="inlineStr">
        <is>
          <t>Віск для щеплення червоний гранульований з фунгіцидами Plastigreffe 6535 - 500 г (5170007N) AgriChem Італія</t>
        </is>
      </c>
      <c r="E47" s="23" t="n">
        <v>320</v>
      </c>
    </row>
    <row r="48">
      <c r="A48" s="22" t="inlineStr">
        <is>
          <t>Водоспад</t>
        </is>
      </c>
      <c r="B48" s="22" t="inlineStr">
        <is>
          <t>P160-SL-75</t>
        </is>
      </c>
      <c r="C48" s="22" t="inlineStr">
        <is>
          <t>33647</t>
        </is>
      </c>
      <c r="D48" s="22" t="inlineStr">
        <is>
          <t>Гілкоріз Bahco P160-SL-75</t>
        </is>
      </c>
      <c r="E48" s="23" t="n">
        <v>3990</v>
      </c>
    </row>
    <row r="49">
      <c r="A49" s="22" t="inlineStr">
        <is>
          <t>Клуб Рослин</t>
        </is>
      </c>
      <c r="B49" s="22" t="inlineStr">
        <is>
          <t>P160-SL-75</t>
        </is>
      </c>
      <c r="C49" s="22" t="inlineStr">
        <is>
          <t>12484</t>
        </is>
      </c>
      <c r="D49" s="22" t="inlineStr">
        <is>
          <t>Гілкоріз Bahco P160-SL-75</t>
        </is>
      </c>
      <c r="E49" s="23" t="n">
        <v>3990</v>
      </c>
    </row>
    <row r="50">
      <c r="A50" s="22" t="inlineStr">
        <is>
          <t>Водоспад</t>
        </is>
      </c>
      <c r="B50" s="22" t="inlineStr">
        <is>
          <t>23FIPEGRVS4</t>
        </is>
      </c>
      <c r="C50" s="22" t="inlineStr">
        <is>
          <t>40544</t>
        </is>
      </c>
      <c r="D50" s="22" t="inlineStr">
        <is>
          <t>Агротрубка (кембрик) для підв`язки рослин 4 мм 1 кг 160 м Super extra Cordioli (23FIPEGRVS4) Італія</t>
        </is>
      </c>
      <c r="E50" s="23" t="n">
        <v>340</v>
      </c>
    </row>
    <row r="51">
      <c r="A51" s="22" t="inlineStr">
        <is>
          <t>Водоспад</t>
        </is>
      </c>
      <c r="B51" s="22" t="inlineStr">
        <is>
          <t>23FIPEGRVS5</t>
        </is>
      </c>
      <c r="C51" s="22" t="inlineStr">
        <is>
          <t>40867</t>
        </is>
      </c>
      <c r="D51" s="22" t="inlineStr">
        <is>
          <t>Агротрубка (кембрик) для підв`язки рослин 5 мм 1 кг 120 м Super extra cordioli (23FIPEGRVS5) Італія</t>
        </is>
      </c>
      <c r="E51" s="23" t="n">
        <v>340</v>
      </c>
    </row>
    <row r="52">
      <c r="A52" s="22" t="inlineStr">
        <is>
          <t>Водоспад</t>
        </is>
      </c>
      <c r="B52" s="22" t="inlineStr">
        <is>
          <t>R144PV</t>
        </is>
      </c>
      <c r="C52" s="22" t="inlineStr">
        <is>
          <t>33663</t>
        </is>
      </c>
      <c r="D52" s="22" t="inlineStr">
        <is>
          <t>Центральний болт і гайка до сучкоріза Bahco P-160 R144PV</t>
        </is>
      </c>
      <c r="E52" s="23" t="n">
        <v>345</v>
      </c>
    </row>
    <row r="53">
      <c r="A53" s="22" t="inlineStr">
        <is>
          <t>Водоспад</t>
        </is>
      </c>
      <c r="B53" s="22" t="inlineStr">
        <is>
          <t>5070007N</t>
        </is>
      </c>
      <c r="C53" s="22" t="inlineStr">
        <is>
          <t>41074</t>
        </is>
      </c>
      <c r="D53" s="22" t="inlineStr">
        <is>
          <t>Віск для щеплення троянд Plastifina 5470 - 900 г (5070007N) AgriChem Італія</t>
        </is>
      </c>
      <c r="E53" s="23" t="n">
        <v>295</v>
      </c>
    </row>
    <row r="54">
      <c r="A54" s="22" t="inlineStr">
        <is>
          <t>Водоспад</t>
        </is>
      </c>
      <c r="B54" s="22" t="inlineStr">
        <is>
          <t>97004.A</t>
        </is>
      </c>
      <c r="C54" s="22" t="inlineStr">
        <is>
          <t>42274</t>
        </is>
      </c>
      <c r="D54" s="22" t="inlineStr">
        <is>
          <t>Чохол шкіряний для секатора професійний Алтуна / Altuna (97004.A) Іспанія</t>
        </is>
      </c>
      <c r="E54" s="23" t="n">
        <v>859</v>
      </c>
    </row>
    <row r="55">
      <c r="A55" s="22" t="inlineStr">
        <is>
          <t>Клуб Рослин</t>
        </is>
      </c>
      <c r="B55" s="22" t="inlineStr">
        <is>
          <t>7245</t>
        </is>
      </c>
      <c r="C55" s="22" t="inlineStr">
        <is>
          <t>9229</t>
        </is>
      </c>
      <c r="D55" s="22" t="inlineStr">
        <is>
          <t>Добриво Терафлекс Terraflex (17-17-17+TE) 25 кг SmartGrow Бельгія</t>
        </is>
      </c>
      <c r="E55" s="23" t="n">
        <v>3850</v>
      </c>
    </row>
    <row r="56">
      <c r="A56" s="22" t="inlineStr">
        <is>
          <t>Водоспад</t>
        </is>
      </c>
      <c r="B56" s="22" t="inlineStr">
        <is>
          <t>NJP811</t>
        </is>
      </c>
      <c r="C56" s="22" t="inlineStr">
        <is>
          <t>40174</t>
        </is>
      </c>
      <c r="D56" s="22" t="inlineStr">
        <is>
          <t>Ніж Rikugatana S нержавіюча сталь DSR1K6 DAIDO Нісаку / Nisaku (NJP811) Японія</t>
        </is>
      </c>
      <c r="E56" s="23" t="n">
        <v>2475</v>
      </c>
    </row>
    <row r="57">
      <c r="A57" s="22" t="inlineStr">
        <is>
          <t>Водоспад</t>
        </is>
      </c>
      <c r="B57" s="22" t="inlineStr">
        <is>
          <t>1001580</t>
        </is>
      </c>
      <c r="C57" s="22" t="inlineStr">
        <is>
          <t>32960</t>
        </is>
      </c>
      <c r="D57" s="22" t="inlineStr">
        <is>
          <t>Лопата совкова Fiskars ErgoComfort 132911 (1001580) Фінляндія</t>
        </is>
      </c>
      <c r="E57" s="23" t="n">
        <v>1095</v>
      </c>
    </row>
    <row r="58">
      <c r="A58" s="22" t="inlineStr">
        <is>
          <t>Водоспад</t>
        </is>
      </c>
      <c r="B58" s="22" t="inlineStr">
        <is>
          <t>202P-SP-OT-CH</t>
        </is>
      </c>
      <c r="C58" s="22" t="inlineStr">
        <is>
          <t>36457</t>
        </is>
      </c>
      <c r="D58" s="22" t="inlineStr">
        <is>
          <t>Щеплювальний ніж з відділювачем кори Due Buoi 202P-SP-OT-CH Італія</t>
        </is>
      </c>
      <c r="E58" s="23" t="n">
        <v>2240</v>
      </c>
    </row>
    <row r="59">
      <c r="A59" s="22" t="inlineStr">
        <is>
          <t>Водоспад</t>
        </is>
      </c>
      <c r="B59" s="22" t="inlineStr">
        <is>
          <t>2720006N</t>
        </is>
      </c>
      <c r="C59" s="22" t="inlineStr">
        <is>
          <t>41073</t>
        </is>
      </c>
      <c r="D59" s="22" t="inlineStr">
        <is>
          <t>Паста Арборпласт / Arborplast 5 кг для гарячого щеплення AgriChem Італія</t>
        </is>
      </c>
      <c r="E59" s="23" t="n">
        <v>1295</v>
      </c>
    </row>
    <row r="60">
      <c r="A60" s="22" t="inlineStr">
        <is>
          <t>Клуб Рослин</t>
        </is>
      </c>
      <c r="B60" s="22" t="inlineStr">
        <is>
          <t>120EU</t>
        </is>
      </c>
      <c r="C60" s="22" t="inlineStr">
        <is>
          <t>11790</t>
        </is>
      </c>
      <c r="D60" s="22" t="inlineStr">
        <is>
          <t>Секатор АРС / ARS (120EU) садовий обвідний Японія</t>
        </is>
      </c>
      <c r="E60" s="23" t="n">
        <v>1176</v>
      </c>
    </row>
    <row r="61">
      <c r="A61" s="22" t="inlineStr">
        <is>
          <t>Водоспад</t>
        </is>
      </c>
      <c r="B61" s="22" t="inlineStr">
        <is>
          <t>1001567</t>
        </is>
      </c>
      <c r="C61" s="22" t="inlineStr">
        <is>
          <t>32188</t>
        </is>
      </c>
      <c r="D61" s="22" t="inlineStr">
        <is>
          <t>Лопата штикова з телескопічною ручкою Fiskars Фіскарс SmartFit (1001567) Фінляндія</t>
        </is>
      </c>
      <c r="E61" s="23" t="n">
        <v>2195</v>
      </c>
    </row>
    <row r="62">
      <c r="A62" s="22" t="inlineStr">
        <is>
          <t>Водоспад</t>
        </is>
      </c>
      <c r="B62" s="22" t="inlineStr">
        <is>
          <t>160ZF-3.0-5</t>
        </is>
      </c>
      <c r="C62" s="22" t="inlineStr">
        <is>
          <t>41931</t>
        </is>
      </c>
      <c r="D62" s="22" t="inlineStr">
        <is>
          <t>Секатор АРС / ARS (160ZF-3.0-5) телескопічний на штанзі 1.8–3 м Японія</t>
        </is>
      </c>
      <c r="E62" s="23" t="n">
        <v>5145</v>
      </c>
    </row>
    <row r="63">
      <c r="A63" s="22" t="inlineStr">
        <is>
          <t>Клуб Рослин</t>
        </is>
      </c>
      <c r="B63" s="22" t="inlineStr">
        <is>
          <t>160ZF-3.0-5</t>
        </is>
      </c>
      <c r="C63" s="22" t="inlineStr">
        <is>
          <t>15002</t>
        </is>
      </c>
      <c r="D63" s="22" t="inlineStr">
        <is>
          <t>Секатор АРС / ARS (160ZF-3.0-5) телескопічний на штанзі 1.8–3 м Японія</t>
        </is>
      </c>
      <c r="E63" s="23" t="n">
        <v>5145</v>
      </c>
    </row>
    <row r="64">
      <c r="A64" s="22" t="inlineStr">
        <is>
          <t>Водоспад</t>
        </is>
      </c>
      <c r="B64" s="22" t="inlineStr">
        <is>
          <t>160ZF-2.0-3</t>
        </is>
      </c>
      <c r="C64" s="22" t="inlineStr">
        <is>
          <t>41930</t>
        </is>
      </c>
      <c r="D64" s="22" t="inlineStr">
        <is>
          <t>Секатор АРС / ARS (160ZF-2.0-3) телескопічний на штанзі 1.2–2 м Японія</t>
        </is>
      </c>
      <c r="E64" s="23" t="n">
        <v>4870</v>
      </c>
    </row>
    <row r="65">
      <c r="A65" s="22" t="inlineStr">
        <is>
          <t>Клуб Рослин</t>
        </is>
      </c>
      <c r="B65" s="22" t="inlineStr">
        <is>
          <t>160ZF-2.0-3</t>
        </is>
      </c>
      <c r="C65" s="22" t="inlineStr">
        <is>
          <t>15001</t>
        </is>
      </c>
      <c r="D65" s="22" t="inlineStr">
        <is>
          <t>Секатор АРС / ARS (160ZF-2.0-3) телескопічний на штанзі 1.2–2 м Японія</t>
        </is>
      </c>
      <c r="E65" s="23" t="n">
        <v>4870</v>
      </c>
    </row>
    <row r="66">
      <c r="A66" s="22" t="inlineStr">
        <is>
          <t>Водоспад</t>
        </is>
      </c>
      <c r="B66" s="22" t="inlineStr">
        <is>
          <t>1003621</t>
        </is>
      </c>
      <c r="C66" s="22" t="inlineStr">
        <is>
          <t>37222</t>
        </is>
      </c>
      <c r="D66" s="22" t="inlineStr">
        <is>
          <t>Великий сікач для сучків Фіскарс / Fiskars WoodXpert XA3 126005 (1003621) Фінляндія</t>
        </is>
      </c>
      <c r="E66" s="23" t="n">
        <v>4999</v>
      </c>
    </row>
    <row r="67">
      <c r="A67" s="22" t="inlineStr">
        <is>
          <t>Клуб Рослин</t>
        </is>
      </c>
      <c r="B67" s="22" t="inlineStr">
        <is>
          <t>1003621</t>
        </is>
      </c>
      <c r="C67" s="22" t="inlineStr">
        <is>
          <t>12097</t>
        </is>
      </c>
      <c r="D67" s="22" t="inlineStr">
        <is>
          <t>Великий сікач для сучків Фіскарс / Fiskars WoodXpert XA3 126005 (1003621) Фінляндія</t>
        </is>
      </c>
      <c r="E67" s="23" t="n">
        <v>4999</v>
      </c>
    </row>
    <row r="68">
      <c r="A68" s="22" t="inlineStr">
        <is>
          <t>Водоспад</t>
        </is>
      </c>
      <c r="B68" s="22" t="inlineStr">
        <is>
          <t>1001622</t>
        </is>
      </c>
      <c r="C68" s="22" t="inlineStr">
        <is>
          <t>32175</t>
        </is>
      </c>
      <c r="D68" s="22" t="inlineStr">
        <is>
          <t>Ніж універсальний Фіскарс Fiskars з чохлом K40 125860 (1001622) Фінляндія</t>
        </is>
      </c>
      <c r="E68" s="23" t="n">
        <v>1199</v>
      </c>
    </row>
    <row r="69">
      <c r="A69" s="22" t="inlineStr">
        <is>
          <t>Клуб Рослин</t>
        </is>
      </c>
      <c r="B69" s="22" t="inlineStr">
        <is>
          <t>1001622</t>
        </is>
      </c>
      <c r="C69" s="22" t="inlineStr">
        <is>
          <t>10885</t>
        </is>
      </c>
      <c r="D69" s="22" t="inlineStr">
        <is>
          <t>Ніж універсальний Фіскарс Fiskars з чохлом K40 125860 (1001622) Фінляндія</t>
        </is>
      </c>
      <c r="E69" s="23" t="n">
        <v>1199</v>
      </c>
    </row>
    <row r="70">
      <c r="A70" s="22" t="inlineStr">
        <is>
          <t>Водоспад</t>
        </is>
      </c>
      <c r="B70" s="22" t="inlineStr">
        <is>
          <t>1003623</t>
        </is>
      </c>
      <c r="C70" s="22" t="inlineStr">
        <is>
          <t>37226</t>
        </is>
      </c>
      <c r="D70" s="22" t="inlineStr">
        <is>
          <t>Багор великий Фіскарс Fiskars WoodXpert XA22 126007 (1003623) Фінляндія</t>
        </is>
      </c>
      <c r="E70" s="23" t="n">
        <v>4999</v>
      </c>
    </row>
    <row r="71">
      <c r="A71" s="22" t="inlineStr">
        <is>
          <t>Клуб Рослин</t>
        </is>
      </c>
      <c r="B71" s="22" t="inlineStr">
        <is>
          <t>1003623</t>
        </is>
      </c>
      <c r="C71" s="22" t="inlineStr">
        <is>
          <t>10594</t>
        </is>
      </c>
      <c r="D71" s="22" t="inlineStr">
        <is>
          <t>Багор великий Фіскарс Fiskars WoodXpert XA22 126007 (1003623) Фінляндія</t>
        </is>
      </c>
      <c r="E71" s="23" t="n">
        <v>4999</v>
      </c>
    </row>
    <row r="72">
      <c r="A72" s="22" t="inlineStr">
        <is>
          <t>Водоспад</t>
        </is>
      </c>
      <c r="B72" s="22" t="inlineStr">
        <is>
          <t>1001620</t>
        </is>
      </c>
      <c r="C72" s="22" t="inlineStr">
        <is>
          <t>37352</t>
        </is>
      </c>
      <c r="D72" s="22" t="inlineStr">
        <is>
          <t>Пила ручна Фіскарс Fiskars SW84 123840 (1001620) Фінляндія</t>
        </is>
      </c>
      <c r="E72" s="23" t="n">
        <v>4199</v>
      </c>
    </row>
    <row r="73">
      <c r="A73" s="22" t="inlineStr">
        <is>
          <t>Клуб Рослин</t>
        </is>
      </c>
      <c r="B73" s="22" t="inlineStr">
        <is>
          <t>1001620</t>
        </is>
      </c>
      <c r="C73" s="22" t="inlineStr">
        <is>
          <t>11217</t>
        </is>
      </c>
      <c r="D73" s="22" t="inlineStr">
        <is>
          <t>Пила ручна Фіскарс Fiskars SW84 123840 (1001620) Фінляндія</t>
        </is>
      </c>
      <c r="E73" s="23" t="n">
        <v>4199</v>
      </c>
    </row>
    <row r="74">
      <c r="A74" s="22" t="inlineStr">
        <is>
          <t>Водоспад</t>
        </is>
      </c>
      <c r="B74" s="22" t="inlineStr">
        <is>
          <t>1001534</t>
        </is>
      </c>
      <c r="C74" s="22" t="inlineStr">
        <is>
          <t>32142</t>
        </is>
      </c>
      <c r="D74" s="22" t="inlineStr">
        <is>
          <t>Секатор площинний Фіскарс Fiskars FingerLoop P44 111440 (1001534) Фінляндія</t>
        </is>
      </c>
      <c r="E74" s="23" t="n">
        <v>1799</v>
      </c>
    </row>
    <row r="75">
      <c r="A75" s="22" t="inlineStr">
        <is>
          <t>Клуб Рослин</t>
        </is>
      </c>
      <c r="B75" s="22" t="inlineStr">
        <is>
          <t>1001534</t>
        </is>
      </c>
      <c r="C75" s="22" t="inlineStr">
        <is>
          <t>11920</t>
        </is>
      </c>
      <c r="D75" s="22" t="inlineStr">
        <is>
          <t>Секатор площинний Фіскарс Fiskars FingerLoop P44 111440 (1001534) Фінляндія</t>
        </is>
      </c>
      <c r="E75" s="23" t="n">
        <v>1799</v>
      </c>
    </row>
    <row r="76">
      <c r="A76" s="22" t="inlineStr">
        <is>
          <t>Водоспад</t>
        </is>
      </c>
      <c r="B76" s="22" t="inlineStr">
        <is>
          <t>1001623</t>
        </is>
      </c>
      <c r="C76" s="22" t="inlineStr">
        <is>
          <t>32622</t>
        </is>
      </c>
      <c r="D76" s="22" t="inlineStr">
        <is>
          <t>Ніж зігнутий для щеплень Фіскарс Fiskars K62 125880 (1001623) Фінляндія</t>
        </is>
      </c>
      <c r="E76" s="23" t="n">
        <v>1149</v>
      </c>
    </row>
    <row r="77">
      <c r="A77" s="22" t="inlineStr">
        <is>
          <t>Клуб Рослин</t>
        </is>
      </c>
      <c r="B77" s="22" t="inlineStr">
        <is>
          <t>1001623</t>
        </is>
      </c>
      <c r="C77" s="22" t="inlineStr">
        <is>
          <t>10886</t>
        </is>
      </c>
      <c r="D77" s="22" t="inlineStr">
        <is>
          <t>Ніж зігнутий для щеплень Фіскарс Fiskars K62 125880 (1001623) Фінляндія</t>
        </is>
      </c>
      <c r="E77" s="23" t="n">
        <v>1149</v>
      </c>
    </row>
    <row r="78">
      <c r="A78" s="22" t="inlineStr">
        <is>
          <t>Водоспад</t>
        </is>
      </c>
      <c r="B78" s="22" t="inlineStr">
        <is>
          <t>1001640</t>
        </is>
      </c>
      <c r="C78" s="22" t="inlineStr">
        <is>
          <t>32195</t>
        </is>
      </c>
      <c r="D78" s="22" t="inlineStr">
        <is>
          <t>Комплект по догляду за інвентарем Фіскарс Fiskars 110990 (1001640) Фінляндія</t>
        </is>
      </c>
      <c r="E78" s="23" t="n">
        <v>1369</v>
      </c>
    </row>
    <row r="79">
      <c r="A79" s="22" t="inlineStr">
        <is>
          <t>Клуб Рослин</t>
        </is>
      </c>
      <c r="B79" s="22" t="inlineStr">
        <is>
          <t>1001640</t>
        </is>
      </c>
      <c r="C79" s="22" t="inlineStr">
        <is>
          <t>10734</t>
        </is>
      </c>
      <c r="D79" s="22" t="inlineStr">
        <is>
          <t>Комплект по догляду за інвентарем Фіскарс Fiskars 110990 (1001640) Фінляндія</t>
        </is>
      </c>
      <c r="E79" s="23" t="n">
        <v>1369</v>
      </c>
    </row>
    <row r="80">
      <c r="A80" s="22" t="inlineStr">
        <is>
          <t>Водоспад</t>
        </is>
      </c>
      <c r="B80" s="22" t="inlineStr">
        <is>
          <t>1001557</t>
        </is>
      </c>
      <c r="C80" s="22" t="inlineStr">
        <is>
          <t>32615</t>
        </is>
      </c>
      <c r="D80" s="22" t="inlineStr">
        <is>
          <t>Висоторіз площинний Fiskars UP84 115390 (1001557) Фінляндія</t>
        </is>
      </c>
      <c r="E80" s="23" t="n">
        <v>6799</v>
      </c>
    </row>
    <row r="81">
      <c r="A81" s="22" t="inlineStr">
        <is>
          <t>Клуб Рослин</t>
        </is>
      </c>
      <c r="B81" s="22" t="inlineStr">
        <is>
          <t>1001557</t>
        </is>
      </c>
      <c r="C81" s="22" t="inlineStr">
        <is>
          <t>12535</t>
        </is>
      </c>
      <c r="D81" s="22" t="inlineStr">
        <is>
          <t>Висоторіз площинний Fiskars UP84 115390 (1001557) Фінляндія</t>
        </is>
      </c>
      <c r="E81" s="23" t="n">
        <v>6799</v>
      </c>
    </row>
    <row r="82">
      <c r="A82" s="22" t="inlineStr">
        <is>
          <t>Водоспад</t>
        </is>
      </c>
      <c r="B82" s="22" t="inlineStr">
        <is>
          <t>1001410</t>
        </is>
      </c>
      <c r="C82" s="22" t="inlineStr">
        <is>
          <t>39797</t>
        </is>
      </c>
      <c r="D82" s="22" t="inlineStr">
        <is>
          <t>Висоторіз Фіскарс Fiskars QuikFit 136525 (1001410) Фінляндія</t>
        </is>
      </c>
      <c r="E82" s="23" t="n">
        <v>2949</v>
      </c>
    </row>
    <row r="83">
      <c r="A83" s="22" t="inlineStr">
        <is>
          <t>Клуб Рослин</t>
        </is>
      </c>
      <c r="B83" s="22" t="inlineStr">
        <is>
          <t>1001410</t>
        </is>
      </c>
      <c r="C83" s="22" t="inlineStr">
        <is>
          <t>12556</t>
        </is>
      </c>
      <c r="D83" s="22" t="inlineStr">
        <is>
          <t>Висоторіз Фіскарс Fiskars QuikFit 136525 (1001410) Фінляндія</t>
        </is>
      </c>
      <c r="E83" s="23" t="n">
        <v>2949</v>
      </c>
    </row>
    <row r="84">
      <c r="A84" s="22" t="inlineStr">
        <is>
          <t>Водоспад</t>
        </is>
      </c>
      <c r="B84" s="22" t="inlineStr">
        <is>
          <t>R660V</t>
        </is>
      </c>
      <c r="C84" s="22" t="inlineStr">
        <is>
          <t>41107</t>
        </is>
      </c>
      <c r="D84" s="22" t="inlineStr">
        <is>
          <t>Запасні частини для сучкоріза (Болт і гайка для ручок) Bahco P160 ( R660V )</t>
        </is>
      </c>
      <c r="E84" s="23" t="n">
        <v>1160</v>
      </c>
    </row>
    <row r="85">
      <c r="A85" s="22" t="inlineStr">
        <is>
          <t>Водоспад</t>
        </is>
      </c>
      <c r="B85" s="22" t="inlineStr">
        <is>
          <t>1001430</t>
        </is>
      </c>
      <c r="C85" s="22" t="inlineStr">
        <is>
          <t>39771</t>
        </is>
      </c>
      <c r="D85" s="22" t="inlineStr">
        <is>
          <t>Гілкоріз великий Фіскарс Fiskars SingleStep (L) L39 112450 (1001430) Фінляндія</t>
        </is>
      </c>
      <c r="E85" s="23" t="n">
        <v>2899</v>
      </c>
    </row>
    <row r="86">
      <c r="A86" s="22" t="inlineStr">
        <is>
          <t>Клуб Рослин</t>
        </is>
      </c>
      <c r="B86" s="22" t="inlineStr">
        <is>
          <t>1001430</t>
        </is>
      </c>
      <c r="C86" s="22" t="inlineStr">
        <is>
          <t>12558</t>
        </is>
      </c>
      <c r="D86" s="22" t="inlineStr">
        <is>
          <t>Гілкоріз великий Фіскарс Fiskars SingleStep (L) L39 112450 (1001430) Фінляндія</t>
        </is>
      </c>
      <c r="E86" s="23" t="n">
        <v>2899</v>
      </c>
    </row>
    <row r="87">
      <c r="A87" s="22" t="inlineStr">
        <is>
          <t>Водоспад</t>
        </is>
      </c>
      <c r="B87" s="22" t="inlineStr">
        <is>
          <t>1000612</t>
        </is>
      </c>
      <c r="C87" s="22" t="inlineStr">
        <is>
          <t>32193</t>
        </is>
      </c>
      <c r="D87" s="22" t="inlineStr">
        <is>
          <t>Пила висувна Фіскарс / Fiskars Xtract SW72 123860 (1000612) Фінляндія</t>
        </is>
      </c>
      <c r="E87" s="23" t="n">
        <v>2277</v>
      </c>
    </row>
    <row r="88">
      <c r="A88" s="22" t="inlineStr">
        <is>
          <t>Клуб Рослин</t>
        </is>
      </c>
      <c r="B88" s="22" t="inlineStr">
        <is>
          <t>1000612</t>
        </is>
      </c>
      <c r="C88" s="22" t="inlineStr">
        <is>
          <t>11222</t>
        </is>
      </c>
      <c r="D88" s="22" t="inlineStr">
        <is>
          <t>Пила висувна Фіскарс / Fiskars Xtract SW72 123860 (1000612) Фінляндія</t>
        </is>
      </c>
      <c r="E88" s="23" t="n">
        <v>2277</v>
      </c>
    </row>
    <row r="89">
      <c r="A89" s="22" t="inlineStr">
        <is>
          <t>Водоспад</t>
        </is>
      </c>
      <c r="B89" s="22" t="inlineStr">
        <is>
          <t>1016036</t>
        </is>
      </c>
      <c r="C89" s="22" t="inlineStr">
        <is>
          <t>32980</t>
        </is>
      </c>
      <c r="D89" s="22" t="inlineStr">
        <is>
          <t>Садові граблі Фіскарс Fiskars Solid 135715 (1016036) Фінляндія</t>
        </is>
      </c>
      <c r="E89" s="23" t="n">
        <v>1499</v>
      </c>
    </row>
    <row r="90">
      <c r="A90" s="22" t="inlineStr">
        <is>
          <t>Клуб Рослин</t>
        </is>
      </c>
      <c r="B90" s="22" t="inlineStr">
        <is>
          <t>1016036</t>
        </is>
      </c>
      <c r="C90" s="22" t="inlineStr">
        <is>
          <t>8920</t>
        </is>
      </c>
      <c r="D90" s="22" t="inlineStr">
        <is>
          <t>Садові граблі Фіскарс Fiskars Solid 135715 (1016036) Фінляндія</t>
        </is>
      </c>
      <c r="E90" s="23" t="n">
        <v>1499</v>
      </c>
    </row>
    <row r="91">
      <c r="A91" s="22" t="inlineStr">
        <is>
          <t>Водоспад</t>
        </is>
      </c>
      <c r="B91" s="22" t="inlineStr">
        <is>
          <t>1001555</t>
        </is>
      </c>
      <c r="C91" s="22" t="inlineStr">
        <is>
          <t>39749</t>
        </is>
      </c>
      <c r="D91" s="22" t="inlineStr">
        <is>
          <t>Гілкоріз малий площинний Фіскарс / Fiskars PowerGear (S) L72 112200 (1001555) Фінляндія</t>
        </is>
      </c>
      <c r="E91" s="23" t="n">
        <v>2999</v>
      </c>
    </row>
    <row r="92">
      <c r="A92" s="22" t="inlineStr">
        <is>
          <t>Клуб Рослин</t>
        </is>
      </c>
      <c r="B92" s="22" t="inlineStr">
        <is>
          <t>1001555</t>
        </is>
      </c>
      <c r="C92" s="22" t="inlineStr">
        <is>
          <t>12539</t>
        </is>
      </c>
      <c r="D92" s="22" t="inlineStr">
        <is>
          <t>Гілкоріз малий площинний Фіскарс / Fiskars PowerGear (S) L72 112200 (1001555) Фінляндія</t>
        </is>
      </c>
      <c r="E92" s="23" t="n">
        <v>2999</v>
      </c>
    </row>
    <row r="93">
      <c r="A93" s="22" t="inlineStr">
        <is>
          <t>Водоспад</t>
        </is>
      </c>
      <c r="B93" s="22" t="inlineStr">
        <is>
          <t>1001553</t>
        </is>
      </c>
      <c r="C93" s="22" t="inlineStr">
        <is>
          <t>32618</t>
        </is>
      </c>
      <c r="D93" s="22" t="inlineStr">
        <is>
          <t>Гілкоріз площинний Фіскарс Fiskars PowerGear (M) L76 112300 (1001553) Фінляндія</t>
        </is>
      </c>
      <c r="E93" s="23" t="n">
        <v>3899</v>
      </c>
    </row>
    <row r="94">
      <c r="A94" s="22" t="inlineStr">
        <is>
          <t>Клуб Рослин</t>
        </is>
      </c>
      <c r="B94" s="22" t="inlineStr">
        <is>
          <t>1001553</t>
        </is>
      </c>
      <c r="C94" s="22" t="inlineStr">
        <is>
          <t>12542</t>
        </is>
      </c>
      <c r="D94" s="22" t="inlineStr">
        <is>
          <t>Гілкоріз площинний Фіскарс Fiskars PowerGear (M) L76 112300 (1001553) Фінляндія</t>
        </is>
      </c>
      <c r="E94" s="23" t="n">
        <v>3899</v>
      </c>
    </row>
    <row r="95">
      <c r="A95" s="22" t="inlineStr">
        <is>
          <t>Водоспад</t>
        </is>
      </c>
      <c r="B95" s="22" t="inlineStr">
        <is>
          <t>1013564</t>
        </is>
      </c>
      <c r="C95" s="22" t="inlineStr">
        <is>
          <t>39770</t>
        </is>
      </c>
      <c r="D95" s="22" t="inlineStr">
        <is>
          <t>Гілкоріз контактний Фіскарс Fiskars PowerStep SmartFit L86 112500 (1013564) Фінляндія</t>
        </is>
      </c>
      <c r="E95" s="23" t="n">
        <v>4699</v>
      </c>
    </row>
    <row r="96">
      <c r="A96" s="22" t="inlineStr">
        <is>
          <t>Клуб Рослин</t>
        </is>
      </c>
      <c r="B96" s="22" t="inlineStr">
        <is>
          <t>1013564</t>
        </is>
      </c>
      <c r="C96" s="22" t="inlineStr">
        <is>
          <t>12560</t>
        </is>
      </c>
      <c r="D96" s="22" t="inlineStr">
        <is>
          <t>Гілкоріз контактний Фіскарс Fiskars PowerStep SmartFit L86 112500 (1013564) Фінляндія</t>
        </is>
      </c>
      <c r="E96" s="23" t="n">
        <v>4699</v>
      </c>
    </row>
    <row r="97">
      <c r="A97" s="22" t="inlineStr">
        <is>
          <t>Водоспад</t>
        </is>
      </c>
      <c r="B97" s="22" t="inlineStr">
        <is>
          <t>1001433</t>
        </is>
      </c>
      <c r="C97" s="22" t="inlineStr">
        <is>
          <t>32717</t>
        </is>
      </c>
      <c r="D97" s="22" t="inlineStr">
        <is>
          <t>Кущоріз Фіскарс Fiskars SingleStep HS22 114730 (1001433) Фінляндія</t>
        </is>
      </c>
      <c r="E97" s="23" t="n">
        <v>2399</v>
      </c>
    </row>
    <row r="98">
      <c r="A98" s="22" t="inlineStr">
        <is>
          <t>Клуб Рослин</t>
        </is>
      </c>
      <c r="B98" s="22" t="inlineStr">
        <is>
          <t>1001433</t>
        </is>
      </c>
      <c r="C98" s="22" t="inlineStr">
        <is>
          <t>11027</t>
        </is>
      </c>
      <c r="D98" s="22" t="inlineStr">
        <is>
          <t>Кущоріз Фіскарс Fiskars SingleStep HS22 114730 (1001433) Фінляндія</t>
        </is>
      </c>
      <c r="E98" s="23" t="n">
        <v>2399</v>
      </c>
    </row>
    <row r="99">
      <c r="A99" s="22" t="inlineStr">
        <is>
          <t>Клуб Рослин</t>
        </is>
      </c>
      <c r="B99" s="22" t="inlineStr">
        <is>
          <t>P173-SL-85</t>
        </is>
      </c>
      <c r="C99" s="22" t="inlineStr">
        <is>
          <t>14049</t>
        </is>
      </c>
      <c r="D99" s="22" t="inlineStr">
        <is>
          <t>Гілкоріз P173-SL-85 Bahco 850мм</t>
        </is>
      </c>
      <c r="E99" s="23" t="n">
        <v>4725</v>
      </c>
    </row>
    <row r="100">
      <c r="A100" s="22" t="inlineStr">
        <is>
          <t>Водоспад</t>
        </is>
      </c>
      <c r="B100" s="22" t="inlineStr">
        <is>
          <t>1000726</t>
        </is>
      </c>
      <c r="C100" s="22" t="inlineStr">
        <is>
          <t>33603</t>
        </is>
      </c>
      <c r="D100" s="22" t="inlineStr">
        <is>
          <t>Садовий совок Фіскарс Fiskars Premium 137200 (1000726) Фінляндія</t>
        </is>
      </c>
      <c r="E100" s="23" t="n">
        <v>699</v>
      </c>
    </row>
    <row r="101">
      <c r="A101" s="22" t="inlineStr">
        <is>
          <t>Клуб Рослин</t>
        </is>
      </c>
      <c r="B101" s="22" t="inlineStr">
        <is>
          <t>1000726</t>
        </is>
      </c>
      <c r="C101" s="22" t="inlineStr">
        <is>
          <t>12299</t>
        </is>
      </c>
      <c r="D101" s="22" t="inlineStr">
        <is>
          <t>Садовий совок Фіскарс Fiskars Premium 137200 (1000726) Фінляндія</t>
        </is>
      </c>
      <c r="E101" s="23" t="n">
        <v>699</v>
      </c>
    </row>
    <row r="102">
      <c r="A102" s="22" t="inlineStr">
        <is>
          <t>Водоспад</t>
        </is>
      </c>
      <c r="B102" s="22" t="inlineStr">
        <is>
          <t>1001565</t>
        </is>
      </c>
      <c r="C102" s="22" t="inlineStr">
        <is>
          <t>37417</t>
        </is>
      </c>
      <c r="D102" s="22" t="inlineStr">
        <is>
          <t>Ножиці для трави та живоплоту Фіскарс / Fiskars PowerLevel GS53 113710 (1001565) Фінляндія</t>
        </is>
      </c>
      <c r="E102" s="23" t="n">
        <v>4999</v>
      </c>
    </row>
    <row r="103">
      <c r="A103" s="22" t="inlineStr">
        <is>
          <t>Клуб Рослин</t>
        </is>
      </c>
      <c r="B103" s="22" t="inlineStr">
        <is>
          <t>1001565</t>
        </is>
      </c>
      <c r="C103" s="22" t="inlineStr">
        <is>
          <t>11046</t>
        </is>
      </c>
      <c r="D103" s="22" t="inlineStr">
        <is>
          <t>Ножиці для трави та живоплоту Фіскарс / Fiskars PowerLevel GS53 113710 (1001565) Фінляндія</t>
        </is>
      </c>
      <c r="E103" s="23" t="n">
        <v>4999</v>
      </c>
    </row>
    <row r="104">
      <c r="A104" s="22" t="inlineStr">
        <is>
          <t>Водоспад</t>
        </is>
      </c>
      <c r="B104" s="22" t="inlineStr">
        <is>
          <t>1001533</t>
        </is>
      </c>
      <c r="C104" s="22" t="inlineStr">
        <is>
          <t>32611</t>
        </is>
      </c>
      <c r="D104" s="22" t="inlineStr">
        <is>
          <t>Ножиці універсальні Фіскарс / Fiskars з петлею для пальців SP45 111450 (1001533) Фінляндія</t>
        </is>
      </c>
      <c r="E104" s="23" t="n">
        <v>1599</v>
      </c>
    </row>
    <row r="105">
      <c r="A105" s="22" t="inlineStr">
        <is>
          <t>Клуб Рослин</t>
        </is>
      </c>
      <c r="B105" s="22" t="inlineStr">
        <is>
          <t>1001533</t>
        </is>
      </c>
      <c r="C105" s="22" t="inlineStr">
        <is>
          <t>11921</t>
        </is>
      </c>
      <c r="D105" s="22" t="inlineStr">
        <is>
          <t>Ножиці універсальні Фіскарс / Fiskars з петлею для пальців SP45 111450 (1001533) Фінляндія</t>
        </is>
      </c>
      <c r="E105" s="23" t="n">
        <v>1599</v>
      </c>
    </row>
    <row r="106">
      <c r="A106" s="22" t="inlineStr">
        <is>
          <t>Клуб Рослин</t>
        </is>
      </c>
      <c r="B106" s="22" t="inlineStr">
        <is>
          <t>1000596</t>
        </is>
      </c>
      <c r="C106" s="22" t="inlineStr">
        <is>
          <t>11023</t>
        </is>
      </c>
      <c r="D106" s="22" t="inlineStr">
        <is>
          <t>Ножиці для живоплоту з силовим приводом Фіскарс / Fiskars PowerGear HS72 114790 (1000596) Фінляндія</t>
        </is>
      </c>
      <c r="E106" s="23" t="n">
        <v>3499</v>
      </c>
    </row>
    <row r="107">
      <c r="A107" s="22" t="inlineStr">
        <is>
          <t>Водоспад</t>
        </is>
      </c>
      <c r="B107" s="22" t="inlineStr">
        <is>
          <t>1000680</t>
        </is>
      </c>
      <c r="C107" s="22" t="inlineStr">
        <is>
          <t>32271</t>
        </is>
      </c>
      <c r="D107" s="22" t="inlineStr">
        <is>
          <t>Культиватор ручний 125 мм Fiskars QuikFit 136511 (1000680) Фінляндія</t>
        </is>
      </c>
      <c r="E107" s="23" t="n">
        <v>1159</v>
      </c>
    </row>
    <row r="108">
      <c r="A108" s="22" t="inlineStr">
        <is>
          <t>Клуб Рослин</t>
        </is>
      </c>
      <c r="B108" s="22" t="inlineStr">
        <is>
          <t>1000680</t>
        </is>
      </c>
      <c r="C108" s="22" t="inlineStr">
        <is>
          <t>10364</t>
        </is>
      </c>
      <c r="D108" s="22" t="inlineStr">
        <is>
          <t>Культиватор ручний 125 мм Fiskars QuikFit 136511 (1000680) Фінляндія</t>
        </is>
      </c>
      <c r="E108" s="23" t="n">
        <v>1159</v>
      </c>
    </row>
    <row r="109">
      <c r="A109" s="22" t="inlineStr">
        <is>
          <t>Водоспад</t>
        </is>
      </c>
      <c r="B109" s="22" t="inlineStr">
        <is>
          <t>1001432</t>
        </is>
      </c>
      <c r="C109" s="22" t="inlineStr">
        <is>
          <t>39772</t>
        </is>
      </c>
      <c r="D109" s="22" t="inlineStr">
        <is>
          <t>Гілкоріз площинний малий Фіскарс Fiskars із загнутими лезами SingleStep (S) L28 112160 (1001432) Фінляндія</t>
        </is>
      </c>
      <c r="E109" s="23" t="n">
        <v>2399</v>
      </c>
    </row>
    <row r="110">
      <c r="A110" s="22" t="inlineStr">
        <is>
          <t>Клуб Рослин</t>
        </is>
      </c>
      <c r="B110" s="22" t="inlineStr">
        <is>
          <t>1001432</t>
        </is>
      </c>
      <c r="C110" s="22" t="inlineStr">
        <is>
          <t>12557</t>
        </is>
      </c>
      <c r="D110" s="22" t="inlineStr">
        <is>
          <t>Гілкоріз площинний малий Фіскарс Fiskars із загнутими лезами SingleStep (S) L28 112160 (1001432) Фінляндія</t>
        </is>
      </c>
      <c r="E110" s="23" t="n">
        <v>2399</v>
      </c>
    </row>
    <row r="111">
      <c r="A111" s="22" t="inlineStr">
        <is>
          <t>Водоспад</t>
        </is>
      </c>
      <c r="B111" s="22" t="inlineStr">
        <is>
          <t>1001615</t>
        </is>
      </c>
      <c r="C111" s="22" t="inlineStr">
        <is>
          <t>37221</t>
        </is>
      </c>
      <c r="D111" s="22" t="inlineStr">
        <is>
          <t>Клин для розщеплення гвинтовий Фіскарс / Fiskars SAFE-T 120021 (1001615) Фінляндія</t>
        </is>
      </c>
      <c r="E111" s="23" t="n">
        <v>4399</v>
      </c>
    </row>
    <row r="112">
      <c r="A112" s="22" t="inlineStr">
        <is>
          <t>Клуб Рослин</t>
        </is>
      </c>
      <c r="B112" s="22" t="inlineStr">
        <is>
          <t>1001615</t>
        </is>
      </c>
      <c r="C112" s="22" t="inlineStr">
        <is>
          <t>10004</t>
        </is>
      </c>
      <c r="D112" s="22" t="inlineStr">
        <is>
          <t>Клин для розщеплення гвинтовий Фіскарс / Fiskars SAFE-T 120021 (1001615) Фінляндія</t>
        </is>
      </c>
      <c r="E112" s="23" t="n">
        <v>4399</v>
      </c>
    </row>
    <row r="113">
      <c r="A113" s="22" t="inlineStr">
        <is>
          <t>Водоспад</t>
        </is>
      </c>
      <c r="B113" s="22" t="inlineStr">
        <is>
          <t>1003609</t>
        </is>
      </c>
      <c r="C113" s="22" t="inlineStr">
        <is>
          <t>32848</t>
        </is>
      </c>
      <c r="D113" s="22" t="inlineStr">
        <is>
          <t>Малий сікач для гілок Фіскарс Fiskars WoodXpert 126004 (1003609) Фінляндія</t>
        </is>
      </c>
      <c r="E113" s="23" t="n">
        <v>3199</v>
      </c>
    </row>
    <row r="114">
      <c r="A114" s="22" t="inlineStr">
        <is>
          <t>Клуб Рослин</t>
        </is>
      </c>
      <c r="B114" s="22" t="inlineStr">
        <is>
          <t>1003609</t>
        </is>
      </c>
      <c r="C114" s="22" t="inlineStr">
        <is>
          <t>12098</t>
        </is>
      </c>
      <c r="D114" s="22" t="inlineStr">
        <is>
          <t>Малий сікач для гілок Фіскарс Fiskars WoodXpert 126004 (1003609) Фінляндія</t>
        </is>
      </c>
      <c r="E114" s="23" t="n">
        <v>3199</v>
      </c>
    </row>
    <row r="115">
      <c r="A115" s="22" t="inlineStr">
        <is>
          <t>Водоспад</t>
        </is>
      </c>
      <c r="B115" s="22" t="inlineStr">
        <is>
          <t>1000590</t>
        </is>
      </c>
      <c r="C115" s="22" t="inlineStr">
        <is>
          <t>32159</t>
        </is>
      </c>
      <c r="D115" s="22" t="inlineStr">
        <is>
          <t>Ножиці для трави подовжені з серво-системою Фіскарс / Fiskars GS46 113690 (1000590) Фінляндія</t>
        </is>
      </c>
      <c r="E115" s="23" t="n">
        <v>3299</v>
      </c>
    </row>
    <row r="116">
      <c r="A116" s="22" t="inlineStr">
        <is>
          <t>Клуб Рослин</t>
        </is>
      </c>
      <c r="B116" s="22" t="inlineStr">
        <is>
          <t>1000590</t>
        </is>
      </c>
      <c r="C116" s="22" t="inlineStr">
        <is>
          <t>11042</t>
        </is>
      </c>
      <c r="D116" s="22" t="inlineStr">
        <is>
          <t>Ножиці для трави подовжені з серво-системою Фіскарс / Fiskars GS46 113690 (1000590) Фінляндія</t>
        </is>
      </c>
      <c r="E116" s="23" t="n">
        <v>3299</v>
      </c>
    </row>
    <row r="117">
      <c r="A117" s="22" t="inlineStr">
        <is>
          <t>Водоспад</t>
        </is>
      </c>
      <c r="B117" s="22" t="inlineStr">
        <is>
          <t>1001614</t>
        </is>
      </c>
      <c r="C117" s="22" t="inlineStr">
        <is>
          <t>37219</t>
        </is>
      </c>
      <c r="D117" s="22" t="inlineStr">
        <is>
          <t>Клин для розколу колод Фіскарс / Fiskars 120010 (1001614) Фінляндія</t>
        </is>
      </c>
      <c r="E117" s="23" t="n">
        <v>1449</v>
      </c>
    </row>
    <row r="118">
      <c r="A118" s="22" t="inlineStr">
        <is>
          <t>Клуб Рослин</t>
        </is>
      </c>
      <c r="B118" s="22" t="inlineStr">
        <is>
          <t>1001614</t>
        </is>
      </c>
      <c r="C118" s="22" t="inlineStr">
        <is>
          <t>10006</t>
        </is>
      </c>
      <c r="D118" s="22" t="inlineStr">
        <is>
          <t>Клин для розколу колод Фіскарс / Fiskars 120010 (1001614) Фінляндія</t>
        </is>
      </c>
      <c r="E118" s="23" t="n">
        <v>1449</v>
      </c>
    </row>
    <row r="119">
      <c r="A119" s="22" t="inlineStr">
        <is>
          <t>Водоспад</t>
        </is>
      </c>
      <c r="B119" s="22" t="inlineStr">
        <is>
          <t>1000696</t>
        </is>
      </c>
      <c r="C119" s="22" t="inlineStr">
        <is>
          <t>32179</t>
        </is>
      </c>
      <c r="D119" s="22" t="inlineStr">
        <is>
          <t>Посадкова вилка Fiskars Solid 137030 (1000696) Фінляндія</t>
        </is>
      </c>
      <c r="E119" s="23" t="n">
        <v>250</v>
      </c>
    </row>
    <row r="120">
      <c r="A120" s="22" t="inlineStr">
        <is>
          <t>Клуб Рослин</t>
        </is>
      </c>
      <c r="B120" s="22" t="inlineStr">
        <is>
          <t>1000696</t>
        </is>
      </c>
      <c r="C120" s="22" t="inlineStr">
        <is>
          <t>8698</t>
        </is>
      </c>
      <c r="D120" s="22" t="inlineStr">
        <is>
          <t>Посадкова вилка Fiskars Solid 137030 (1000696) Фінляндія</t>
        </is>
      </c>
      <c r="E120" s="23" t="n">
        <v>250</v>
      </c>
    </row>
    <row r="121">
      <c r="A121" s="22" t="inlineStr">
        <is>
          <t>Водоспад</t>
        </is>
      </c>
      <c r="B121" s="22" t="inlineStr">
        <is>
          <t>1000661</t>
        </is>
      </c>
      <c r="C121" s="22" t="inlineStr">
        <is>
          <t>32273</t>
        </is>
      </c>
      <c r="D121" s="22" t="inlineStr">
        <is>
          <t>Штанга Фіскарс Fiskars QuikFit (L) 1560 мм 136001 (1000661) Фінляндія</t>
        </is>
      </c>
      <c r="E121" s="23" t="n">
        <v>1199</v>
      </c>
    </row>
    <row r="122">
      <c r="A122" s="22" t="inlineStr">
        <is>
          <t>Клуб Рослин</t>
        </is>
      </c>
      <c r="B122" s="22" t="inlineStr">
        <is>
          <t>1000661</t>
        </is>
      </c>
      <c r="C122" s="22" t="inlineStr">
        <is>
          <t>9044</t>
        </is>
      </c>
      <c r="D122" s="22" t="inlineStr">
        <is>
          <t>Штанга Фіскарс Fiskars QuikFit (L) 1560 мм 136001 (1000661) Фінляндія</t>
        </is>
      </c>
      <c r="E122" s="23" t="n">
        <v>1199</v>
      </c>
    </row>
    <row r="123">
      <c r="A123" s="22" t="inlineStr">
        <is>
          <t>Клуб Рослин</t>
        </is>
      </c>
      <c r="B123" s="22" t="inlineStr">
        <is>
          <t>1000557</t>
        </is>
      </c>
      <c r="C123" s="22" t="inlineStr">
        <is>
          <t>11060</t>
        </is>
      </c>
      <c r="D123" s="22" t="inlineStr">
        <is>
          <t>Ножиці для трави Фіскарс / Fiskars S50 111090 (1000557) Фінляндія</t>
        </is>
      </c>
      <c r="E123" s="23" t="n">
        <v>1477</v>
      </c>
    </row>
    <row r="124">
      <c r="A124" s="22" t="inlineStr">
        <is>
          <t>Водоспад</t>
        </is>
      </c>
      <c r="B124" s="22" t="inlineStr">
        <is>
          <t>1000600</t>
        </is>
      </c>
      <c r="C124" s="22" t="inlineStr">
        <is>
          <t>37220</t>
        </is>
      </c>
      <c r="D124" s="22" t="inlineStr">
        <is>
          <t>Клин для розщеплення Фіскарс Fiskars 120020 (1000600) Фінляндія</t>
        </is>
      </c>
      <c r="E124" s="23" t="n">
        <v>2399</v>
      </c>
    </row>
    <row r="125">
      <c r="A125" s="22" t="inlineStr">
        <is>
          <t>Клуб Рослин</t>
        </is>
      </c>
      <c r="B125" s="22" t="inlineStr">
        <is>
          <t>1000600</t>
        </is>
      </c>
      <c r="C125" s="22" t="inlineStr">
        <is>
          <t>10007</t>
        </is>
      </c>
      <c r="D125" s="22" t="inlineStr">
        <is>
          <t>Клин для розщеплення Фіскарс Fiskars 120020 (1000600) Фінляндія</t>
        </is>
      </c>
      <c r="E125" s="23" t="n">
        <v>2399</v>
      </c>
    </row>
    <row r="126">
      <c r="A126" s="22" t="inlineStr">
        <is>
          <t>Водоспад</t>
        </is>
      </c>
      <c r="B126" s="22" t="inlineStr">
        <is>
          <t>1001562</t>
        </is>
      </c>
      <c r="C126" s="22" t="inlineStr">
        <is>
          <t>32616</t>
        </is>
      </c>
      <c r="D126" s="22" t="inlineStr">
        <is>
          <t>Плодознімач-насадка Фіскарс / Fiskars (1001562) Фінляндія</t>
        </is>
      </c>
      <c r="E126" s="23" t="n">
        <v>1999</v>
      </c>
    </row>
    <row r="127">
      <c r="A127" s="22" t="inlineStr">
        <is>
          <t>Водоспад</t>
        </is>
      </c>
      <c r="B127" s="22" t="inlineStr">
        <is>
          <t>1000601</t>
        </is>
      </c>
      <c r="C127" s="22" t="inlineStr">
        <is>
          <t>32197</t>
        </is>
      </c>
      <c r="D127" s="22" t="inlineStr">
        <is>
          <t>Точилка для сокир і ножів Фіскарс Fiskars Xsharp 120740 (1000601) Фінляндія</t>
        </is>
      </c>
      <c r="E127" s="23" t="n">
        <v>877</v>
      </c>
    </row>
    <row r="128">
      <c r="A128" s="22" t="inlineStr">
        <is>
          <t>Клуб Рослин</t>
        </is>
      </c>
      <c r="B128" s="22" t="inlineStr">
        <is>
          <t>1000601</t>
        </is>
      </c>
      <c r="C128" s="22" t="inlineStr">
        <is>
          <t>12707</t>
        </is>
      </c>
      <c r="D128" s="22" t="inlineStr">
        <is>
          <t>Точилка для сокир і ножів Фіскарс Fiskars Xsharp 120740 (1000601) Фінляндія</t>
        </is>
      </c>
      <c r="E128" s="23" t="n">
        <v>877</v>
      </c>
    </row>
    <row r="129">
      <c r="A129" s="22" t="inlineStr">
        <is>
          <t>Водоспад</t>
        </is>
      </c>
      <c r="B129" s="22" t="inlineStr">
        <is>
          <t>1000656</t>
        </is>
      </c>
      <c r="C129" s="22" t="inlineStr">
        <is>
          <t>32285</t>
        </is>
      </c>
      <c r="D129" s="22" t="inlineStr">
        <is>
          <t>Граблі Фіскарс Fiskars QuikFit 135514 (1000656) Фінляндія</t>
        </is>
      </c>
      <c r="E129" s="23" t="n">
        <v>1979</v>
      </c>
    </row>
    <row r="130">
      <c r="A130" s="22" t="inlineStr">
        <is>
          <t>Клуб Рослин</t>
        </is>
      </c>
      <c r="B130" s="22" t="inlineStr">
        <is>
          <t>1000656</t>
        </is>
      </c>
      <c r="C130" s="22" t="inlineStr">
        <is>
          <t>8951</t>
        </is>
      </c>
      <c r="D130" s="22" t="inlineStr">
        <is>
          <t>Граблі Фіскарс Fiskars QuikFit 135514 (1000656) Фінляндія</t>
        </is>
      </c>
      <c r="E130" s="23" t="n">
        <v>1979</v>
      </c>
    </row>
    <row r="131">
      <c r="A131" s="22" t="inlineStr">
        <is>
          <t>Водоспад</t>
        </is>
      </c>
      <c r="B131" s="22" t="inlineStr">
        <is>
          <t>1000583</t>
        </is>
      </c>
      <c r="C131" s="22" t="inlineStr">
        <is>
          <t>32153</t>
        </is>
      </c>
      <c r="D131" s="22" t="inlineStr">
        <is>
          <t>Гілкоріз великий контактний Фіскарс / Fiskars PowerGear (L) L77 112580 (1000583) Фінляндія</t>
        </is>
      </c>
      <c r="E131" s="23" t="n">
        <v>4399</v>
      </c>
    </row>
    <row r="132">
      <c r="A132" s="22" t="inlineStr">
        <is>
          <t>Клуб Рослин</t>
        </is>
      </c>
      <c r="B132" s="22" t="inlineStr">
        <is>
          <t>1000583</t>
        </is>
      </c>
      <c r="C132" s="22" t="inlineStr">
        <is>
          <t>12543</t>
        </is>
      </c>
      <c r="D132" s="22" t="inlineStr">
        <is>
          <t>Гілкоріз великий контактний Фіскарс / Fiskars PowerGear (L) L77 112580 (1000583) Фінляндія</t>
        </is>
      </c>
      <c r="E132" s="23" t="n">
        <v>4399</v>
      </c>
    </row>
    <row r="133">
      <c r="A133" s="22" t="inlineStr">
        <is>
          <t>Водоспад</t>
        </is>
      </c>
      <c r="B133" s="22" t="inlineStr">
        <is>
          <t>1000581</t>
        </is>
      </c>
      <c r="C133" s="22" t="inlineStr">
        <is>
          <t>39747</t>
        </is>
      </c>
      <c r="D133" s="22" t="inlineStr">
        <is>
          <t>Гілкоріз малий контактний Фіскарс Fiskars PowerGear (S) L31 112170 (1000581) Фінляндія</t>
        </is>
      </c>
      <c r="E133" s="23" t="n">
        <v>2199</v>
      </c>
    </row>
    <row r="134">
      <c r="A134" s="22" t="inlineStr">
        <is>
          <t>Клуб Рослин</t>
        </is>
      </c>
      <c r="B134" s="22" t="inlineStr">
        <is>
          <t>1000581</t>
        </is>
      </c>
      <c r="C134" s="22" t="inlineStr">
        <is>
          <t>12536</t>
        </is>
      </c>
      <c r="D134" s="22" t="inlineStr">
        <is>
          <t>Гілкоріз малий контактний Фіскарс Fiskars PowerGear (S) L31 112170 (1000581) Фінляндія</t>
        </is>
      </c>
      <c r="E134" s="23" t="n">
        <v>2199</v>
      </c>
    </row>
    <row r="135">
      <c r="A135" s="22" t="inlineStr">
        <is>
          <t>Водоспад</t>
        </is>
      </c>
      <c r="B135" s="22" t="inlineStr">
        <is>
          <t>1000589</t>
        </is>
      </c>
      <c r="C135" s="22" t="inlineStr">
        <is>
          <t>32160</t>
        </is>
      </c>
      <c r="D135" s="22" t="inlineStr">
        <is>
          <t>Ножиці для трави з Серво-системою Фіскарс Fiskars GS42 113680 (1000589) Фінляндія</t>
        </is>
      </c>
      <c r="E135" s="23" t="n">
        <v>2099</v>
      </c>
    </row>
    <row r="136">
      <c r="A136" s="22" t="inlineStr">
        <is>
          <t>Клуб Рослин</t>
        </is>
      </c>
      <c r="B136" s="22" t="inlineStr">
        <is>
          <t>1000589</t>
        </is>
      </c>
      <c r="C136" s="22" t="inlineStr">
        <is>
          <t>11041</t>
        </is>
      </c>
      <c r="D136" s="22" t="inlineStr">
        <is>
          <t>Ножиці для трави з Серво-системою Фіскарс Fiskars GS42 113680 (1000589) Фінляндія</t>
        </is>
      </c>
      <c r="E136" s="23" t="n">
        <v>2099</v>
      </c>
    </row>
    <row r="137">
      <c r="A137" s="22" t="inlineStr">
        <is>
          <t>Водоспад</t>
        </is>
      </c>
      <c r="B137" s="22" t="inlineStr">
        <is>
          <t>1001564</t>
        </is>
      </c>
      <c r="C137" s="22" t="inlineStr">
        <is>
          <t>32161</t>
        </is>
      </c>
      <c r="D137" s="22" t="inlineStr">
        <is>
          <t>Ножиці для живоплоту Фіскарс / Fiskars PowerLever HS52 114750 (1001564) Фінляндія</t>
        </is>
      </c>
      <c r="E137" s="23" t="n">
        <v>2899</v>
      </c>
    </row>
    <row r="138">
      <c r="A138" s="22" t="inlineStr">
        <is>
          <t>Клуб Рослин</t>
        </is>
      </c>
      <c r="B138" s="22" t="inlineStr">
        <is>
          <t>1001564</t>
        </is>
      </c>
      <c r="C138" s="22" t="inlineStr">
        <is>
          <t>11025</t>
        </is>
      </c>
      <c r="D138" s="22" t="inlineStr">
        <is>
          <t>Ножиці для живоплоту Фіскарс / Fiskars PowerLever HS52 114750 (1001564) Фінляндія</t>
        </is>
      </c>
      <c r="E138" s="23" t="n">
        <v>2899</v>
      </c>
    </row>
    <row r="139">
      <c r="A139" s="22" t="inlineStr">
        <is>
          <t>Водоспад</t>
        </is>
      </c>
      <c r="B139" s="22" t="inlineStr">
        <is>
          <t>1013565</t>
        </is>
      </c>
      <c r="C139" s="22" t="inlineStr">
        <is>
          <t>39775</t>
        </is>
      </c>
      <c r="D139" s="22" t="inlineStr">
        <is>
          <t>Ножиці для живоплоту телескопічні Фіскарс / Fiskars SmartFit HS86 114800 (1013565) Фінляндія</t>
        </is>
      </c>
      <c r="E139" s="23" t="n">
        <v>4299</v>
      </c>
    </row>
    <row r="140">
      <c r="A140" s="22" t="inlineStr">
        <is>
          <t>Клуб Рослин</t>
        </is>
      </c>
      <c r="B140" s="22" t="inlineStr">
        <is>
          <t>1013565</t>
        </is>
      </c>
      <c r="C140" s="22" t="inlineStr">
        <is>
          <t>11028</t>
        </is>
      </c>
      <c r="D140" s="22" t="inlineStr">
        <is>
          <t>Ножиці для живоплоту телескопічні Фіскарс / Fiskars SmartFit HS86 114800 (1013565) Фінляндія</t>
        </is>
      </c>
      <c r="E140" s="23" t="n">
        <v>4299</v>
      </c>
    </row>
    <row r="141">
      <c r="A141" s="22" t="inlineStr">
        <is>
          <t>Водоспад</t>
        </is>
      </c>
      <c r="B141" s="22" t="inlineStr">
        <is>
          <t>1000640</t>
        </is>
      </c>
      <c r="C141" s="22" t="inlineStr">
        <is>
          <t>37408</t>
        </is>
      </c>
      <c r="D141" s="22" t="inlineStr">
        <is>
          <t>Бур садовий Фіскарс Fiskars QuikDrill L великий 134730 (1000640) Фінляндія</t>
        </is>
      </c>
      <c r="E141" s="23" t="n">
        <v>4190</v>
      </c>
    </row>
    <row r="142">
      <c r="A142" s="22" t="inlineStr">
        <is>
          <t>Клуб Рослин</t>
        </is>
      </c>
      <c r="B142" s="22" t="inlineStr">
        <is>
          <t>1000640</t>
        </is>
      </c>
      <c r="C142" s="22" t="inlineStr">
        <is>
          <t>11728</t>
        </is>
      </c>
      <c r="D142" s="22" t="inlineStr">
        <is>
          <t>Бур садовий Фіскарс Fiskars QuikDrill L великий 134730 (1000640) Фінляндія</t>
        </is>
      </c>
      <c r="E142" s="23" t="n">
        <v>4190</v>
      </c>
    </row>
    <row r="143">
      <c r="A143" s="22" t="inlineStr">
        <is>
          <t>Водоспад</t>
        </is>
      </c>
      <c r="B143" s="22" t="inlineStr">
        <is>
          <t>1000654</t>
        </is>
      </c>
      <c r="C143" s="22" t="inlineStr">
        <is>
          <t>32281</t>
        </is>
      </c>
      <c r="D143" s="22" t="inlineStr">
        <is>
          <t>Граблі для грунту 16 зубів Fiskars QuikFit 135512 (1000654) Фінляндія</t>
        </is>
      </c>
      <c r="E143" s="23" t="n">
        <v>1269</v>
      </c>
    </row>
    <row r="144">
      <c r="A144" s="22" t="inlineStr">
        <is>
          <t>Клуб Рослин</t>
        </is>
      </c>
      <c r="B144" s="22" t="inlineStr">
        <is>
          <t>1000654</t>
        </is>
      </c>
      <c r="C144" s="22" t="inlineStr">
        <is>
          <t>8923</t>
        </is>
      </c>
      <c r="D144" s="22" t="inlineStr">
        <is>
          <t>Граблі для грунту 16 зубів Fiskars QuikFit 135512 (1000654) Фінляндія</t>
        </is>
      </c>
      <c r="E144" s="23" t="n">
        <v>1269</v>
      </c>
    </row>
    <row r="145">
      <c r="A145" s="22" t="inlineStr">
        <is>
          <t>Водоспад</t>
        </is>
      </c>
      <c r="B145" s="22" t="inlineStr">
        <is>
          <t>1001426</t>
        </is>
      </c>
      <c r="C145" s="22" t="inlineStr">
        <is>
          <t>32515</t>
        </is>
      </c>
      <c r="D145" s="22" t="inlineStr">
        <is>
          <t>Гілкоріз площинний великий Фіскарс Fiskars SingleStep L38 112460 (1001426) Фінляндія</t>
        </is>
      </c>
      <c r="E145" s="23" t="n">
        <v>2299</v>
      </c>
    </row>
    <row r="146">
      <c r="A146" s="22" t="inlineStr">
        <is>
          <t>Клуб Рослин</t>
        </is>
      </c>
      <c r="B146" s="22" t="inlineStr">
        <is>
          <t>1001426</t>
        </is>
      </c>
      <c r="C146" s="22" t="inlineStr">
        <is>
          <t>12559</t>
        </is>
      </c>
      <c r="D146" s="22" t="inlineStr">
        <is>
          <t>Гілкоріз площинний великий Фіскарс Fiskars SingleStep L38 112460 (1001426) Фінляндія</t>
        </is>
      </c>
      <c r="E146" s="23" t="n">
        <v>2299</v>
      </c>
    </row>
    <row r="147">
      <c r="A147" s="22" t="inlineStr">
        <is>
          <t>Водоспад</t>
        </is>
      </c>
      <c r="B147" s="22" t="inlineStr">
        <is>
          <t>1000638</t>
        </is>
      </c>
      <c r="C147" s="22" t="inlineStr">
        <is>
          <t>32260</t>
        </is>
      </c>
      <c r="D147" s="22" t="inlineStr">
        <is>
          <t>Бур садовий Фіскарс Fiskars QuikDrill M середній 134720 (1000638) Фінляндія</t>
        </is>
      </c>
      <c r="E147" s="23" t="n">
        <v>3799</v>
      </c>
    </row>
    <row r="148">
      <c r="A148" s="22" t="inlineStr">
        <is>
          <t>Клуб Рослин</t>
        </is>
      </c>
      <c r="B148" s="22" t="inlineStr">
        <is>
          <t>1000638</t>
        </is>
      </c>
      <c r="C148" s="22" t="inlineStr">
        <is>
          <t>11727</t>
        </is>
      </c>
      <c r="D148" s="22" t="inlineStr">
        <is>
          <t>Бур садовий Фіскарс Fiskars QuikDrill M середній 134720 (1000638) Фінляндія</t>
        </is>
      </c>
      <c r="E148" s="23" t="n">
        <v>3799</v>
      </c>
    </row>
    <row r="149">
      <c r="A149" s="22" t="inlineStr">
        <is>
          <t>Водоспад</t>
        </is>
      </c>
      <c r="B149" s="22" t="inlineStr">
        <is>
          <t>1000727</t>
        </is>
      </c>
      <c r="C149" s="22" t="inlineStr">
        <is>
          <t>33604</t>
        </is>
      </c>
      <c r="D149" s="22" t="inlineStr">
        <is>
          <t>Совок для розсади Фіскарс / Fiskars Premium 137210 (1000727) Фінляндія</t>
        </is>
      </c>
      <c r="E149" s="23" t="n">
        <v>699</v>
      </c>
    </row>
    <row r="150">
      <c r="A150" s="22" t="inlineStr">
        <is>
          <t>Клуб Рослин</t>
        </is>
      </c>
      <c r="B150" s="22" t="inlineStr">
        <is>
          <t>1000727</t>
        </is>
      </c>
      <c r="C150" s="22" t="inlineStr">
        <is>
          <t>12300</t>
        </is>
      </c>
      <c r="D150" s="22" t="inlineStr">
        <is>
          <t>Совок для розсади Фіскарс / Fiskars Premium 137210 (1000727) Фінляндія</t>
        </is>
      </c>
      <c r="E150" s="23" t="n">
        <v>699</v>
      </c>
    </row>
    <row r="151">
      <c r="A151" s="22" t="inlineStr">
        <is>
          <t>Клуб Рослин</t>
        </is>
      </c>
      <c r="B151" s="22" t="inlineStr">
        <is>
          <t>1001556</t>
        </is>
      </c>
      <c r="C151" s="22" t="inlineStr">
        <is>
          <t>12537</t>
        </is>
      </c>
      <c r="D151" s="22" t="inlineStr">
        <is>
          <t>Гілкоріз малий контактний Фіскарс Fiskars PowerGear (S) L71 112180 (1001556) Фінляндія</t>
        </is>
      </c>
      <c r="E151" s="23" t="n">
        <v>2249</v>
      </c>
    </row>
    <row r="152">
      <c r="A152" s="22" t="inlineStr">
        <is>
          <t>Клуб Рослин</t>
        </is>
      </c>
      <c r="B152" s="22" t="inlineStr">
        <is>
          <t>111670</t>
        </is>
      </c>
      <c r="C152" s="22" t="inlineStr">
        <is>
          <t>11931</t>
        </is>
      </c>
      <c r="D152" s="22" t="inlineStr">
        <is>
          <t>Секатор із храповим механізмом Фіскарс / Fiskars PowerStep P83 (111670) Фінляндія</t>
        </is>
      </c>
      <c r="E152" s="23" t="n">
        <v>2049</v>
      </c>
    </row>
    <row r="153">
      <c r="A153" s="22" t="inlineStr">
        <is>
          <t>Водоспад</t>
        </is>
      </c>
      <c r="B153" s="22" t="inlineStr">
        <is>
          <t>136001</t>
        </is>
      </c>
      <c r="C153" s="22" t="inlineStr">
        <is>
          <t>32273</t>
        </is>
      </c>
      <c r="D153" s="22" t="inlineStr">
        <is>
          <t>Штанга Фіскарс Fiskars QuikFit (L) 1560 мм 1000661 (136001) Фінляндія</t>
        </is>
      </c>
      <c r="E153" s="23" t="n">
        <v>1049</v>
      </c>
    </row>
    <row r="154">
      <c r="A154" s="22" t="inlineStr">
        <is>
          <t>Клуб Рослин</t>
        </is>
      </c>
      <c r="B154" s="22" t="inlineStr">
        <is>
          <t>136001</t>
        </is>
      </c>
      <c r="C154" s="22" t="inlineStr">
        <is>
          <t>9044</t>
        </is>
      </c>
      <c r="D154" s="22" t="inlineStr">
        <is>
          <t>Штанга Фіскарс Fiskars QuikFit (L) 1560 мм 1000661 (136001) Фінляндія</t>
        </is>
      </c>
      <c r="E154" s="23" t="n">
        <v>1049</v>
      </c>
    </row>
    <row r="155">
      <c r="A155" s="22" t="inlineStr">
        <is>
          <t>Водоспад</t>
        </is>
      </c>
      <c r="B155" s="22" t="inlineStr">
        <is>
          <t>1026293</t>
        </is>
      </c>
      <c r="C155" s="22" t="inlineStr">
        <is>
          <t>32687</t>
        </is>
      </c>
      <c r="D155" s="22" t="inlineStr">
        <is>
          <t>Лезо та роз'єм ланки ланцюга універсальні для висоторізів Fiskars (1026293) Фінляндія</t>
        </is>
      </c>
      <c r="E155" s="23" t="n">
        <v>1777</v>
      </c>
    </row>
    <row r="156">
      <c r="A156" s="22" t="inlineStr">
        <is>
          <t>Водоспад</t>
        </is>
      </c>
      <c r="B156" s="22" t="inlineStr">
        <is>
          <t>1027525</t>
        </is>
      </c>
      <c r="C156" s="22" t="inlineStr">
        <is>
          <t>39829</t>
        </is>
      </c>
      <c r="D156" s="22" t="inlineStr">
        <is>
          <t>Ремкомплект мотузок для висоторізів Fiskars UP82 UPX82 (115360) 1027525</t>
        </is>
      </c>
      <c r="E156" s="23" t="n">
        <v>1777</v>
      </c>
    </row>
    <row r="157">
      <c r="A157" s="22" t="inlineStr">
        <is>
          <t>Клуб Рослин</t>
        </is>
      </c>
      <c r="B157" s="22" t="inlineStr">
        <is>
          <t>1027525</t>
        </is>
      </c>
      <c r="C157" s="22" t="inlineStr">
        <is>
          <t>12534</t>
        </is>
      </c>
      <c r="D157" s="22" t="inlineStr">
        <is>
          <t>Ремкомплект мотузок для висоторізів Fiskars UP82 UPX82 (115360) 1027525</t>
        </is>
      </c>
      <c r="E157" s="23" t="n">
        <v>1777</v>
      </c>
    </row>
    <row r="158">
      <c r="A158" s="22" t="inlineStr">
        <is>
          <t>Водоспад</t>
        </is>
      </c>
      <c r="B158" s="22" t="inlineStr">
        <is>
          <t>1027526</t>
        </is>
      </c>
      <c r="C158" s="22" t="inlineStr">
        <is>
          <t>32686</t>
        </is>
      </c>
      <c r="D158" s="22" t="inlineStr">
        <is>
          <t>Ремкомплект мотузок для висоторізів Fiskars UPX82 UP84 UPX86 (115560) 1027526</t>
        </is>
      </c>
      <c r="E158" s="23" t="n">
        <v>1777</v>
      </c>
    </row>
    <row r="159">
      <c r="A159" s="22" t="inlineStr">
        <is>
          <t>Клуб Рослин</t>
        </is>
      </c>
      <c r="B159" s="22" t="inlineStr">
        <is>
          <t>1027526</t>
        </is>
      </c>
      <c r="C159" s="22" t="inlineStr">
        <is>
          <t>12603</t>
        </is>
      </c>
      <c r="D159" s="22" t="inlineStr">
        <is>
          <t>Ремкомплект мотузок для висоторізів Fiskars UPX82 UP84 UPX86 (115560) 1027526</t>
        </is>
      </c>
      <c r="E159" s="23" t="n">
        <v>1777</v>
      </c>
    </row>
    <row r="160">
      <c r="A160" s="22" t="inlineStr">
        <is>
          <t>Водоспад</t>
        </is>
      </c>
      <c r="B160" s="22" t="inlineStr">
        <is>
          <t>1026297</t>
        </is>
      </c>
      <c r="C160" s="22" t="inlineStr">
        <is>
          <t>37434</t>
        </is>
      </c>
      <c r="D160" s="22" t="inlineStr">
        <is>
          <t>Ремкомплект ручок та мотузок для універсального сучкоріза Фіскарс Fiskars UPX82 (1026297)</t>
        </is>
      </c>
      <c r="E160" s="23" t="n">
        <v>1777</v>
      </c>
    </row>
    <row r="161">
      <c r="A161" s="22" t="inlineStr">
        <is>
          <t>Водоспад</t>
        </is>
      </c>
      <c r="B161" s="22" t="inlineStr">
        <is>
          <t>CUC-0.8-600</t>
        </is>
      </c>
      <c r="C161" s="22" t="inlineStr">
        <is>
          <t>37107</t>
        </is>
      </c>
      <c r="D161" s="22" t="inlineStr">
        <is>
          <t>Колун Bahco CUC-0.8-600 Бахо</t>
        </is>
      </c>
      <c r="E161" s="23" t="n">
        <v>2070</v>
      </c>
    </row>
    <row r="162">
      <c r="A162" s="22" t="inlineStr">
        <is>
          <t>Клуб Рослин</t>
        </is>
      </c>
      <c r="B162" s="22" t="inlineStr">
        <is>
          <t>CUC-0.8-600</t>
        </is>
      </c>
      <c r="C162" s="22" t="inlineStr">
        <is>
          <t>12346</t>
        </is>
      </c>
      <c r="D162" s="22" t="inlineStr">
        <is>
          <t>Колун Bahco CUC-0.8-600 Бахо</t>
        </is>
      </c>
      <c r="E162" s="23" t="n">
        <v>2070</v>
      </c>
    </row>
    <row r="163">
      <c r="A163" s="22" t="inlineStr">
        <is>
          <t>Водоспад</t>
        </is>
      </c>
      <c r="B163" s="22" t="inlineStr">
        <is>
          <t>1026930</t>
        </is>
      </c>
      <c r="C163" s="22" t="inlineStr">
        <is>
          <t>39748</t>
        </is>
      </c>
      <c r="D163" s="22" t="inlineStr">
        <is>
          <t>Гілкоріз малий контактний Фіскарс Fiskars PowerGear (S) L32 (1026930) Фінляндія</t>
        </is>
      </c>
      <c r="E163" s="23" t="n">
        <v>2699</v>
      </c>
    </row>
    <row r="164">
      <c r="A164" s="22" t="inlineStr">
        <is>
          <t>Водоспад</t>
        </is>
      </c>
      <c r="B164" s="22" t="inlineStr">
        <is>
          <t>1000675</t>
        </is>
      </c>
      <c r="C164" s="22" t="inlineStr">
        <is>
          <t>37406</t>
        </is>
      </c>
      <c r="D164" s="22" t="inlineStr">
        <is>
          <t>Сапка для прополки Фискарс Fiskars Ergonomic полегшена 136500 (1000675) Фінляндія</t>
        </is>
      </c>
      <c r="E164" s="23" t="n">
        <v>1399</v>
      </c>
    </row>
    <row r="165">
      <c r="A165" s="22" t="inlineStr">
        <is>
          <t>Клуб Рослин</t>
        </is>
      </c>
      <c r="B165" s="22" t="inlineStr">
        <is>
          <t>1000675</t>
        </is>
      </c>
      <c r="C165" s="22" t="inlineStr">
        <is>
          <t>11775</t>
        </is>
      </c>
      <c r="D165" s="22" t="inlineStr">
        <is>
          <t>Сапка для прополки Фискарс Fiskars Ergonomic полегшена 136500 (1000675) Фінляндія</t>
        </is>
      </c>
      <c r="E165" s="23" t="n">
        <v>1399</v>
      </c>
    </row>
    <row r="166">
      <c r="A166" s="22" t="inlineStr">
        <is>
          <t>Водоспад</t>
        </is>
      </c>
      <c r="B166" s="22" t="inlineStr">
        <is>
          <t>1000636</t>
        </is>
      </c>
      <c r="C166" s="22" t="inlineStr">
        <is>
          <t>37407</t>
        </is>
      </c>
      <c r="D166" s="22" t="inlineStr">
        <is>
          <t>Бур садовий Фіскарс Fiskars QuikDrill S малий 134710 (1000636) Фінляндія</t>
        </is>
      </c>
      <c r="E166" s="23" t="n">
        <v>3399</v>
      </c>
    </row>
    <row r="167">
      <c r="A167" s="22" t="inlineStr">
        <is>
          <t>Клуб Рослин</t>
        </is>
      </c>
      <c r="B167" s="22" t="inlineStr">
        <is>
          <t>1000636</t>
        </is>
      </c>
      <c r="C167" s="22" t="inlineStr">
        <is>
          <t>11726</t>
        </is>
      </c>
      <c r="D167" s="22" t="inlineStr">
        <is>
          <t>Бур садовий Фіскарс Fiskars QuikDrill S малий 134710 (1000636) Фінляндія</t>
        </is>
      </c>
      <c r="E167" s="23" t="n">
        <v>3399</v>
      </c>
    </row>
    <row r="168">
      <c r="A168" s="22" t="inlineStr">
        <is>
          <t>Клуб Рослин</t>
        </is>
      </c>
      <c r="B168" s="22" t="inlineStr">
        <is>
          <t>P11</t>
        </is>
      </c>
      <c r="C168" s="22" t="inlineStr">
        <is>
          <t>10983</t>
        </is>
      </c>
      <c r="D168" s="22" t="inlineStr">
        <is>
          <t>Ніж для щеплення P11 Bahco</t>
        </is>
      </c>
      <c r="E168" s="23" t="n">
        <v>1559</v>
      </c>
    </row>
    <row r="169">
      <c r="A169" s="22" t="inlineStr">
        <is>
          <t>Водоспад</t>
        </is>
      </c>
      <c r="B169" s="22" t="inlineStr">
        <is>
          <t>1026296</t>
        </is>
      </c>
      <c r="C169" s="22" t="inlineStr">
        <is>
          <t>36456</t>
        </is>
      </c>
      <c r="D169" s="22" t="inlineStr">
        <is>
          <t>Ремкомплект ручок та мотузок для універсального сучкоріза Фіскарс Fiskars UPX86 (1026296)</t>
        </is>
      </c>
      <c r="E169" s="23" t="n">
        <v>1777</v>
      </c>
    </row>
    <row r="170">
      <c r="A170" s="22" t="inlineStr">
        <is>
          <t>Водоспад</t>
        </is>
      </c>
      <c r="B170" s="22" t="inlineStr">
        <is>
          <t>1027017</t>
        </is>
      </c>
      <c r="C170" s="22" t="inlineStr">
        <is>
          <t>39687</t>
        </is>
      </c>
      <c r="D170" s="22" t="inlineStr">
        <is>
          <t>Садовий совок Фіскарс / Fiskars Ergo (1027017) Фінляндія</t>
        </is>
      </c>
      <c r="E170" s="23" t="n">
        <v>699</v>
      </c>
    </row>
    <row r="171">
      <c r="A171" s="22" t="inlineStr">
        <is>
          <t>Водоспад</t>
        </is>
      </c>
      <c r="B171" s="22" t="inlineStr">
        <is>
          <t>1027018</t>
        </is>
      </c>
      <c r="C171" s="22" t="inlineStr">
        <is>
          <t>39688</t>
        </is>
      </c>
      <c r="D171" s="22" t="inlineStr">
        <is>
          <t>Садовий совок Фіскарс / Fiskars Ergo (1027018) Фінляндія</t>
        </is>
      </c>
      <c r="E171" s="23" t="n">
        <v>699</v>
      </c>
    </row>
    <row r="172">
      <c r="A172" s="22" t="inlineStr">
        <is>
          <t>Водоспад</t>
        </is>
      </c>
      <c r="B172" s="22" t="inlineStr">
        <is>
          <t>1000641</t>
        </is>
      </c>
      <c r="C172" s="22" t="inlineStr">
        <is>
          <t>32262</t>
        </is>
      </c>
      <c r="D172" s="22" t="inlineStr">
        <is>
          <t>Леза для бура Fiskars QuikDrill PlusPart Part L великі 200 мм 134737 (1000641) Фінляндія</t>
        </is>
      </c>
      <c r="E172" s="23" t="n">
        <v>1299</v>
      </c>
    </row>
    <row r="173">
      <c r="A173" s="22" t="inlineStr">
        <is>
          <t>Клуб Рослин</t>
        </is>
      </c>
      <c r="B173" s="22" t="inlineStr">
        <is>
          <t>1000641</t>
        </is>
      </c>
      <c r="C173" s="22" t="inlineStr">
        <is>
          <t>10403</t>
        </is>
      </c>
      <c r="D173" s="22" t="inlineStr">
        <is>
          <t>Леза для бура Fiskars QuikDrill PlusPart Part L великі 200 мм 134737 (1000641) Фінляндія</t>
        </is>
      </c>
      <c r="E173" s="23" t="n">
        <v>1299</v>
      </c>
    </row>
    <row r="174">
      <c r="A174" s="22" t="inlineStr">
        <is>
          <t>Водоспад</t>
        </is>
      </c>
      <c r="B174" s="22" t="inlineStr">
        <is>
          <t>1026295</t>
        </is>
      </c>
      <c r="C174" s="22" t="inlineStr">
        <is>
          <t>36466</t>
        </is>
      </c>
      <c r="D174" s="22" t="inlineStr">
        <is>
          <t>Ріжуча головка для висоторізів Fiskars UPX82 / UPX86 (1026295) Фінляндія</t>
        </is>
      </c>
      <c r="E174" s="23" t="n">
        <v>2899</v>
      </c>
    </row>
    <row r="175">
      <c r="A175" s="22" t="inlineStr">
        <is>
          <t>Водоспад</t>
        </is>
      </c>
      <c r="B175" s="22" t="inlineStr">
        <is>
          <t>PG-M2-F</t>
        </is>
      </c>
      <c r="C175" s="22" t="inlineStr">
        <is>
          <t>31919</t>
        </is>
      </c>
      <c r="D175" s="22" t="inlineStr">
        <is>
          <t>Секатор Bahco (M) PG-M2-F для обрізки саду, винограду, троянд</t>
        </is>
      </c>
      <c r="E175" s="23" t="n">
        <v>1875</v>
      </c>
    </row>
    <row r="176">
      <c r="A176" s="22" t="inlineStr">
        <is>
          <t>Водоспад</t>
        </is>
      </c>
      <c r="B176" s="22" t="inlineStr">
        <is>
          <t>1000584</t>
        </is>
      </c>
      <c r="C176" s="22" t="inlineStr">
        <is>
          <t>32154</t>
        </is>
      </c>
      <c r="D176" s="22" t="inlineStr">
        <is>
          <t>Гілкоріз великий площинний Фіскарс / Fiskars PowerGear (L) L78 112590 (1000584) Фінляндія</t>
        </is>
      </c>
      <c r="E176" s="23" t="n">
        <v>2999</v>
      </c>
    </row>
    <row r="177">
      <c r="A177" s="22" t="inlineStr">
        <is>
          <t>Клуб Рослин</t>
        </is>
      </c>
      <c r="B177" s="22" t="inlineStr">
        <is>
          <t>1000584</t>
        </is>
      </c>
      <c r="C177" s="22" t="inlineStr">
        <is>
          <t>12544</t>
        </is>
      </c>
      <c r="D177" s="22" t="inlineStr">
        <is>
          <t>Гілкоріз великий площинний Фіскарс / Fiskars PowerGear (L) L78 112590 (1000584) Фінляндія</t>
        </is>
      </c>
      <c r="E177" s="23" t="n">
        <v>2999</v>
      </c>
    </row>
    <row r="178">
      <c r="A178" s="22" t="inlineStr">
        <is>
          <t>Водоспад</t>
        </is>
      </c>
      <c r="B178" s="22" t="inlineStr">
        <is>
          <t>1000637</t>
        </is>
      </c>
      <c r="C178" s="22" t="inlineStr">
        <is>
          <t>32261</t>
        </is>
      </c>
      <c r="D178" s="22" t="inlineStr">
        <is>
          <t>Леза для бура Fiskars QuikDrill PlusPart S малі 100 мм 134717 (1000637) Фінляндія</t>
        </is>
      </c>
      <c r="E178" s="23" t="n">
        <v>999</v>
      </c>
    </row>
    <row r="179">
      <c r="A179" s="22" t="inlineStr">
        <is>
          <t>Клуб Рослин</t>
        </is>
      </c>
      <c r="B179" s="22" t="inlineStr">
        <is>
          <t>1000637</t>
        </is>
      </c>
      <c r="C179" s="22" t="inlineStr">
        <is>
          <t>10401</t>
        </is>
      </c>
      <c r="D179" s="22" t="inlineStr">
        <is>
          <t>Леза для бура Fiskars QuikDrill PlusPart S малі 100 мм 134717 (1000637) Фінляндія</t>
        </is>
      </c>
      <c r="E179" s="23" t="n">
        <v>999</v>
      </c>
    </row>
    <row r="180">
      <c r="A180" s="22" t="inlineStr">
        <is>
          <t>Водоспад</t>
        </is>
      </c>
      <c r="B180" s="22" t="inlineStr">
        <is>
          <t>1000582</t>
        </is>
      </c>
      <c r="C180" s="22" t="inlineStr">
        <is>
          <t>32150</t>
        </is>
      </c>
      <c r="D180" s="22" t="inlineStr">
        <is>
          <t>Гілкоріз площинний Фіскарс Fiskars PowerGear (M) L74 112290 (1000582) Фінляндія</t>
        </is>
      </c>
      <c r="E180" s="23" t="n">
        <v>2699</v>
      </c>
    </row>
    <row r="181">
      <c r="A181" s="22" t="inlineStr">
        <is>
          <t>Клуб Рослин</t>
        </is>
      </c>
      <c r="B181" s="22" t="inlineStr">
        <is>
          <t>1000582</t>
        </is>
      </c>
      <c r="C181" s="22" t="inlineStr">
        <is>
          <t>12541</t>
        </is>
      </c>
      <c r="D181" s="22" t="inlineStr">
        <is>
          <t>Гілкоріз площинний Фіскарс Fiskars PowerGear (M) L74 112290 (1000582) Фінляндія</t>
        </is>
      </c>
      <c r="E181" s="23" t="n">
        <v>2699</v>
      </c>
    </row>
    <row r="182">
      <c r="A182" s="22" t="inlineStr">
        <is>
          <t>Водоспад</t>
        </is>
      </c>
      <c r="B182" s="22" t="inlineStr">
        <is>
          <t>SUC-1.7-800</t>
        </is>
      </c>
      <c r="C182" s="22" t="inlineStr">
        <is>
          <t>37111</t>
        </is>
      </c>
      <c r="D182" s="22" t="inlineStr">
        <is>
          <t>Колун Bahco SUC-1.7-800 Бахо</t>
        </is>
      </c>
      <c r="E182" s="23" t="n">
        <v>2948</v>
      </c>
    </row>
    <row r="183">
      <c r="A183" s="22" t="inlineStr">
        <is>
          <t>Клуб Рослин</t>
        </is>
      </c>
      <c r="B183" s="22" t="inlineStr">
        <is>
          <t>SUC-1.7-800</t>
        </is>
      </c>
      <c r="C183" s="22" t="inlineStr">
        <is>
          <t>12352</t>
        </is>
      </c>
      <c r="D183" s="22" t="inlineStr">
        <is>
          <t>Колун Bahco SUC-1.7-800 Бахо</t>
        </is>
      </c>
      <c r="E183" s="23" t="n">
        <v>2948</v>
      </c>
    </row>
    <row r="184">
      <c r="A184" s="22" t="inlineStr">
        <is>
          <t>Водоспад</t>
        </is>
      </c>
      <c r="B184" s="22" t="inlineStr">
        <is>
          <t>396-LAP</t>
        </is>
      </c>
      <c r="C184" s="22" t="inlineStr">
        <is>
          <t>31936</t>
        </is>
      </c>
      <c r="D184" s="22" t="inlineStr">
        <is>
          <t>Ножівка складна Bahco 396-LAP</t>
        </is>
      </c>
      <c r="E184" s="23" t="n">
        <v>1350</v>
      </c>
    </row>
    <row r="185">
      <c r="A185" s="22" t="inlineStr">
        <is>
          <t>Клуб Рослин</t>
        </is>
      </c>
      <c r="B185" s="22" t="inlineStr">
        <is>
          <t>396-LAP</t>
        </is>
      </c>
      <c r="C185" s="22" t="inlineStr">
        <is>
          <t>11452</t>
        </is>
      </c>
      <c r="D185" s="22" t="inlineStr">
        <is>
          <t>Ножівка складна Bahco 396-LAP</t>
        </is>
      </c>
      <c r="E185" s="23" t="n">
        <v>1350</v>
      </c>
    </row>
    <row r="186">
      <c r="A186" s="22" t="inlineStr">
        <is>
          <t>Водоспад</t>
        </is>
      </c>
      <c r="B186" s="22" t="inlineStr">
        <is>
          <t>1020166</t>
        </is>
      </c>
      <c r="C186" s="22" t="inlineStr">
        <is>
          <t>37202</t>
        </is>
      </c>
      <c r="D186" s="22" t="inlineStr">
        <is>
          <t>Кирка Фіскарс / Fiskars Isocore L (1020166) Фінляндія</t>
        </is>
      </c>
      <c r="E186" s="23" t="n">
        <v>7799</v>
      </c>
    </row>
    <row r="187">
      <c r="A187" s="22" t="inlineStr">
        <is>
          <t>Водоспад</t>
        </is>
      </c>
      <c r="B187" s="22" t="inlineStr">
        <is>
          <t>1023632</t>
        </is>
      </c>
      <c r="C187" s="22" t="inlineStr">
        <is>
          <t>39712</t>
        </is>
      </c>
      <c r="D187" s="22" t="inlineStr">
        <is>
          <t>Ножиці для трави Фіскарс / Fiskars SmartFit GS40 (1023632) Фінляндія</t>
        </is>
      </c>
      <c r="E187" s="23" t="n">
        <v>1899</v>
      </c>
    </row>
    <row r="188">
      <c r="A188" s="22" t="inlineStr">
        <is>
          <t>Водоспад</t>
        </is>
      </c>
      <c r="B188" s="22" t="inlineStr">
        <is>
          <t>1003477</t>
        </is>
      </c>
      <c r="C188" s="22" t="inlineStr">
        <is>
          <t>37214</t>
        </is>
      </c>
      <c r="D188" s="22" t="inlineStr">
        <is>
          <t>Рукавички робочі садові (10/XL) Фіскарс / Fiskars 160004 (1003477) Фінляндія</t>
        </is>
      </c>
      <c r="E188" s="23" t="n">
        <v>1377</v>
      </c>
    </row>
    <row r="189">
      <c r="A189" s="22" t="inlineStr">
        <is>
          <t>Водоспад</t>
        </is>
      </c>
      <c r="B189" s="22" t="inlineStr">
        <is>
          <t>1003478</t>
        </is>
      </c>
      <c r="C189" s="22" t="inlineStr">
        <is>
          <t>37213</t>
        </is>
      </c>
      <c r="D189" s="22" t="inlineStr">
        <is>
          <t>Рукавички робочі садові (8/М) Фіскарс / Fiskars 160005 (1003478) Фінляндія</t>
        </is>
      </c>
      <c r="E189" s="23" t="n">
        <v>1377</v>
      </c>
    </row>
    <row r="190">
      <c r="A190" s="22" t="inlineStr">
        <is>
          <t>Водоспад</t>
        </is>
      </c>
      <c r="B190" s="22" t="inlineStr">
        <is>
          <t>SUC-1.0-710</t>
        </is>
      </c>
      <c r="C190" s="22" t="inlineStr">
        <is>
          <t>37110</t>
        </is>
      </c>
      <c r="D190" s="22" t="inlineStr">
        <is>
          <t>Колун Bahco SUC-1.0-710 Бахо</t>
        </is>
      </c>
      <c r="E190" s="23" t="n">
        <v>2475</v>
      </c>
    </row>
    <row r="191">
      <c r="A191" s="22" t="inlineStr">
        <is>
          <t>Клуб Рослин</t>
        </is>
      </c>
      <c r="B191" s="22" t="inlineStr">
        <is>
          <t>SUC-1.0-710</t>
        </is>
      </c>
      <c r="C191" s="22" t="inlineStr">
        <is>
          <t>12351</t>
        </is>
      </c>
      <c r="D191" s="22" t="inlineStr">
        <is>
          <t>Колун Bahco SUC-1.0-710 Бахо</t>
        </is>
      </c>
      <c r="E191" s="23" t="n">
        <v>2475</v>
      </c>
    </row>
    <row r="192">
      <c r="A192" s="22" t="inlineStr">
        <is>
          <t>Водоспад</t>
        </is>
      </c>
      <c r="B192" s="22" t="inlineStr">
        <is>
          <t>1051602</t>
        </is>
      </c>
      <c r="C192" s="22" t="inlineStr">
        <is>
          <t>39738</t>
        </is>
      </c>
      <c r="D192" s="22" t="inlineStr">
        <is>
          <t>Ножиці для квітів Фіскарс / Fiskars Solid Pruning shears SP15 (1051602) Фінляндія</t>
        </is>
      </c>
      <c r="E192" s="23" t="n">
        <v>849</v>
      </c>
    </row>
    <row r="193">
      <c r="A193" s="22" t="inlineStr">
        <is>
          <t>Водоспад</t>
        </is>
      </c>
      <c r="B193" s="22" t="inlineStr">
        <is>
          <t>1000614</t>
        </is>
      </c>
      <c r="C193" s="22" t="inlineStr">
        <is>
          <t>32191</t>
        </is>
      </c>
      <c r="D193" s="22" t="inlineStr">
        <is>
          <t>Пила садова Фіскарс Fiskars Xtract (L) SW75 123880 (1000614) Фінляндія</t>
        </is>
      </c>
      <c r="E193" s="23" t="n">
        <v>2099</v>
      </c>
    </row>
    <row r="194">
      <c r="A194" s="22" t="inlineStr">
        <is>
          <t>Клуб Рослин</t>
        </is>
      </c>
      <c r="B194" s="22" t="inlineStr">
        <is>
          <t>1000614</t>
        </is>
      </c>
      <c r="C194" s="22" t="inlineStr">
        <is>
          <t>11224</t>
        </is>
      </c>
      <c r="D194" s="22" t="inlineStr">
        <is>
          <t>Пила садова Фіскарс Fiskars Xtract (L) SW75 123880 (1000614) Фінляндія</t>
        </is>
      </c>
      <c r="E194" s="23" t="n">
        <v>2099</v>
      </c>
    </row>
    <row r="195">
      <c r="A195" s="22" t="inlineStr">
        <is>
          <t>Водоспад</t>
        </is>
      </c>
      <c r="B195" s="22" t="inlineStr">
        <is>
          <t>HFGPS-0.7-400FG</t>
        </is>
      </c>
      <c r="C195" s="22" t="inlineStr">
        <is>
          <t>31994</t>
        </is>
      </c>
      <c r="D195" s="22" t="inlineStr">
        <is>
          <t>Туристична сокира Bahco HFGPS-0.7-400FG Бахо</t>
        </is>
      </c>
      <c r="E195" s="23" t="n">
        <v>1614</v>
      </c>
    </row>
    <row r="196">
      <c r="A196" s="22" t="inlineStr">
        <is>
          <t>Клуб Рослин</t>
        </is>
      </c>
      <c r="B196" s="22" t="inlineStr">
        <is>
          <t>HFGPS-0.7-400FG</t>
        </is>
      </c>
      <c r="C196" s="22" t="inlineStr">
        <is>
          <t>12338</t>
        </is>
      </c>
      <c r="D196" s="22" t="inlineStr">
        <is>
          <t>Туристична сокира Bahco HFGPS-0.7-400FG Бахо</t>
        </is>
      </c>
      <c r="E196" s="23" t="n">
        <v>1614</v>
      </c>
    </row>
    <row r="197">
      <c r="A197" s="22" t="inlineStr">
        <is>
          <t>Водоспад</t>
        </is>
      </c>
      <c r="B197" s="22" t="inlineStr">
        <is>
          <t>NP-12-COM</t>
        </is>
      </c>
      <c r="C197" s="22" t="inlineStr">
        <is>
          <t>31982</t>
        </is>
      </c>
      <c r="D197" s="22" t="inlineStr">
        <is>
          <t>Ножівка викружна ​​​​​​​300 мм NP-12-COM Bahco</t>
        </is>
      </c>
      <c r="E197" s="23" t="n">
        <v>855</v>
      </c>
    </row>
    <row r="198">
      <c r="A198" s="22" t="inlineStr">
        <is>
          <t>Водоспад</t>
        </is>
      </c>
      <c r="B198" s="22" t="inlineStr">
        <is>
          <t>GS180F</t>
        </is>
      </c>
      <c r="C198" s="22" t="inlineStr">
        <is>
          <t>31955</t>
        </is>
      </c>
      <c r="D198" s="22" t="inlineStr">
        <is>
          <t>Ножиці для стрижки трави Bahco GS180F Бахо</t>
        </is>
      </c>
      <c r="E198" s="23" t="n">
        <v>1265</v>
      </c>
    </row>
    <row r="199">
      <c r="A199" s="22" t="inlineStr">
        <is>
          <t>Клуб Рослин</t>
        </is>
      </c>
      <c r="B199" s="22" t="inlineStr">
        <is>
          <t>GS180F</t>
        </is>
      </c>
      <c r="C199" s="22" t="inlineStr">
        <is>
          <t>11038</t>
        </is>
      </c>
      <c r="D199" s="22" t="inlineStr">
        <is>
          <t>Ножиці для стрижки трави Bahco GS180F Бахо</t>
        </is>
      </c>
      <c r="E199" s="23" t="n">
        <v>1265</v>
      </c>
    </row>
    <row r="200">
      <c r="A200" s="22" t="inlineStr">
        <is>
          <t>Водоспад</t>
        </is>
      </c>
      <c r="B200" s="22" t="inlineStr">
        <is>
          <t>P19-80-F</t>
        </is>
      </c>
      <c r="C200" s="22" t="inlineStr">
        <is>
          <t>31965</t>
        </is>
      </c>
      <c r="D200" s="22" t="inlineStr">
        <is>
          <t>Гілкоріз підвищеної потужності Bahco P19-80-F</t>
        </is>
      </c>
      <c r="E200" s="23" t="n">
        <v>6697</v>
      </c>
    </row>
    <row r="201">
      <c r="A201" s="22" t="inlineStr">
        <is>
          <t>Водоспад</t>
        </is>
      </c>
      <c r="B201" s="22" t="inlineStr">
        <is>
          <t>1026827</t>
        </is>
      </c>
      <c r="C201" s="22" t="inlineStr">
        <is>
          <t>39776</t>
        </is>
      </c>
      <c r="D201" s="22" t="inlineStr">
        <is>
          <t>Кущоріз Фіскарс Fiskars Solid HS21 (1026827) Фінляндія</t>
        </is>
      </c>
      <c r="E201" s="23" t="n">
        <v>1677</v>
      </c>
    </row>
    <row r="202">
      <c r="A202" s="22" t="inlineStr">
        <is>
          <t>Водоспад</t>
        </is>
      </c>
      <c r="B202" s="22" t="inlineStr">
        <is>
          <t>1020189</t>
        </is>
      </c>
      <c r="C202" s="22" t="inlineStr">
        <is>
          <t>39746</t>
        </is>
      </c>
      <c r="D202" s="22" t="inlineStr">
        <is>
          <t>Гілкоріз контактний Фіскарс / Fiskars PowerGearX (L) LX99 112440 (1020189) Фінляндія</t>
        </is>
      </c>
      <c r="E202" s="23" t="n">
        <v>5999</v>
      </c>
    </row>
    <row r="203">
      <c r="A203" s="22" t="inlineStr">
        <is>
          <t>Водоспад</t>
        </is>
      </c>
      <c r="B203" s="22" t="inlineStr">
        <is>
          <t>1020188</t>
        </is>
      </c>
      <c r="C203" s="22" t="inlineStr">
        <is>
          <t>39745</t>
        </is>
      </c>
      <c r="D203" s="22" t="inlineStr">
        <is>
          <t>Гілкоріз площинний Фіскарс / Fiskars PowerGearX (L) LX98 112490 (1020188) Фінляндія</t>
        </is>
      </c>
      <c r="E203" s="23" t="n">
        <v>5999</v>
      </c>
    </row>
    <row r="204">
      <c r="A204" s="22" t="inlineStr">
        <is>
          <t>Водоспад</t>
        </is>
      </c>
      <c r="B204" s="22" t="inlineStr">
        <is>
          <t>1020187</t>
        </is>
      </c>
      <c r="C204" s="22" t="inlineStr">
        <is>
          <t>39744</t>
        </is>
      </c>
      <c r="D204" s="22" t="inlineStr">
        <is>
          <t>Гілкоріз площинний Фіскарс / Fiskars PowerGearX M LX94 112390 (1020187) Фінляндія</t>
        </is>
      </c>
      <c r="E204" s="23" t="n">
        <v>4999</v>
      </c>
    </row>
    <row r="205">
      <c r="A205" s="22" t="inlineStr">
        <is>
          <t>Водоспад</t>
        </is>
      </c>
      <c r="B205" s="22" t="inlineStr">
        <is>
          <t>1002104</t>
        </is>
      </c>
      <c r="C205" s="22" t="inlineStr">
        <is>
          <t>32149</t>
        </is>
      </c>
      <c r="D205" s="22" t="inlineStr">
        <is>
          <t>Гілкоріз площинний посилений з гаком Фіскарс Fiskars PowerGear S L70 (1002104)</t>
        </is>
      </c>
      <c r="E205" s="23" t="n">
        <v>2999</v>
      </c>
    </row>
    <row r="206">
      <c r="A206" s="22" t="inlineStr">
        <is>
          <t>Водоспад</t>
        </is>
      </c>
      <c r="B206" s="22" t="inlineStr">
        <is>
          <t>1000621</t>
        </is>
      </c>
      <c r="C206" s="22" t="inlineStr">
        <is>
          <t>32269</t>
        </is>
      </c>
      <c r="D206" s="22" t="inlineStr">
        <is>
          <t>Лопата універсальна складна Фіскарс Fiskars 131320 (1000621) Фінляндія</t>
        </is>
      </c>
      <c r="E206" s="23" t="n">
        <v>3499</v>
      </c>
    </row>
    <row r="207">
      <c r="A207" s="22" t="inlineStr">
        <is>
          <t>Клуб Рослин</t>
        </is>
      </c>
      <c r="B207" s="22" t="inlineStr">
        <is>
          <t>1000621</t>
        </is>
      </c>
      <c r="C207" s="22" t="inlineStr">
        <is>
          <t>10528</t>
        </is>
      </c>
      <c r="D207" s="22" t="inlineStr">
        <is>
          <t>Лопата універсальна складна Фіскарс Fiskars 131320 (1000621) Фінляндія</t>
        </is>
      </c>
      <c r="E207" s="23" t="n">
        <v>3499</v>
      </c>
    </row>
    <row r="208">
      <c r="A208" s="22" t="inlineStr">
        <is>
          <t>Водоспад</t>
        </is>
      </c>
      <c r="B208" s="22" t="inlineStr">
        <is>
          <t>1001625</t>
        </is>
      </c>
      <c r="C208" s="22" t="inlineStr">
        <is>
          <t>32176</t>
        </is>
      </c>
      <c r="D208" s="22" t="inlineStr">
        <is>
          <t>Ніж для щеплення рослин Фіскарс Fiskars K60 125900 (1001625) Фінляндія</t>
        </is>
      </c>
      <c r="E208" s="23" t="n">
        <v>1149</v>
      </c>
    </row>
    <row r="209">
      <c r="A209" s="22" t="inlineStr">
        <is>
          <t>Водоспад</t>
        </is>
      </c>
      <c r="B209" s="22" t="inlineStr">
        <is>
          <t>1026797</t>
        </is>
      </c>
      <c r="C209" s="22" t="inlineStr">
        <is>
          <t>39545</t>
        </is>
      </c>
      <c r="D209" s="22" t="inlineStr">
        <is>
          <t>Точилка для сокир та ножів Фіскарс Fiskars Solid (1026797) Фінляндія</t>
        </is>
      </c>
      <c r="E209" s="23" t="n">
        <v>899</v>
      </c>
    </row>
    <row r="210">
      <c r="A210" s="22" t="inlineStr">
        <is>
          <t>Водоспад</t>
        </is>
      </c>
      <c r="B210" s="22" t="inlineStr">
        <is>
          <t>1000567</t>
        </is>
      </c>
      <c r="C210" s="22" t="inlineStr">
        <is>
          <t>32130</t>
        </is>
      </c>
      <c r="D210" s="22" t="inlineStr">
        <is>
          <t>Секатор площинний Фіскарс Fiskars Single Step P26 111260 (1000567) Фінляндія</t>
        </is>
      </c>
      <c r="E210" s="23" t="n">
        <v>699</v>
      </c>
    </row>
    <row r="211">
      <c r="A211" s="22" t="inlineStr">
        <is>
          <t>Клуб Рослин</t>
        </is>
      </c>
      <c r="B211" s="22" t="inlineStr">
        <is>
          <t>1000567</t>
        </is>
      </c>
      <c r="C211" s="22" t="inlineStr">
        <is>
          <t>11934</t>
        </is>
      </c>
      <c r="D211" s="22" t="inlineStr">
        <is>
          <t>Секатор площинний Фіскарс Fiskars Single Step P26 111260 (1000567) Фінляндія</t>
        </is>
      </c>
      <c r="E211" s="23" t="n">
        <v>699</v>
      </c>
    </row>
    <row r="212">
      <c r="A212" s="22" t="inlineStr">
        <is>
          <t>Водоспад</t>
        </is>
      </c>
      <c r="B212" s="22" t="inlineStr">
        <is>
          <t>1020199</t>
        </is>
      </c>
      <c r="C212" s="22" t="inlineStr">
        <is>
          <t>37353</t>
        </is>
      </c>
      <c r="D212" s="22" t="inlineStr">
        <is>
          <t>Пила садова Фіскарс Fiskars SW-330 123330 (1020199) Фінляндія</t>
        </is>
      </c>
      <c r="E212" s="23" t="n">
        <v>4399</v>
      </c>
    </row>
    <row r="213">
      <c r="A213" s="22" t="inlineStr">
        <is>
          <t>Клуб Рослин</t>
        </is>
      </c>
      <c r="B213" s="22" t="inlineStr">
        <is>
          <t>1000585</t>
        </is>
      </c>
      <c r="C213" s="22" t="inlineStr">
        <is>
          <t>12551</t>
        </is>
      </c>
      <c r="D213" s="22" t="inlineStr">
        <is>
          <t>Гілкоріз контактний з храповим механізмом Fiskars PowerStep L85 112850 (1000585) Фінляндія</t>
        </is>
      </c>
      <c r="E213" s="23" t="n">
        <v>2999</v>
      </c>
    </row>
    <row r="214">
      <c r="A214" s="22" t="inlineStr">
        <is>
          <t>Клуб Рослин</t>
        </is>
      </c>
      <c r="B214" s="22" t="inlineStr">
        <is>
          <t>7522</t>
        </is>
      </c>
      <c r="C214" s="22" t="inlineStr">
        <is>
          <t>9305</t>
        </is>
      </c>
      <c r="D214" s="22" t="inlineStr">
        <is>
          <t>Добриво GroGreen Грінта Старт NPK 13-40-13 + 1% FULVK + TE 25 кг Lima Бельгія</t>
        </is>
      </c>
      <c r="E214" s="23" t="n">
        <v>5198</v>
      </c>
    </row>
    <row r="215">
      <c r="A215" s="22" t="inlineStr">
        <is>
          <t>Клуб Рослин</t>
        </is>
      </c>
      <c r="B215" s="22" t="inlineStr">
        <is>
          <t>7445</t>
        </is>
      </c>
      <c r="C215" s="22" t="inlineStr">
        <is>
          <t>9305</t>
        </is>
      </c>
      <c r="D215" s="22" t="inlineStr">
        <is>
          <t>Добриво GroGreen NPK 13-40-13+TE 25 кг Lima Бельгія</t>
        </is>
      </c>
      <c r="E215" s="23" t="n">
        <v>5188</v>
      </c>
    </row>
    <row r="216">
      <c r="A216" s="22" t="inlineStr">
        <is>
          <t>Водоспад</t>
        </is>
      </c>
      <c r="B216" s="22" t="inlineStr">
        <is>
          <t>1001601</t>
        </is>
      </c>
      <c r="C216" s="22" t="inlineStr">
        <is>
          <t>32180</t>
        </is>
      </c>
      <c r="D216" s="22" t="inlineStr">
        <is>
          <t>Посадкова сапа Фіскарс Fiskars Solid 137040 (1001601) Фінляндія</t>
        </is>
      </c>
      <c r="E216" s="23" t="n">
        <v>349</v>
      </c>
    </row>
    <row r="217">
      <c r="A217" s="22" t="inlineStr">
        <is>
          <t>Клуб Рослин</t>
        </is>
      </c>
      <c r="B217" s="22" t="inlineStr">
        <is>
          <t>1001601</t>
        </is>
      </c>
      <c r="C217" s="22" t="inlineStr">
        <is>
          <t>12778</t>
        </is>
      </c>
      <c r="D217" s="22" t="inlineStr">
        <is>
          <t>Посадкова сапа Фіскарс Fiskars Solid 137040 (1001601) Фінляндія</t>
        </is>
      </c>
      <c r="E217" s="23" t="n">
        <v>349</v>
      </c>
    </row>
    <row r="218">
      <c r="A218" s="22" t="inlineStr">
        <is>
          <t>Водоспад</t>
        </is>
      </c>
      <c r="B218" s="22" t="inlineStr">
        <is>
          <t>1051600</t>
        </is>
      </c>
      <c r="C218" s="22" t="inlineStr">
        <is>
          <t>39739</t>
        </is>
      </c>
      <c r="D218" s="22" t="inlineStr">
        <is>
          <t>Ножиці для квітів Фіскарс / Fiskars Solid Micro-Tip SP13 (1051600) Фінляндія</t>
        </is>
      </c>
      <c r="E218" s="23" t="n">
        <v>799</v>
      </c>
    </row>
    <row r="219">
      <c r="A219" s="22" t="inlineStr">
        <is>
          <t>Водоспад</t>
        </is>
      </c>
      <c r="B219" s="22" t="inlineStr">
        <is>
          <t>1020204</t>
        </is>
      </c>
      <c r="C219" s="22" t="inlineStr">
        <is>
          <t>39722</t>
        </is>
      </c>
      <c r="D219" s="22" t="inlineStr">
        <is>
          <t>Секатор професійний Фіскарс Fiskars PB-8 M 111850 (1020204) Фінляндія</t>
        </is>
      </c>
      <c r="E219" s="23" t="n">
        <v>3999</v>
      </c>
    </row>
    <row r="220">
      <c r="A220" s="22" t="inlineStr">
        <is>
          <t>Клуб Рослин</t>
        </is>
      </c>
      <c r="B220" s="22" t="inlineStr">
        <is>
          <t>7447</t>
        </is>
      </c>
      <c r="C220" s="22" t="inlineStr">
        <is>
          <t>9293</t>
        </is>
      </c>
      <c r="D220" s="22" t="inlineStr">
        <is>
          <t>Добриво GroGreen NPK 15-30-15+2MgO+TE 25 кг Lima Бельгія</t>
        </is>
      </c>
      <c r="E220" s="23" t="n">
        <v>4485</v>
      </c>
    </row>
    <row r="221">
      <c r="A221" s="22" t="inlineStr">
        <is>
          <t>Водоспад</t>
        </is>
      </c>
      <c r="B221" s="22" t="inlineStr">
        <is>
          <t>4-272-05-3-2</t>
        </is>
      </c>
      <c r="C221" s="22" t="inlineStr">
        <is>
          <t>32533</t>
        </is>
      </c>
      <c r="D221" s="22" t="inlineStr">
        <is>
          <t>Напилок ромбічний заточувальний 125 мм "WASA" 4-272-05-3-2 BAHCO для пил</t>
        </is>
      </c>
      <c r="E221" s="23" t="n">
        <v>540</v>
      </c>
    </row>
    <row r="222">
      <c r="A222" s="22" t="inlineStr">
        <is>
          <t>Водоспад</t>
        </is>
      </c>
      <c r="B222" s="22" t="inlineStr">
        <is>
          <t>1023618</t>
        </is>
      </c>
      <c r="C222" s="22" t="inlineStr">
        <is>
          <t>37360</t>
        </is>
      </c>
      <c r="D222" s="22" t="inlineStr">
        <is>
          <t>Ніж Фіскарс Fiskars з точилкою (156017) 1023618 Фінляндія</t>
        </is>
      </c>
      <c r="E222" s="23" t="n">
        <v>949</v>
      </c>
    </row>
    <row r="223">
      <c r="A223" s="22" t="inlineStr">
        <is>
          <t>Водоспад</t>
        </is>
      </c>
      <c r="B223" s="22" t="inlineStr">
        <is>
          <t>2616/N</t>
        </is>
      </c>
      <c r="C223" s="22" t="inlineStr">
        <is>
          <t>40633</t>
        </is>
      </c>
      <c r="D223" s="22" t="inlineStr">
        <is>
          <t>Ніж садовий кривий Antonini 16 см сталь - C67 (2616/N) Італія</t>
        </is>
      </c>
      <c r="E223" s="23" t="n">
        <v>1285</v>
      </c>
    </row>
    <row r="224">
      <c r="A224" s="22" t="inlineStr">
        <is>
          <t>Водоспад</t>
        </is>
      </c>
      <c r="B224" s="22" t="inlineStr">
        <is>
          <t>1028376</t>
        </is>
      </c>
      <c r="C224" s="22" t="inlineStr">
        <is>
          <t>39548</t>
        </is>
      </c>
      <c r="D224" s="22" t="inlineStr">
        <is>
          <t>Пила садова ручна Fiskars Solid SW16 (1028376) Фінляндія</t>
        </is>
      </c>
      <c r="E224" s="23" t="n">
        <v>1499</v>
      </c>
    </row>
    <row r="225">
      <c r="A225" s="22" t="inlineStr">
        <is>
          <t>Водоспад</t>
        </is>
      </c>
      <c r="B225" s="22" t="inlineStr">
        <is>
          <t>1001705</t>
        </is>
      </c>
      <c r="C225" s="22" t="inlineStr">
        <is>
          <t>37216</t>
        </is>
      </c>
      <c r="D225" s="22" t="inlineStr">
        <is>
          <t>Сокира-молот Фіскарс Fiskars X46 (1001705) Фінляндія</t>
        </is>
      </c>
      <c r="E225" s="23" t="n">
        <v>5999</v>
      </c>
    </row>
    <row r="226">
      <c r="A226" s="22" t="inlineStr">
        <is>
          <t>Водоспад</t>
        </is>
      </c>
      <c r="B226" s="22" t="inlineStr">
        <is>
          <t>1028374</t>
        </is>
      </c>
      <c r="C226" s="22" t="inlineStr">
        <is>
          <t>39552</t>
        </is>
      </c>
      <c r="D226" s="22" t="inlineStr">
        <is>
          <t>Пилка садова мала Фіскарс Fiskars SW37 (1028374) Фінляндія</t>
        </is>
      </c>
      <c r="E226" s="23" t="n">
        <v>2199</v>
      </c>
    </row>
    <row r="227">
      <c r="A227" s="22" t="inlineStr">
        <is>
          <t>Водоспад</t>
        </is>
      </c>
      <c r="B227" s="22" t="inlineStr">
        <is>
          <t>PG-19-F</t>
        </is>
      </c>
      <c r="C227" s="22" t="inlineStr">
        <is>
          <t>31968</t>
        </is>
      </c>
      <c r="D227" s="22" t="inlineStr">
        <is>
          <t>Гілкоріз телескопічний Bahco PG-19-F Bahco 700 до 900 мм Бахо</t>
        </is>
      </c>
      <c r="E227" s="23" t="n">
        <v>2992</v>
      </c>
    </row>
    <row r="228">
      <c r="A228" s="22" t="inlineStr">
        <is>
          <t>Клуб Рослин</t>
        </is>
      </c>
      <c r="B228" s="22" t="inlineStr">
        <is>
          <t>7523</t>
        </is>
      </c>
      <c r="C228" s="22" t="inlineStr">
        <is>
          <t>9306</t>
        </is>
      </c>
      <c r="D228" s="22" t="inlineStr">
        <is>
          <t>Добриво GroGreen Грінта Баланс NPK 20-20-20 + 1% FULVK + TE 25 кг Lima Бельгія</t>
        </is>
      </c>
      <c r="E228" s="23" t="n">
        <v>5021</v>
      </c>
    </row>
    <row r="229">
      <c r="A229" s="22" t="inlineStr">
        <is>
          <t>Водоспад</t>
        </is>
      </c>
      <c r="B229" s="22" t="inlineStr">
        <is>
          <t>1023617</t>
        </is>
      </c>
      <c r="C229" s="22" t="inlineStr">
        <is>
          <t>37359</t>
        </is>
      </c>
      <c r="D229" s="22" t="inlineStr">
        <is>
          <t>Ніж універсальний Фіскарс Fiskars з точилом Hardware (1023617) Фінляндія</t>
        </is>
      </c>
      <c r="E229" s="23" t="n">
        <v>777</v>
      </c>
    </row>
    <row r="230">
      <c r="A230" s="22" t="inlineStr">
        <is>
          <t>Водоспад</t>
        </is>
      </c>
      <c r="B230" s="22" t="inlineStr">
        <is>
          <t>3.91.40</t>
        </is>
      </c>
      <c r="C230" s="22" t="inlineStr">
        <is>
          <t>36320</t>
        </is>
      </c>
      <c r="D230" s="22" t="inlineStr">
        <is>
          <t>​​​​​​​Ніж для щеплення Victorinox 3.91.40 Швейцарія</t>
        </is>
      </c>
      <c r="E230" s="23" t="n">
        <v>1799</v>
      </c>
    </row>
    <row r="231">
      <c r="A231" s="22" t="inlineStr">
        <is>
          <t>Клуб Рослин</t>
        </is>
      </c>
      <c r="B231" s="22" t="inlineStr">
        <is>
          <t>7451</t>
        </is>
      </c>
      <c r="C231" s="22" t="inlineStr">
        <is>
          <t>9295</t>
        </is>
      </c>
      <c r="D231" s="22" t="inlineStr">
        <is>
          <t>Добриво GroGreen NPK 18-18-18+3MgO+TE 25 кг Lima Бельгія</t>
        </is>
      </c>
      <c r="E231" s="23" t="n">
        <v>4805</v>
      </c>
    </row>
    <row r="232">
      <c r="A232" s="22" t="inlineStr">
        <is>
          <t>Водоспад</t>
        </is>
      </c>
      <c r="B232" s="22" t="inlineStr">
        <is>
          <t>1015644</t>
        </is>
      </c>
      <c r="C232" s="22" t="inlineStr">
        <is>
          <t>32128</t>
        </is>
      </c>
      <c r="D232" s="22" t="inlineStr">
        <is>
          <t>Сокира-колун Фіскарс Fiskars X27 XXL 122503 (1015644) Фінляндія</t>
        </is>
      </c>
      <c r="E232" s="23" t="n">
        <v>5699</v>
      </c>
    </row>
    <row r="233">
      <c r="A233" s="22" t="inlineStr">
        <is>
          <t>Водоспад</t>
        </is>
      </c>
      <c r="B233" s="22" t="inlineStr">
        <is>
          <t>1001574</t>
        </is>
      </c>
      <c r="C233" s="22" t="inlineStr">
        <is>
          <t>32258</t>
        </is>
      </c>
      <c r="D233" s="22" t="inlineStr">
        <is>
          <t>Лопата штикова 70 мм Фіскарс / Fiskars (1001574) Фінляндія</t>
        </is>
      </c>
      <c r="E233" s="23" t="n">
        <v>1999</v>
      </c>
    </row>
    <row r="234">
      <c r="A234" s="22" t="inlineStr">
        <is>
          <t>Водоспад</t>
        </is>
      </c>
      <c r="B234" s="22" t="inlineStr">
        <is>
          <t>1020186</t>
        </is>
      </c>
      <c r="C234" s="22" t="inlineStr">
        <is>
          <t>39743</t>
        </is>
      </c>
      <c r="D234" s="22" t="inlineStr">
        <is>
          <t>Гілкоріз площинний Фіскарс / Fiskars PowerGearX (S) LX92 112260 (1020186) Фінляндія</t>
        </is>
      </c>
      <c r="E234" s="23" t="n">
        <v>3799</v>
      </c>
    </row>
    <row r="235">
      <c r="A235" s="22" t="inlineStr">
        <is>
          <t>Водоспад</t>
        </is>
      </c>
      <c r="B235" s="22" t="inlineStr">
        <is>
          <t>1020127</t>
        </is>
      </c>
      <c r="C235" s="22" t="inlineStr">
        <is>
          <t>37419</t>
        </is>
      </c>
      <c r="D235" s="22" t="inlineStr">
        <is>
          <t>Інструмент для видалення бур’янів Фіскарс / Fiskars White полегшений 139940 (1020127) Фінляндія</t>
        </is>
      </c>
      <c r="E235" s="23" t="n">
        <v>2499</v>
      </c>
    </row>
    <row r="236">
      <c r="A236" s="22" t="inlineStr">
        <is>
          <t>Водоспад</t>
        </is>
      </c>
      <c r="B236" s="22" t="inlineStr">
        <is>
          <t>P34-37</t>
        </is>
      </c>
      <c r="C236" s="22" t="inlineStr">
        <is>
          <t>31937</t>
        </is>
      </c>
      <c r="D236" s="22" t="inlineStr">
        <is>
          <t>Висоторіз Bahco P34-37 Бахо</t>
        </is>
      </c>
      <c r="E236" s="23" t="n">
        <v>3195</v>
      </c>
    </row>
    <row r="237">
      <c r="A237" s="22" t="inlineStr">
        <is>
          <t>Клуб Рослин</t>
        </is>
      </c>
      <c r="B237" s="22" t="inlineStr">
        <is>
          <t>7899</t>
        </is>
      </c>
      <c r="C237" s="22" t="inlineStr">
        <is>
          <t>9305</t>
        </is>
      </c>
      <c r="D237" s="22" t="inlineStr">
        <is>
          <t>Добриво Леда / Leda NPK 13-40-13+1MgO+TE+GS+Amino 25 кг Нідерланди</t>
        </is>
      </c>
      <c r="E237" s="23" t="n">
        <v>4845</v>
      </c>
    </row>
    <row r="238">
      <c r="A238" s="22" t="inlineStr">
        <is>
          <t>Водоспад</t>
        </is>
      </c>
      <c r="B238" s="22" t="inlineStr">
        <is>
          <t>1001530</t>
        </is>
      </c>
      <c r="C238" s="22" t="inlineStr">
        <is>
          <t>32143</t>
        </is>
      </c>
      <c r="D238" s="22" t="inlineStr">
        <is>
          <t>Секатор професійний Фіскарс Fiskars P90 111960 (1001530) Фінляндія</t>
        </is>
      </c>
      <c r="E238" s="23" t="n">
        <v>1599</v>
      </c>
    </row>
    <row r="239">
      <c r="A239" s="22" t="inlineStr">
        <is>
          <t>Клуб Рослин</t>
        </is>
      </c>
      <c r="B239" s="22" t="inlineStr">
        <is>
          <t>1001530</t>
        </is>
      </c>
      <c r="C239" s="22" t="inlineStr">
        <is>
          <t>11923</t>
        </is>
      </c>
      <c r="D239" s="22" t="inlineStr">
        <is>
          <t>Секатор професійний Фіскарс Fiskars P90 111960 (1001530) Фінляндія</t>
        </is>
      </c>
      <c r="E239" s="23" t="n">
        <v>1599</v>
      </c>
    </row>
    <row r="240">
      <c r="A240" s="22" t="inlineStr">
        <is>
          <t>Водоспад</t>
        </is>
      </c>
      <c r="B240" s="22" t="inlineStr">
        <is>
          <t>1016035</t>
        </is>
      </c>
      <c r="C240" s="22" t="inlineStr">
        <is>
          <t>32966</t>
        </is>
      </c>
      <c r="D240" s="22" t="inlineStr">
        <is>
          <t>Мотика Фіскарс Fiskars Solid 135713 (1016035) Фінляндія</t>
        </is>
      </c>
      <c r="E240" s="23" t="n">
        <v>1499</v>
      </c>
    </row>
    <row r="241">
      <c r="A241" s="22" t="inlineStr">
        <is>
          <t>Водоспад</t>
        </is>
      </c>
      <c r="B241" s="22" t="inlineStr">
        <is>
          <t>1026826</t>
        </is>
      </c>
      <c r="C241" s="22" t="inlineStr">
        <is>
          <t>39713</t>
        </is>
      </c>
      <c r="D241" s="22" t="inlineStr">
        <is>
          <t>Ножиці для трави Фіскарс / Fiskars Solid GS21 (1026826) Фінляндія</t>
        </is>
      </c>
      <c r="E241" s="23" t="n">
        <v>1499</v>
      </c>
    </row>
    <row r="242">
      <c r="A242" s="22" t="inlineStr">
        <is>
          <t>Водоспад</t>
        </is>
      </c>
      <c r="B242" s="22" t="inlineStr">
        <is>
          <t>1020126</t>
        </is>
      </c>
      <c r="C242" s="22" t="inlineStr">
        <is>
          <t>36468</t>
        </is>
      </c>
      <c r="D242" s="22" t="inlineStr">
        <is>
          <t>Інструмент для видалення бур’янів Фіскарс / Fiskars Xact 139950 (1020126) Фінляндія</t>
        </is>
      </c>
      <c r="E242" s="23" t="n">
        <v>2999</v>
      </c>
    </row>
    <row r="243">
      <c r="A243" s="22" t="inlineStr">
        <is>
          <t>Водоспад</t>
        </is>
      </c>
      <c r="B243" s="22" t="inlineStr">
        <is>
          <t>1023631</t>
        </is>
      </c>
      <c r="C243" s="22" t="inlineStr">
        <is>
          <t>39773</t>
        </is>
      </c>
      <c r="D243" s="22" t="inlineStr">
        <is>
          <t>Ножиці для живоплоту Фіскарс / Fiskars PowerGear X HSX92 114006 (1023631) Фінляндія</t>
        </is>
      </c>
      <c r="E243" s="23" t="n">
        <v>3599</v>
      </c>
    </row>
    <row r="244">
      <c r="A244" s="22" t="inlineStr">
        <is>
          <t>Водоспад</t>
        </is>
      </c>
      <c r="B244" s="22" t="inlineStr">
        <is>
          <t>1011617</t>
        </is>
      </c>
      <c r="C244" s="22" t="inlineStr">
        <is>
          <t>33561</t>
        </is>
      </c>
      <c r="D244" s="22" t="inlineStr">
        <is>
          <t>Окантовувач країв газону Фіскарс / Fiskars Solid 5371 (1011617) Фінляндія</t>
        </is>
      </c>
      <c r="E244" s="23" t="n">
        <v>2099</v>
      </c>
    </row>
    <row r="245">
      <c r="A245" s="22" t="inlineStr">
        <is>
          <t>Водоспад</t>
        </is>
      </c>
      <c r="B245" s="22" t="inlineStr">
        <is>
          <t>1023633</t>
        </is>
      </c>
      <c r="C245" s="22" t="inlineStr">
        <is>
          <t>36649</t>
        </is>
      </c>
      <c r="D245" s="22" t="inlineStr">
        <is>
          <t>Пила-насадка для висоторіза Фіскарс / Fiskars UPX80 (1023633) Фінляндія</t>
        </is>
      </c>
      <c r="E245" s="23" t="n">
        <v>2999</v>
      </c>
    </row>
    <row r="246">
      <c r="A246" s="22" t="inlineStr">
        <is>
          <t>Водоспад</t>
        </is>
      </c>
      <c r="B246" s="22" t="inlineStr">
        <is>
          <t>1020125</t>
        </is>
      </c>
      <c r="C246" s="22" t="inlineStr">
        <is>
          <t>37418</t>
        </is>
      </c>
      <c r="D246" s="22" t="inlineStr">
        <is>
          <t>Інструмент для видалення бур’янів Фіскарс / Fiskars SmartFit телескопічний 139960 1020125) Фінляндія</t>
        </is>
      </c>
      <c r="E246" s="23" t="n">
        <v>3999</v>
      </c>
    </row>
    <row r="247">
      <c r="A247" s="22" t="inlineStr">
        <is>
          <t>Водоспад</t>
        </is>
      </c>
      <c r="B247" s="22" t="inlineStr">
        <is>
          <t>1000615</t>
        </is>
      </c>
      <c r="C247" s="22" t="inlineStr">
        <is>
          <t>32190</t>
        </is>
      </c>
      <c r="D247" s="22" t="inlineStr">
        <is>
          <t>Пила лучкова Фіскарс / Fiskars SW31 124810 (1000615) Фінляндія</t>
        </is>
      </c>
      <c r="E247" s="23" t="n">
        <v>1299</v>
      </c>
    </row>
    <row r="248">
      <c r="A248" s="22" t="inlineStr">
        <is>
          <t>Водоспад</t>
        </is>
      </c>
      <c r="B248" s="22" t="inlineStr">
        <is>
          <t>5128-JS-H</t>
        </is>
      </c>
      <c r="C248" s="22" t="inlineStr">
        <is>
          <t>31933</t>
        </is>
      </c>
      <c r="D248" s="22" t="inlineStr">
        <is>
          <t>Обрізна пилка в чохлі Bahco 5128-JS-H</t>
        </is>
      </c>
      <c r="E248" s="23" t="n">
        <v>2025</v>
      </c>
    </row>
    <row r="249">
      <c r="A249" s="22" t="inlineStr">
        <is>
          <t>Клуб Рослин</t>
        </is>
      </c>
      <c r="B249" s="22" t="inlineStr">
        <is>
          <t>5128-JS-H</t>
        </is>
      </c>
      <c r="C249" s="22" t="inlineStr">
        <is>
          <t>11711</t>
        </is>
      </c>
      <c r="D249" s="22" t="inlineStr">
        <is>
          <t>Обрізна пилка в чохлі Bahco 5128-JS-H</t>
        </is>
      </c>
      <c r="E249" s="23" t="n">
        <v>2025</v>
      </c>
    </row>
    <row r="250">
      <c r="A250" s="22" t="inlineStr">
        <is>
          <t>Водоспад</t>
        </is>
      </c>
      <c r="B250" s="22" t="inlineStr">
        <is>
          <t>SUC-0.9-600</t>
        </is>
      </c>
      <c r="C250" s="22" t="inlineStr">
        <is>
          <t>37109</t>
        </is>
      </c>
      <c r="D250" s="22" t="inlineStr">
        <is>
          <t>Колун Bahco SUC-0.9-600 Бахо</t>
        </is>
      </c>
      <c r="E250" s="23" t="n">
        <v>2205</v>
      </c>
    </row>
    <row r="251">
      <c r="A251" s="22" t="inlineStr">
        <is>
          <t>Клуб Рослин</t>
        </is>
      </c>
      <c r="B251" s="22" t="inlineStr">
        <is>
          <t>SUC-0.9-600</t>
        </is>
      </c>
      <c r="C251" s="22" t="inlineStr">
        <is>
          <t>12350</t>
        </is>
      </c>
      <c r="D251" s="22" t="inlineStr">
        <is>
          <t>Колун Bahco SUC-0.9-600 Бахо</t>
        </is>
      </c>
      <c r="E251" s="23" t="n">
        <v>2205</v>
      </c>
    </row>
    <row r="252">
      <c r="A252" s="22" t="inlineStr">
        <is>
          <t>Водоспад</t>
        </is>
      </c>
      <c r="B252" s="22" t="inlineStr">
        <is>
          <t>1001621</t>
        </is>
      </c>
      <c r="C252" s="22" t="inlineStr">
        <is>
          <t>37355</t>
        </is>
      </c>
      <c r="D252" s="22" t="inlineStr">
        <is>
          <t>Пила лучкова Фіскарс / Fiskars SW30 124800 (1001621) Фінляндія</t>
        </is>
      </c>
      <c r="E252" s="23" t="n">
        <v>1099</v>
      </c>
    </row>
    <row r="253">
      <c r="A253" s="22" t="inlineStr">
        <is>
          <t>Водоспад</t>
        </is>
      </c>
      <c r="B253" s="22" t="inlineStr">
        <is>
          <t>1023624</t>
        </is>
      </c>
      <c r="C253" s="22" t="inlineStr">
        <is>
          <t>36317</t>
        </is>
      </c>
      <c r="D253" s="22" t="inlineStr">
        <is>
          <t>Висоторіз телескопічний Фіскарс Fiskars PowerGear UPX86 (1023624) Фінляндія</t>
        </is>
      </c>
      <c r="E253" s="23" t="n">
        <v>5999</v>
      </c>
    </row>
    <row r="254">
      <c r="A254" s="22" t="inlineStr">
        <is>
          <t>Клуб Рослин</t>
        </is>
      </c>
      <c r="B254" s="22" t="inlineStr">
        <is>
          <t>1023624</t>
        </is>
      </c>
      <c r="C254" s="22" t="inlineStr">
        <is>
          <t>12532</t>
        </is>
      </c>
      <c r="D254" s="22" t="inlineStr">
        <is>
          <t>Висоторіз телескопічний Фіскарс Fiskars PowerGear UPX86 (1023624) Фінляндія</t>
        </is>
      </c>
      <c r="E254" s="23" t="n">
        <v>5999</v>
      </c>
    </row>
    <row r="255">
      <c r="A255" s="22" t="inlineStr">
        <is>
          <t>Водоспад</t>
        </is>
      </c>
      <c r="B255" s="22" t="inlineStr">
        <is>
          <t>1027043</t>
        </is>
      </c>
      <c r="C255" s="22" t="inlineStr">
        <is>
          <t>39662</t>
        </is>
      </c>
      <c r="D255" s="22" t="inlineStr">
        <is>
          <t>Садовий совок Фіскарс / Fiskars Xact (1027043) Фінляндія</t>
        </is>
      </c>
      <c r="E255" s="23" t="n">
        <v>999</v>
      </c>
    </row>
    <row r="256">
      <c r="A256" s="22" t="inlineStr">
        <is>
          <t>Водоспад</t>
        </is>
      </c>
      <c r="B256" s="22" t="inlineStr">
        <is>
          <t>1015681</t>
        </is>
      </c>
      <c r="C256" s="22" t="inlineStr">
        <is>
          <t>37420</t>
        </is>
      </c>
      <c r="D256" s="22" t="inlineStr">
        <is>
          <t>Захват для сміття Фіскарс / Fiskars Solid (1015681) Фінляндія</t>
        </is>
      </c>
      <c r="E256" s="23" t="n">
        <v>1699</v>
      </c>
    </row>
    <row r="257">
      <c r="A257" s="22" t="inlineStr">
        <is>
          <t>Водоспад</t>
        </is>
      </c>
      <c r="B257" s="22" t="inlineStr">
        <is>
          <t>1028375</t>
        </is>
      </c>
      <c r="C257" s="22" t="inlineStr">
        <is>
          <t>39553</t>
        </is>
      </c>
      <c r="D257" s="22" t="inlineStr">
        <is>
          <t>Пила садова велика Фіскарс Fiskars SW47 (1028375) Фінляндія</t>
        </is>
      </c>
      <c r="E257" s="23" t="n">
        <v>2399</v>
      </c>
    </row>
    <row r="258">
      <c r="A258" s="22" t="inlineStr">
        <is>
          <t>Водоспад</t>
        </is>
      </c>
      <c r="B258" s="22" t="inlineStr">
        <is>
          <t>1015640</t>
        </is>
      </c>
      <c r="C258" s="22" t="inlineStr">
        <is>
          <t>32124</t>
        </is>
      </c>
      <c r="D258" s="22" t="inlineStr">
        <is>
          <t>Сокира-колун Фіскарс Fiskars S X11 122443 (1015640) Фінляндія</t>
        </is>
      </c>
      <c r="E258" s="23" t="n">
        <v>3799</v>
      </c>
    </row>
    <row r="259">
      <c r="A259" s="22" t="inlineStr">
        <is>
          <t>Водоспад</t>
        </is>
      </c>
      <c r="B259" s="22" t="inlineStr">
        <is>
          <t>1023625</t>
        </is>
      </c>
      <c r="C259" s="22" t="inlineStr">
        <is>
          <t>37223</t>
        </is>
      </c>
      <c r="D259" s="22" t="inlineStr">
        <is>
          <t>Висоторіз Фіскарс Fiskars PowerGear UPX82 (1023625) Фінляндія</t>
        </is>
      </c>
      <c r="E259" s="23" t="n">
        <v>5999</v>
      </c>
    </row>
    <row r="260">
      <c r="A260" s="22" t="inlineStr">
        <is>
          <t>Водоспад</t>
        </is>
      </c>
      <c r="B260" s="22" t="inlineStr">
        <is>
          <t>1023619</t>
        </is>
      </c>
      <c r="C260" s="22" t="inlineStr">
        <is>
          <t>37361</t>
        </is>
      </c>
      <c r="D260" s="22" t="inlineStr">
        <is>
          <t>Ніж Фіскарс Fiskars з точилкою 156018 (1023619) Фінляндія</t>
        </is>
      </c>
      <c r="E260" s="23" t="n">
        <v>1099</v>
      </c>
    </row>
    <row r="261">
      <c r="A261" s="22" t="inlineStr">
        <is>
          <t>Водоспад</t>
        </is>
      </c>
      <c r="B261" s="22" t="inlineStr">
        <is>
          <t>1001704</t>
        </is>
      </c>
      <c r="C261" s="22" t="inlineStr">
        <is>
          <t>37212</t>
        </is>
      </c>
      <c r="D261" s="22" t="inlineStr">
        <is>
          <t>Сокира-молот Фіскарс Fiskars X37 122160 (1001704) Фінляндія</t>
        </is>
      </c>
      <c r="E261" s="23" t="n">
        <v>5199</v>
      </c>
    </row>
    <row r="262">
      <c r="A262" s="22" t="inlineStr">
        <is>
          <t>Водоспад</t>
        </is>
      </c>
      <c r="B262" s="22" t="inlineStr">
        <is>
          <t>SUC-0.7-450</t>
        </is>
      </c>
      <c r="C262" s="22" t="inlineStr">
        <is>
          <t>37108</t>
        </is>
      </c>
      <c r="D262" s="22" t="inlineStr">
        <is>
          <t>Колун Bahco SUC-0.7-450 Бахо</t>
        </is>
      </c>
      <c r="E262" s="23" t="n">
        <v>1580</v>
      </c>
    </row>
    <row r="263">
      <c r="A263" s="22" t="inlineStr">
        <is>
          <t>Клуб Рослин</t>
        </is>
      </c>
      <c r="B263" s="22" t="inlineStr">
        <is>
          <t>SUC-0.7-450</t>
        </is>
      </c>
      <c r="C263" s="22" t="inlineStr">
        <is>
          <t>12349</t>
        </is>
      </c>
      <c r="D263" s="22" t="inlineStr">
        <is>
          <t>Колун Bahco SUC-0.7-450 Бахо</t>
        </is>
      </c>
      <c r="E263" s="23" t="n">
        <v>1580</v>
      </c>
    </row>
    <row r="264">
      <c r="A264" s="22" t="inlineStr">
        <is>
          <t>Водоспад</t>
        </is>
      </c>
      <c r="B264" s="22" t="inlineStr">
        <is>
          <t>1051144</t>
        </is>
      </c>
      <c r="C264" s="22" t="inlineStr">
        <is>
          <t>39266</t>
        </is>
      </c>
      <c r="D264" s="22" t="inlineStr">
        <is>
          <t>Сокира-колун Фіскарс Fiskars Norden N12 1051144 Фінляндія</t>
        </is>
      </c>
      <c r="E264" s="23" t="n">
        <v>5599</v>
      </c>
    </row>
    <row r="265">
      <c r="A265" s="22" t="inlineStr">
        <is>
          <t>Водоспад</t>
        </is>
      </c>
      <c r="B265" s="22" t="inlineStr">
        <is>
          <t>1015641</t>
        </is>
      </c>
      <c r="C265" s="22" t="inlineStr">
        <is>
          <t>32127</t>
        </is>
      </c>
      <c r="D265" s="22" t="inlineStr">
        <is>
          <t>Сокира-колун Фіскарс Fiskars X17 M 122 463 (1015641) Фінляндія</t>
        </is>
      </c>
      <c r="E265" s="23" t="n">
        <v>3299</v>
      </c>
    </row>
    <row r="266">
      <c r="A266" s="22" t="inlineStr">
        <is>
          <t>Водоспад</t>
        </is>
      </c>
      <c r="B266" s="22" t="inlineStr">
        <is>
          <t>1000685</t>
        </is>
      </c>
      <c r="C266" s="22" t="inlineStr">
        <is>
          <t>39806</t>
        </is>
      </c>
      <c r="D266" s="22" t="inlineStr">
        <is>
          <t>Ручний культиватор Fiskars QuikFit 136517 (1000685) Фінляндія</t>
        </is>
      </c>
      <c r="E266" s="23" t="n">
        <v>1049</v>
      </c>
    </row>
    <row r="267">
      <c r="A267" s="22" t="inlineStr">
        <is>
          <t>Водоспад</t>
        </is>
      </c>
      <c r="B267" s="22" t="inlineStr">
        <is>
          <t>1020200</t>
        </is>
      </c>
      <c r="C267" s="22" t="inlineStr">
        <is>
          <t>37354</t>
        </is>
      </c>
      <c r="D267" s="22" t="inlineStr">
        <is>
          <t>Пила садова Фіскарс Fiskars SW-240 123240 (1020200) Фінляндія</t>
        </is>
      </c>
      <c r="E267" s="23" t="n">
        <v>3799</v>
      </c>
    </row>
    <row r="268">
      <c r="A268" s="22" t="inlineStr">
        <is>
          <t>Водоспад</t>
        </is>
      </c>
      <c r="B268" s="22" t="inlineStr">
        <is>
          <t>1066715</t>
        </is>
      </c>
      <c r="C268" s="22" t="inlineStr">
        <is>
          <t>32744</t>
        </is>
      </c>
      <c r="D268" s="22" t="inlineStr">
        <is>
          <t>Лопата саперна Фіскарс Fiskars Solid 1066715 Фінляндія</t>
        </is>
      </c>
      <c r="E268" s="23" t="n">
        <v>1299</v>
      </c>
    </row>
    <row r="269">
      <c r="A269" s="22" t="inlineStr">
        <is>
          <t>Водоспад</t>
        </is>
      </c>
      <c r="B269" s="22" t="inlineStr">
        <is>
          <t>396-HP</t>
        </is>
      </c>
      <c r="C269" s="22" t="inlineStr">
        <is>
          <t>31935</t>
        </is>
      </c>
      <c r="D269" s="22" t="inlineStr">
        <is>
          <t>Пила складна обрізна Bahco 396-HP</t>
        </is>
      </c>
      <c r="E269" s="23" t="n">
        <v>1530</v>
      </c>
    </row>
    <row r="270">
      <c r="A270" s="22" t="inlineStr">
        <is>
          <t>Водоспад</t>
        </is>
      </c>
      <c r="B270" s="22" t="inlineStr">
        <is>
          <t>PG-L2-F</t>
        </is>
      </c>
      <c r="C270" s="22" t="inlineStr">
        <is>
          <t>31920</t>
        </is>
      </c>
      <c r="D270" s="22" t="inlineStr">
        <is>
          <t>Секатор Bahco (L) PG-L2-F для обрізки саду, винограду, троянд</t>
        </is>
      </c>
      <c r="E270" s="23" t="n">
        <v>1570</v>
      </c>
    </row>
    <row r="271">
      <c r="A271" s="22" t="inlineStr">
        <is>
          <t>Водоспад</t>
        </is>
      </c>
      <c r="B271" s="22" t="inlineStr">
        <is>
          <t>396-JS</t>
        </is>
      </c>
      <c r="C271" s="22" t="inlineStr">
        <is>
          <t>33873</t>
        </is>
      </c>
      <c r="D271" s="22" t="inlineStr">
        <is>
          <t>Пила обрізна Bahco 396-JS Бахо</t>
        </is>
      </c>
      <c r="E271" s="23" t="n">
        <v>1707</v>
      </c>
    </row>
    <row r="272">
      <c r="A272" s="22" t="inlineStr">
        <is>
          <t>Водоспад</t>
        </is>
      </c>
      <c r="B272" s="22" t="inlineStr">
        <is>
          <t>1015447</t>
        </is>
      </c>
      <c r="C272" s="22" t="inlineStr">
        <is>
          <t>37215</t>
        </is>
      </c>
      <c r="D272" s="22" t="inlineStr">
        <is>
          <t>Рукавички робочі зимові (10/XL) Фіскарс / Fiskars 160007 (1015447) Фінляндія</t>
        </is>
      </c>
      <c r="E272" s="23" t="n">
        <v>1249</v>
      </c>
    </row>
    <row r="273">
      <c r="A273" s="22" t="inlineStr">
        <is>
          <t>Водоспад</t>
        </is>
      </c>
      <c r="B273" s="22" t="inlineStr">
        <is>
          <t>1015642</t>
        </is>
      </c>
      <c r="C273" s="22" t="inlineStr">
        <is>
          <t>33092</t>
        </is>
      </c>
      <c r="D273" s="22" t="inlineStr">
        <is>
          <t>Сокира-колун Фіскарс Fiskars X21 L 122 473 (1015642) Фінляндія</t>
        </is>
      </c>
      <c r="E273" s="23" t="n">
        <v>3599</v>
      </c>
    </row>
    <row r="274">
      <c r="A274" s="22" t="inlineStr">
        <is>
          <t>Водоспад</t>
        </is>
      </c>
      <c r="B274" s="22" t="inlineStr">
        <is>
          <t>1026917</t>
        </is>
      </c>
      <c r="C274" s="22" t="inlineStr">
        <is>
          <t>39711</t>
        </is>
      </c>
      <c r="D274" s="22" t="inlineStr">
        <is>
          <t>Ножиці для трави Fiskars White GS41 (1026917​​​​​​​) Фінляндія</t>
        </is>
      </c>
      <c r="E274" s="23" t="n">
        <v>1549</v>
      </c>
    </row>
    <row r="275">
      <c r="A275" s="22" t="inlineStr">
        <is>
          <t>Водоспад</t>
        </is>
      </c>
      <c r="B275" s="22" t="inlineStr">
        <is>
          <t>1001560</t>
        </is>
      </c>
      <c r="C275" s="22" t="inlineStr">
        <is>
          <t>32614</t>
        </is>
      </c>
      <c r="D275" s="22" t="inlineStr">
        <is>
          <t>Штанга подовжувальна Фіскарс / Fiskars UP80 110460 (1001560) Фінляндія</t>
        </is>
      </c>
      <c r="E275" s="23" t="n">
        <v>2099</v>
      </c>
    </row>
    <row r="276">
      <c r="A276" s="22" t="inlineStr">
        <is>
          <t>Водоспад</t>
        </is>
      </c>
      <c r="B276" s="22" t="inlineStr">
        <is>
          <t>1018606</t>
        </is>
      </c>
      <c r="C276" s="22" t="inlineStr">
        <is>
          <t>33560</t>
        </is>
      </c>
      <c r="D276" s="22" t="inlineStr">
        <is>
          <t>Лопата для саджанців Фіскарс Fiskars (181e) 131470 (1018606) Фінляндія</t>
        </is>
      </c>
      <c r="E276" s="23" t="n">
        <v>1395</v>
      </c>
    </row>
    <row r="277">
      <c r="A277" s="22" t="inlineStr">
        <is>
          <t>Клуб Рослин</t>
        </is>
      </c>
      <c r="B277" s="22" t="inlineStr">
        <is>
          <t>1018606</t>
        </is>
      </c>
      <c r="C277" s="22" t="inlineStr">
        <is>
          <t>10531</t>
        </is>
      </c>
      <c r="D277" s="22" t="inlineStr">
        <is>
          <t>Лопата для саджанців Фіскарс Fiskars (181e) 131470 (1018606) Фінляндія</t>
        </is>
      </c>
      <c r="E277" s="23" t="n">
        <v>1395</v>
      </c>
    </row>
    <row r="278">
      <c r="A278" s="22" t="inlineStr">
        <is>
          <t>Водоспад</t>
        </is>
      </c>
      <c r="B278" s="22" t="inlineStr">
        <is>
          <t>1020203</t>
        </is>
      </c>
      <c r="C278" s="22" t="inlineStr">
        <is>
          <t>39720</t>
        </is>
      </c>
      <c r="D278" s="22" t="inlineStr">
        <is>
          <t>Секатор професійний Фіскарс Fiskars PB-8 L 111870 (1020203) Фінляндія</t>
        </is>
      </c>
      <c r="E278" s="23" t="n">
        <v>3299</v>
      </c>
    </row>
    <row r="279">
      <c r="A279" s="22" t="inlineStr">
        <is>
          <t>Водоспад</t>
        </is>
      </c>
      <c r="B279" s="22" t="inlineStr">
        <is>
          <t>1015618</t>
        </is>
      </c>
      <c r="C279" s="22" t="inlineStr">
        <is>
          <t>32122</t>
        </is>
      </c>
      <c r="D279" s="22" t="inlineStr">
        <is>
          <t>Універсальна сокира Фіскарс Fiskars XS X7 121423 (1015618) Фінляндія</t>
        </is>
      </c>
      <c r="E279" s="23" t="n">
        <v>2199</v>
      </c>
    </row>
    <row r="280">
      <c r="A280" s="22" t="inlineStr">
        <is>
          <t>Водоспад</t>
        </is>
      </c>
      <c r="B280" s="22" t="inlineStr">
        <is>
          <t>1015643</t>
        </is>
      </c>
      <c r="C280" s="22" t="inlineStr">
        <is>
          <t>32126</t>
        </is>
      </c>
      <c r="D280" s="22" t="inlineStr">
        <is>
          <t>Сокира-колун Фіскарс Fiskars X25 XL 122483 (1015643) Фінляндія</t>
        </is>
      </c>
      <c r="E280" s="23" t="n">
        <v>3999</v>
      </c>
    </row>
    <row r="281">
      <c r="A281" s="22" t="inlineStr">
        <is>
          <t>Клуб Рослин</t>
        </is>
      </c>
      <c r="B281" s="22" t="inlineStr">
        <is>
          <t>77db851f-abbb-11ee-bf43-c87f546feb15</t>
        </is>
      </c>
      <c r="C281" s="22" t="inlineStr">
        <is>
          <t>12555</t>
        </is>
      </c>
      <c r="D281" s="22" t="inlineStr">
        <is>
          <t>Гілкоріз площинний Фіскарс / Fiskars Quantum L108 112630 (1001435) Фінляндія</t>
        </is>
      </c>
      <c r="E281" s="23" t="n">
        <v>3699</v>
      </c>
    </row>
    <row r="282">
      <c r="A282" s="22" t="inlineStr">
        <is>
          <t>Клуб Рослин</t>
        </is>
      </c>
      <c r="B282" s="22" t="inlineStr">
        <is>
          <t>1001435</t>
        </is>
      </c>
      <c r="C282" s="22" t="inlineStr">
        <is>
          <t>12555</t>
        </is>
      </c>
      <c r="D282" s="22" t="inlineStr">
        <is>
          <t>Сучкоріз площинний Фіскарс Fiskars Quantum L108 112630 (1001435) Фінляндія</t>
        </is>
      </c>
      <c r="E282" s="23" t="n">
        <v>3699</v>
      </c>
    </row>
    <row r="283">
      <c r="A283" s="22" t="inlineStr">
        <is>
          <t>Клуб Рослин</t>
        </is>
      </c>
      <c r="B283" s="22" t="inlineStr">
        <is>
          <t>904</t>
        </is>
      </c>
      <c r="C283" s="22" t="inlineStr">
        <is>
          <t>12710</t>
        </is>
      </c>
      <c r="D283" s="22" t="inlineStr">
        <is>
          <t>Точильний інструмент Фелко / Felco 904</t>
        </is>
      </c>
      <c r="E283" s="23" t="n">
        <v>1655</v>
      </c>
    </row>
    <row r="284">
      <c r="A284" s="22" t="inlineStr">
        <is>
          <t>Клуб Рослин</t>
        </is>
      </c>
      <c r="B284" s="22" t="inlineStr">
        <is>
          <t>Z-26K</t>
        </is>
      </c>
      <c r="C284" s="22" t="inlineStr">
        <is>
          <t>15819</t>
        </is>
      </c>
      <c r="D284" s="22" t="inlineStr">
        <is>
          <t>Секатор типу ножиці Камакі / Kamaki (Z-26K) Японія</t>
        </is>
      </c>
      <c r="E284" s="23" t="n">
        <v>3299</v>
      </c>
    </row>
    <row r="285">
      <c r="A285" s="22" t="inlineStr">
        <is>
          <t>Водоспад</t>
        </is>
      </c>
      <c r="B285" s="22" t="inlineStr">
        <is>
          <t>1026931</t>
        </is>
      </c>
      <c r="C285" s="22" t="inlineStr">
        <is>
          <t>39774</t>
        </is>
      </c>
      <c r="D285" s="22" t="inlineStr">
        <is>
          <t>Ножиці для живоплоту Фіскарс / Fiskars White HS53 (1026931) Фінляндія</t>
        </is>
      </c>
      <c r="E285" s="23" t="n">
        <v>2099</v>
      </c>
    </row>
    <row r="286">
      <c r="A286" s="22" t="inlineStr">
        <is>
          <t>Клуб Рослин</t>
        </is>
      </c>
      <c r="B286" s="22" t="inlineStr">
        <is>
          <t>202AP</t>
        </is>
      </c>
      <c r="C286" s="22" t="inlineStr">
        <is>
          <t>10848</t>
        </is>
      </c>
      <c r="D286" s="22" t="inlineStr">
        <is>
          <t>Ніж Due Buoi 202AP для щеплення універсальний Італія</t>
        </is>
      </c>
      <c r="E286" s="23" t="n">
        <v>1990</v>
      </c>
    </row>
    <row r="287">
      <c r="A287" s="22" t="inlineStr">
        <is>
          <t>Водоспад</t>
        </is>
      </c>
      <c r="B287" s="22" t="inlineStr">
        <is>
          <t>1066708</t>
        </is>
      </c>
      <c r="C287" s="22" t="inlineStr">
        <is>
          <t>32250</t>
        </is>
      </c>
      <c r="D287" s="22" t="inlineStr">
        <is>
          <t>Лопата штикова Фіскарс Fiskars Ergonomic 1001568 (1066708) Фінляндія</t>
        </is>
      </c>
      <c r="E287" s="23" t="n">
        <v>1999</v>
      </c>
    </row>
    <row r="288">
      <c r="A288" s="22" t="inlineStr">
        <is>
          <t>Водоспад</t>
        </is>
      </c>
      <c r="B288" s="22" t="inlineStr">
        <is>
          <t>1066716</t>
        </is>
      </c>
      <c r="C288" s="22" t="inlineStr">
        <is>
          <t>32412</t>
        </is>
      </c>
      <c r="D288" s="22" t="inlineStr">
        <is>
          <t>Лопата штикова Фіскарс Fiskars Solid 1003455 (1066716) Фінляндія</t>
        </is>
      </c>
      <c r="E288" s="23" t="n">
        <v>1399</v>
      </c>
    </row>
    <row r="289">
      <c r="A289" s="22" t="inlineStr">
        <is>
          <t>Водоспад</t>
        </is>
      </c>
      <c r="B289" s="22" t="inlineStr">
        <is>
          <t>4940003A</t>
        </is>
      </c>
      <c r="C289" s="22" t="inlineStr">
        <is>
          <t>40801</t>
        </is>
      </c>
      <c r="D289" s="22" t="inlineStr">
        <is>
          <t>Секатор для щеплення (20 мм різ V - лезо) Innexta (4940003A) Stoker Італія</t>
        </is>
      </c>
      <c r="E289" s="23" t="n">
        <v>3490</v>
      </c>
    </row>
    <row r="290">
      <c r="A290" s="22" t="inlineStr">
        <is>
          <t>Клуб Рослин</t>
        </is>
      </c>
      <c r="B290" s="22" t="inlineStr">
        <is>
          <t>8064</t>
        </is>
      </c>
      <c r="C290" s="22" t="inlineStr">
        <is>
          <t>16088</t>
        </is>
      </c>
      <c r="D290" s="22" t="inlineStr">
        <is>
          <t>Добриво Сайкін Преміум / Saikin Premium 18-18-18+МЕ+ЕАV 2 кг Туреччина</t>
        </is>
      </c>
      <c r="E290" s="23" t="n">
        <v>548</v>
      </c>
    </row>
    <row r="291">
      <c r="A291" s="22" t="inlineStr">
        <is>
          <t>Клуб Рослин</t>
        </is>
      </c>
      <c r="B291" s="22" t="inlineStr">
        <is>
          <t>300/21</t>
        </is>
      </c>
      <c r="C291" s="22" t="inlineStr">
        <is>
          <t>12042</t>
        </is>
      </c>
      <c r="D291" s="22" t="inlineStr">
        <is>
          <t>Секатор для щеплення Due Buoi 300/21 Італія</t>
        </is>
      </c>
      <c r="E291" s="23" t="n">
        <v>3999</v>
      </c>
    </row>
    <row r="292">
      <c r="A292" s="22" t="inlineStr">
        <is>
          <t>Водоспад</t>
        </is>
      </c>
      <c r="B292" s="22" t="inlineStr">
        <is>
          <t>9307/19LU</t>
        </is>
      </c>
      <c r="C292" s="22" t="inlineStr">
        <is>
          <t>40602</t>
        </is>
      </c>
      <c r="D292" s="22" t="inlineStr">
        <is>
          <t>Ніж Antonini OLD BEAR з оливковим руків'ям 19 см (9307/19LU) Італія</t>
        </is>
      </c>
      <c r="E292" s="23" t="n">
        <v>1320</v>
      </c>
    </row>
    <row r="293">
      <c r="A293" s="22" t="inlineStr">
        <is>
          <t>Клуб Рослин</t>
        </is>
      </c>
      <c r="B293" s="22" t="inlineStr">
        <is>
          <t>9307/19LU</t>
        </is>
      </c>
      <c r="C293" s="22" t="inlineStr">
        <is>
          <t>10832</t>
        </is>
      </c>
      <c r="D293" s="22" t="inlineStr">
        <is>
          <t>Ніж Antonini OLD BEAR з оливковим руків'ям 19 см (9307/19LU) Італія</t>
        </is>
      </c>
      <c r="E293" s="23" t="n">
        <v>1320</v>
      </c>
    </row>
    <row r="294">
      <c r="A294" s="22" t="inlineStr">
        <is>
          <t>Клуб Рослин</t>
        </is>
      </c>
      <c r="B294" s="22" t="inlineStr">
        <is>
          <t>8063</t>
        </is>
      </c>
      <c r="C294" s="22" t="inlineStr">
        <is>
          <t>16086</t>
        </is>
      </c>
      <c r="D294" s="22" t="inlineStr">
        <is>
          <t>Добриво Сайкін Преміум / Saikin Premium 10-50-10+МЕ+ЕАV 2 кг Туреччина</t>
        </is>
      </c>
      <c r="E294" s="23" t="n">
        <v>625</v>
      </c>
    </row>
    <row r="295">
      <c r="A295" s="22" t="inlineStr">
        <is>
          <t>Водоспад</t>
        </is>
      </c>
      <c r="B295" s="22" t="inlineStr">
        <is>
          <t>1000639</t>
        </is>
      </c>
      <c r="C295" s="22" t="inlineStr">
        <is>
          <t>37409</t>
        </is>
      </c>
      <c r="D295" s="22" t="inlineStr">
        <is>
          <t>Леза для бура Fiskars QuikDrill PlusPart Part M середні 150 мм 134727 (1000639) Фінляндія</t>
        </is>
      </c>
      <c r="E295" s="23" t="n">
        <v>699</v>
      </c>
    </row>
    <row r="296">
      <c r="A296" s="22" t="inlineStr">
        <is>
          <t>Клуб Рослин</t>
        </is>
      </c>
      <c r="B296" s="22" t="inlineStr">
        <is>
          <t>1000639</t>
        </is>
      </c>
      <c r="C296" s="22" t="inlineStr">
        <is>
          <t>10402</t>
        </is>
      </c>
      <c r="D296" s="22" t="inlineStr">
        <is>
          <t>Леза для бура Fiskars QuikDrill PlusPart Part M середні 150 мм 134727 (1000639) Фінляндія</t>
        </is>
      </c>
      <c r="E296" s="23" t="n">
        <v>699</v>
      </c>
    </row>
    <row r="297">
      <c r="A297" s="22" t="inlineStr">
        <is>
          <t>Водоспад</t>
        </is>
      </c>
      <c r="B297" s="22" t="inlineStr">
        <is>
          <t>1003684</t>
        </is>
      </c>
      <c r="C297" s="22" t="inlineStr">
        <is>
          <t>37366</t>
        </is>
      </c>
      <c r="D297" s="22" t="inlineStr">
        <is>
          <t>Лопата штикова середня Fiskars Xact M 131482 (1003684) Фінляндія</t>
        </is>
      </c>
      <c r="E297" s="23" t="n">
        <v>1750</v>
      </c>
    </row>
    <row r="298">
      <c r="A298" s="22" t="inlineStr">
        <is>
          <t>Клуб Рослин</t>
        </is>
      </c>
      <c r="B298" s="22" t="inlineStr">
        <is>
          <t>1003684</t>
        </is>
      </c>
      <c r="C298" s="22" t="inlineStr">
        <is>
          <t>10549</t>
        </is>
      </c>
      <c r="D298" s="22" t="inlineStr">
        <is>
          <t>Лопата штикова середня Fiskars Xact M 131482 (1003684) Фінляндія</t>
        </is>
      </c>
      <c r="E298" s="23" t="n">
        <v>1750</v>
      </c>
    </row>
    <row r="299">
      <c r="A299" s="22" t="inlineStr">
        <is>
          <t>Водоспад</t>
        </is>
      </c>
      <c r="B299" s="22" t="inlineStr">
        <is>
          <t>P140-F</t>
        </is>
      </c>
      <c r="C299" s="22" t="inlineStr">
        <is>
          <t>36465</t>
        </is>
      </c>
      <c r="D299" s="22" t="inlineStr">
        <is>
          <t>Гілкоріз Bahco P140-F Бахо</t>
        </is>
      </c>
      <c r="E299" s="23" t="n">
        <v>2925</v>
      </c>
    </row>
    <row r="300">
      <c r="A300" s="22" t="inlineStr">
        <is>
          <t>Водоспад</t>
        </is>
      </c>
      <c r="B300" s="22" t="inlineStr">
        <is>
          <t>P59-25-F</t>
        </is>
      </c>
      <c r="C300" s="22" t="inlineStr">
        <is>
          <t>31970</t>
        </is>
      </c>
      <c r="D300" s="22" t="inlineStr">
        <is>
          <t>Кущоріз Bahco P59-25-F Бахо</t>
        </is>
      </c>
      <c r="E300" s="23" t="n">
        <v>2115</v>
      </c>
    </row>
    <row r="301">
      <c r="A301" s="22" t="inlineStr">
        <is>
          <t>Клуб Рослин</t>
        </is>
      </c>
      <c r="B301" s="22" t="inlineStr">
        <is>
          <t>P59-25-F</t>
        </is>
      </c>
      <c r="C301" s="22" t="inlineStr">
        <is>
          <t>11762</t>
        </is>
      </c>
      <c r="D301" s="22" t="inlineStr">
        <is>
          <t>Кущоріз Bahco P59-25-F Бахо</t>
        </is>
      </c>
      <c r="E301" s="23" t="n">
        <v>2115</v>
      </c>
    </row>
    <row r="302">
      <c r="A302" s="22" t="inlineStr">
        <is>
          <t>Водоспад</t>
        </is>
      </c>
      <c r="B302" s="22" t="inlineStr">
        <is>
          <t>180ZR-3.0-5</t>
        </is>
      </c>
      <c r="C302" s="22" t="inlineStr">
        <is>
          <t>38686</t>
        </is>
      </c>
      <c r="D302" s="22" t="inlineStr">
        <is>
          <t>Секатор АРС / ARS (180ZR-3.0-5) телескопічний на штанзі 1.8–3 м поворотна голова Японія</t>
        </is>
      </c>
      <c r="E302" s="23" t="n">
        <v>4945</v>
      </c>
    </row>
    <row r="303">
      <c r="A303" s="22" t="inlineStr">
        <is>
          <t>Водоспад</t>
        </is>
      </c>
      <c r="B303" s="22" t="inlineStr">
        <is>
          <t>4940004A</t>
        </is>
      </c>
      <c r="C303" s="22" t="inlineStr">
        <is>
          <t>41071</t>
        </is>
      </c>
      <c r="D303" s="22" t="inlineStr">
        <is>
          <t>Ножі для щеплювального секатора V - лезо Innexta (4940004A) Stoker Італія</t>
        </is>
      </c>
      <c r="E303" s="23" t="n">
        <v>2200</v>
      </c>
    </row>
    <row r="304">
      <c r="A304" s="22" t="inlineStr">
        <is>
          <t>Водоспад</t>
        </is>
      </c>
      <c r="B304" s="22" t="inlineStr">
        <is>
          <t>1051087</t>
        </is>
      </c>
      <c r="C304" s="22" t="inlineStr">
        <is>
          <t>39297</t>
        </is>
      </c>
      <c r="D304" s="22" t="inlineStr">
        <is>
          <t>Малий сікач для сучків Фіскарс / Fiskars Solid S3 (1051087) Фінляндія</t>
        </is>
      </c>
      <c r="E304" s="23" t="n">
        <v>2199</v>
      </c>
    </row>
    <row r="305">
      <c r="A305" s="22" t="inlineStr">
        <is>
          <t>Клуб Рослин</t>
        </is>
      </c>
      <c r="B305" s="22" t="inlineStr">
        <is>
          <t>710S</t>
        </is>
      </c>
      <c r="C305" s="22" t="inlineStr">
        <is>
          <t>15816</t>
        </is>
      </c>
      <c r="D305" s="22" t="inlineStr">
        <is>
          <t>Секатор типу ножиці Камакі / Kamaki (710S) Японія</t>
        </is>
      </c>
      <c r="E305" s="23" t="n">
        <v>599</v>
      </c>
    </row>
    <row r="306">
      <c r="A306" s="22" t="inlineStr">
        <is>
          <t>Водоспад</t>
        </is>
      </c>
      <c r="B306" s="22" t="inlineStr">
        <is>
          <t>1015619</t>
        </is>
      </c>
      <c r="C306" s="22" t="inlineStr">
        <is>
          <t>32123</t>
        </is>
      </c>
      <c r="D306" s="22" t="inlineStr">
        <is>
          <t>Універсальна сокира Фіскарс Fiskars S X10 121443 (1015619) Фінляндія</t>
        </is>
      </c>
      <c r="E306" s="23" t="n">
        <v>2399</v>
      </c>
    </row>
    <row r="307">
      <c r="A307" s="22" t="inlineStr">
        <is>
          <t>Водоспад</t>
        </is>
      </c>
      <c r="B307" s="22" t="inlineStr">
        <is>
          <t>1003683</t>
        </is>
      </c>
      <c r="C307" s="22" t="inlineStr">
        <is>
          <t>33198</t>
        </is>
      </c>
      <c r="D307" s="22" t="inlineStr">
        <is>
          <t>Лопата штикова Fiskars Xact L 131483 (1003683) Фінляндія</t>
        </is>
      </c>
      <c r="E307" s="23" t="n">
        <v>1750</v>
      </c>
    </row>
    <row r="308">
      <c r="A308" s="22" t="inlineStr">
        <is>
          <t>Клуб Рослин</t>
        </is>
      </c>
      <c r="B308" s="22" t="inlineStr">
        <is>
          <t>1003683</t>
        </is>
      </c>
      <c r="C308" s="22" t="inlineStr">
        <is>
          <t>10548</t>
        </is>
      </c>
      <c r="D308" s="22" t="inlineStr">
        <is>
          <t>Лопата штикова Fiskars Xact L 131483 (1003683) Фінляндія</t>
        </is>
      </c>
      <c r="E308" s="23" t="n">
        <v>1750</v>
      </c>
    </row>
    <row r="309">
      <c r="A309" s="22" t="inlineStr">
        <is>
          <t>Водоспад</t>
        </is>
      </c>
      <c r="B309" s="22" t="inlineStr">
        <is>
          <t>K-900Z</t>
        </is>
      </c>
      <c r="C309" s="22" t="inlineStr">
        <is>
          <t>38739</t>
        </is>
      </c>
      <c r="D309" s="22" t="inlineStr">
        <is>
          <t>Ножиці для кущів АРС / ARS (К-900Z) Японія</t>
        </is>
      </c>
      <c r="E309" s="23" t="n">
        <v>3690</v>
      </c>
    </row>
    <row r="310">
      <c r="A310" s="22" t="inlineStr">
        <is>
          <t>Водоспад</t>
        </is>
      </c>
      <c r="B310" s="22" t="inlineStr">
        <is>
          <t>KST205</t>
        </is>
      </c>
      <c r="C310" s="22" t="inlineStr">
        <is>
          <t>42261</t>
        </is>
      </c>
      <c r="D310" s="22" t="inlineStr">
        <is>
          <t>Ножиці для кущів Окатсуне / Okatsune (KST205) Японія</t>
        </is>
      </c>
      <c r="E310" s="23" t="n">
        <v>4790</v>
      </c>
    </row>
    <row r="311">
      <c r="A311" s="22" t="inlineStr">
        <is>
          <t>Клуб Рослин</t>
        </is>
      </c>
      <c r="B311" s="22" t="inlineStr">
        <is>
          <t>KST205</t>
        </is>
      </c>
      <c r="C311" s="22" t="inlineStr">
        <is>
          <t>16184</t>
        </is>
      </c>
      <c r="D311" s="22" t="inlineStr">
        <is>
          <t>Ножиці для кущів Окатсуне / Okatsune (KST205) Японія</t>
        </is>
      </c>
      <c r="E311" s="23" t="n">
        <v>4790</v>
      </c>
    </row>
    <row r="312">
      <c r="A312" s="22" t="inlineStr">
        <is>
          <t>Водоспад</t>
        </is>
      </c>
      <c r="B312" s="22" t="inlineStr">
        <is>
          <t>4211-14-6T</t>
        </is>
      </c>
      <c r="C312" s="22" t="inlineStr">
        <is>
          <t>42762</t>
        </is>
      </c>
      <c r="D312" s="22" t="inlineStr">
        <is>
          <t>Садова обрізна пила Bahco 4211-14-6T (із загартованими зубами) 360 мм</t>
        </is>
      </c>
      <c r="E312" s="23" t="n">
        <v>1056</v>
      </c>
    </row>
    <row r="313">
      <c r="A313" s="22" t="inlineStr">
        <is>
          <t>Клуб Рослин</t>
        </is>
      </c>
      <c r="B313" s="22" t="inlineStr">
        <is>
          <t>4211-14-6T</t>
        </is>
      </c>
      <c r="C313" s="22" t="inlineStr">
        <is>
          <t>11707</t>
        </is>
      </c>
      <c r="D313" s="22" t="inlineStr">
        <is>
          <t>Садова обрізна пила Bahco 4211-14-6T (із загартованими зубами) 360 мм</t>
        </is>
      </c>
      <c r="E313" s="23" t="n">
        <v>1056</v>
      </c>
    </row>
    <row r="314">
      <c r="A314" s="22" t="inlineStr">
        <is>
          <t>Клуб Рослин</t>
        </is>
      </c>
      <c r="B314" s="22" t="inlineStr">
        <is>
          <t>VS-8X-1</t>
        </is>
      </c>
      <c r="C314" s="22" t="inlineStr">
        <is>
          <t>10758</t>
        </is>
      </c>
      <c r="D314" s="22" t="inlineStr">
        <is>
          <t>Комплект лез та гвинтів з гайками до секаторів ARS VS-8XZ / VS-8XR (VS-8X-1) Японія</t>
        </is>
      </c>
      <c r="E314" s="23" t="n">
        <v>1043</v>
      </c>
    </row>
    <row r="315">
      <c r="A315" s="22" t="inlineStr">
        <is>
          <t>Водоспад</t>
        </is>
      </c>
      <c r="B315" s="22" t="inlineStr">
        <is>
          <t>CT-42PRO</t>
        </is>
      </c>
      <c r="C315" s="22" t="inlineStr">
        <is>
          <t>38667</t>
        </is>
      </c>
      <c r="D315" s="22" t="inlineStr">
        <is>
          <t>Пила АРС Турбокат / ARS Turbocut (CT-42PRO) серповидна з кобурою Японія</t>
        </is>
      </c>
      <c r="E315" s="23" t="n">
        <v>3990</v>
      </c>
    </row>
    <row r="316">
      <c r="A316" s="22" t="inlineStr">
        <is>
          <t>Клуб Рослин</t>
        </is>
      </c>
      <c r="B316" s="22" t="inlineStr">
        <is>
          <t>SR-L-570</t>
        </is>
      </c>
      <c r="C316" s="22" t="inlineStr">
        <is>
          <t>16112</t>
        </is>
      </c>
      <c r="D316" s="22" t="inlineStr">
        <is>
          <t>Планувальник грунту без держака Смарт Рейн / Smart Rain (SR-L-590) Україн</t>
        </is>
      </c>
      <c r="E316" s="23" t="n">
        <v>1950</v>
      </c>
    </row>
    <row r="317">
      <c r="A317" s="22" t="inlineStr">
        <is>
          <t>Клуб Рослин</t>
        </is>
      </c>
      <c r="B317" s="22" t="inlineStr">
        <is>
          <t>SR-L-590</t>
        </is>
      </c>
      <c r="C317" s="22" t="inlineStr">
        <is>
          <t>16112</t>
        </is>
      </c>
      <c r="D317" s="22" t="inlineStr">
        <is>
          <t>Планувальник грунту без держака Смарт Рейн / Smart Rain (SR-L-590) Україна</t>
        </is>
      </c>
      <c r="E317" s="23" t="n">
        <v>1950</v>
      </c>
    </row>
    <row r="318">
      <c r="A318" s="22" t="inlineStr">
        <is>
          <t>Водоспад</t>
        </is>
      </c>
      <c r="B318" s="22" t="inlineStr">
        <is>
          <t>R516V</t>
        </is>
      </c>
      <c r="C318" s="22" t="inlineStr">
        <is>
          <t>40920</t>
        </is>
      </c>
      <c r="D318" s="22" t="inlineStr">
        <is>
          <t>Запасні стопори для сучкоріза P-160 R516V Bahco</t>
        </is>
      </c>
      <c r="E318" s="23" t="n">
        <v>225</v>
      </c>
    </row>
    <row r="319">
      <c r="A319" s="22" t="inlineStr">
        <is>
          <t>Клуб Рослин</t>
        </is>
      </c>
      <c r="B319" s="22" t="inlineStr">
        <is>
          <t>R516V</t>
        </is>
      </c>
      <c r="C319" s="22" t="inlineStr">
        <is>
          <t>8557</t>
        </is>
      </c>
      <c r="D319" s="22" t="inlineStr">
        <is>
          <t>Запасні стопори для сучкоріза P-160 R516V Bahco</t>
        </is>
      </c>
      <c r="E319" s="23" t="n">
        <v>225</v>
      </c>
    </row>
    <row r="320">
      <c r="A320" s="22" t="inlineStr">
        <is>
          <t>Водоспад</t>
        </is>
      </c>
      <c r="B320" s="22" t="inlineStr">
        <is>
          <t>4212-14-6T</t>
        </is>
      </c>
      <c r="C320" s="22" t="inlineStr">
        <is>
          <t>36818</t>
        </is>
      </c>
      <c r="D320" s="22" t="inlineStr">
        <is>
          <t>Садова обрізна пила Bahco 4212-14-6T (з переточуваними зубами) 360 мм</t>
        </is>
      </c>
      <c r="E320" s="23" t="n">
        <v>1013</v>
      </c>
    </row>
    <row r="321">
      <c r="A321" s="22" t="inlineStr">
        <is>
          <t>Водоспад</t>
        </is>
      </c>
      <c r="B321" s="22" t="inlineStr">
        <is>
          <t>CUC-0.4-360</t>
        </is>
      </c>
      <c r="C321" s="22" t="inlineStr">
        <is>
          <t>37106</t>
        </is>
      </c>
      <c r="D321" s="22" t="inlineStr">
        <is>
          <t>Сокира туристична Bahco CUC-0.4-360 Бахо</t>
        </is>
      </c>
      <c r="E321" s="23" t="n">
        <v>1881</v>
      </c>
    </row>
    <row r="322">
      <c r="A322" s="22" t="inlineStr">
        <is>
          <t>Клуб Рослин</t>
        </is>
      </c>
      <c r="B322" s="22" t="inlineStr">
        <is>
          <t>CUC-0.4-360</t>
        </is>
      </c>
      <c r="C322" s="22" t="inlineStr">
        <is>
          <t>12336</t>
        </is>
      </c>
      <c r="D322" s="22" t="inlineStr">
        <is>
          <t>Сокира туристична Bahco CUC-0.4-360 Бахо</t>
        </is>
      </c>
      <c r="E322" s="23" t="n">
        <v>1881</v>
      </c>
    </row>
    <row r="323">
      <c r="A323" s="22" t="inlineStr">
        <is>
          <t>Водоспад</t>
        </is>
      </c>
      <c r="B323" s="22" t="inlineStr">
        <is>
          <t>P51-SL</t>
        </is>
      </c>
      <c r="C323" s="22" t="inlineStr">
        <is>
          <t>32554</t>
        </is>
      </c>
      <c r="D323" s="22" t="inlineStr">
        <is>
          <t>Кущоріз BAHCO P51-SL Бахо</t>
        </is>
      </c>
      <c r="E323" s="23" t="n">
        <v>2925</v>
      </c>
    </row>
    <row r="324">
      <c r="A324" s="22" t="inlineStr">
        <is>
          <t>Водоспад</t>
        </is>
      </c>
      <c r="B324" s="22" t="inlineStr">
        <is>
          <t>5016/L-SX</t>
        </is>
      </c>
      <c r="C324" s="22" t="inlineStr">
        <is>
          <t>42663</t>
        </is>
      </c>
      <c r="D324" s="22" t="inlineStr">
        <is>
          <t>Ніж для щеплення універсальний для шульги високовуглецева сталь Антоніні / Antonini (5016/L-SX) Італія</t>
        </is>
      </c>
      <c r="E324" s="23" t="n">
        <v>1260</v>
      </c>
    </row>
    <row r="325">
      <c r="A325" s="22" t="inlineStr">
        <is>
          <t>Клуб Рослин</t>
        </is>
      </c>
      <c r="B325" s="22" t="inlineStr">
        <is>
          <t>5016/L-SX</t>
        </is>
      </c>
      <c r="C325" s="22" t="inlineStr">
        <is>
          <t>10811</t>
        </is>
      </c>
      <c r="D325" s="22" t="inlineStr">
        <is>
          <t>Ніж для щеплення універсальний для шульги високовуглецева сталь Антоніні / Antonini (5016/L-SX) Італія</t>
        </is>
      </c>
      <c r="E325" s="23" t="n">
        <v>1260</v>
      </c>
    </row>
    <row r="326">
      <c r="A326" s="22" t="inlineStr">
        <is>
          <t>Водоспад</t>
        </is>
      </c>
      <c r="B326" s="22" t="inlineStr">
        <is>
          <t>3555.B</t>
        </is>
      </c>
      <c r="C326" s="22" t="inlineStr">
        <is>
          <t>39929</t>
        </is>
      </c>
      <c r="D326" s="22" t="inlineStr">
        <is>
          <t>Ножиці для трави 350 мм Bellota (3555.B) Іспанія</t>
        </is>
      </c>
      <c r="E326" s="23" t="n">
        <v>1035</v>
      </c>
    </row>
    <row r="327">
      <c r="A327" s="22" t="inlineStr">
        <is>
          <t>Водоспад</t>
        </is>
      </c>
      <c r="B327" s="22" t="inlineStr">
        <is>
          <t>5526.B</t>
        </is>
      </c>
      <c r="C327" s="22" t="inlineStr">
        <is>
          <t>32899</t>
        </is>
      </c>
      <c r="D327" s="22" t="inlineStr">
        <is>
          <t>Саперна лопата Bellota 5526.B Іспанія</t>
        </is>
      </c>
      <c r="E327" s="23" t="n">
        <v>650</v>
      </c>
    </row>
    <row r="328">
      <c r="A328" s="22" t="inlineStr">
        <is>
          <t>Водоспад</t>
        </is>
      </c>
      <c r="B328" s="22" t="inlineStr">
        <is>
          <t>1014808</t>
        </is>
      </c>
      <c r="C328" s="22" t="inlineStr">
        <is>
          <t>39651</t>
        </is>
      </c>
      <c r="D328" s="22" t="inlineStr">
        <is>
          <t>Лопата штикова Фіскарс Fiskars Solid 1014808 (1024542) Фінляндія</t>
        </is>
      </c>
      <c r="E328" s="23" t="n">
        <v>998</v>
      </c>
    </row>
    <row r="329">
      <c r="A329" s="22" t="inlineStr">
        <is>
          <t>Водоспад</t>
        </is>
      </c>
      <c r="B329" s="22" t="inlineStr">
        <is>
          <t>6b066216-abbb-11ee-bf43-c87f546feb15</t>
        </is>
      </c>
      <c r="C329" s="22" t="inlineStr">
        <is>
          <t>39651</t>
        </is>
      </c>
      <c r="D329" s="22" t="inlineStr">
        <is>
          <t>Лопата штикова Фіскарс Fiskars Solid 1024542 (1014808) Фінляндія</t>
        </is>
      </c>
      <c r="E329" s="23" t="n">
        <v>998</v>
      </c>
    </row>
    <row r="330">
      <c r="A330" s="22" t="inlineStr">
        <is>
          <t>Водоспад</t>
        </is>
      </c>
      <c r="B330" s="22" t="inlineStr">
        <is>
          <t>5010003N</t>
        </is>
      </c>
      <c r="C330" s="22" t="inlineStr">
        <is>
          <t>37475</t>
        </is>
      </c>
      <c r="D330" s="22" t="inlineStr">
        <is>
          <t>Мастика Арборін / Arborinn 1 кг для холодного щеплення (5010003N) AgriChem Італія</t>
        </is>
      </c>
      <c r="E330" s="23" t="n">
        <v>760</v>
      </c>
    </row>
    <row r="331">
      <c r="A331" s="22" t="inlineStr">
        <is>
          <t>Водоспад</t>
        </is>
      </c>
      <c r="B331" s="22" t="inlineStr">
        <is>
          <t>2C_387/20</t>
        </is>
      </c>
      <c r="C331" s="22" t="inlineStr">
        <is>
          <t>40750</t>
        </is>
      </c>
      <c r="D331" s="22" t="inlineStr">
        <is>
          <t>Секатор з храповим механізмом Due Cigni 200 мм (2C_387/20) Італія</t>
        </is>
      </c>
      <c r="E331" s="23" t="n">
        <v>900</v>
      </c>
    </row>
    <row r="332">
      <c r="A332" s="22" t="inlineStr">
        <is>
          <t>Водоспад</t>
        </is>
      </c>
      <c r="B332" s="22" t="inlineStr">
        <is>
          <t>20.100</t>
        </is>
      </c>
      <c r="C332" s="22" t="inlineStr">
        <is>
          <t>32735</t>
        </is>
      </c>
      <c r="D332" s="22" t="inlineStr">
        <is>
          <t>Cучкоріз Lowe Original 20.100 з наковаделком Льове Німеччина</t>
        </is>
      </c>
      <c r="E332" s="23" t="n">
        <v>5500</v>
      </c>
    </row>
    <row r="333">
      <c r="A333" s="22" t="inlineStr">
        <is>
          <t>Водоспад</t>
        </is>
      </c>
      <c r="B333" s="22" t="inlineStr">
        <is>
          <t>1.104</t>
        </is>
      </c>
      <c r="C333" s="22" t="inlineStr">
        <is>
          <t>32329</t>
        </is>
      </c>
      <c r="D333" s="22" t="inlineStr">
        <is>
          <t>LOWE Original 1.104 Секатор з ковадлом Німеччина</t>
        </is>
      </c>
      <c r="E333" s="23" t="n">
        <v>2220</v>
      </c>
    </row>
    <row r="334">
      <c r="A334" s="22" t="inlineStr">
        <is>
          <t>Водоспад</t>
        </is>
      </c>
      <c r="B334" s="22" t="inlineStr">
        <is>
          <t>10.107</t>
        </is>
      </c>
      <c r="C334" s="22" t="inlineStr">
        <is>
          <t>38035</t>
        </is>
      </c>
      <c r="D334" s="22" t="inlineStr">
        <is>
          <t>LOWE Original 10.107 Секатор з ковадлом Німеччина</t>
        </is>
      </c>
      <c r="E334" s="23" t="n">
        <v>2450</v>
      </c>
    </row>
    <row r="335">
      <c r="A335" s="22" t="inlineStr">
        <is>
          <t>Водоспад</t>
        </is>
      </c>
      <c r="B335" s="22" t="inlineStr">
        <is>
          <t>5.124</t>
        </is>
      </c>
      <c r="C335" s="22" t="inlineStr">
        <is>
          <t>32339</t>
        </is>
      </c>
      <c r="D335" s="22" t="inlineStr">
        <is>
          <t>LOWE Original 5.124 Маленький секатор з ковадлом Німеччина</t>
        </is>
      </c>
      <c r="E335" s="23" t="n">
        <v>1950</v>
      </c>
    </row>
    <row r="336">
      <c r="A336" s="22" t="inlineStr">
        <is>
          <t>Водоспад</t>
        </is>
      </c>
      <c r="B336" s="22" t="inlineStr">
        <is>
          <t>20001</t>
        </is>
      </c>
      <c r="C336" s="22" t="inlineStr">
        <is>
          <t>32781</t>
        </is>
      </c>
      <c r="D336" s="22" t="inlineStr">
        <is>
          <t>Lowe 20001 Робоче лезо для сучкоріза Німеччина</t>
        </is>
      </c>
      <c r="E336" s="23" t="n">
        <v>1690</v>
      </c>
    </row>
    <row r="337">
      <c r="A337" s="22" t="inlineStr">
        <is>
          <t>Клуб Рослин</t>
        </is>
      </c>
      <c r="B337" s="22" t="inlineStr">
        <is>
          <t>20001</t>
        </is>
      </c>
      <c r="C337" s="22" t="inlineStr">
        <is>
          <t>10446</t>
        </is>
      </c>
      <c r="D337" s="22" t="inlineStr">
        <is>
          <t>Lowe 20001 Робоче лезо для сучкоріза Німеччина</t>
        </is>
      </c>
      <c r="E337" s="23" t="n">
        <v>1690</v>
      </c>
    </row>
    <row r="338">
      <c r="A338" s="22" t="inlineStr">
        <is>
          <t>Водоспад</t>
        </is>
      </c>
      <c r="B338" s="22" t="inlineStr">
        <is>
          <t>20002</t>
        </is>
      </c>
      <c r="C338" s="22" t="inlineStr">
        <is>
          <t>32782</t>
        </is>
      </c>
      <c r="D338" s="22" t="inlineStr">
        <is>
          <t>Lowe 20002 Опорна наковаленка Німеччина</t>
        </is>
      </c>
      <c r="E338" s="23" t="n">
        <v>550</v>
      </c>
    </row>
    <row r="339">
      <c r="A339" s="22" t="inlineStr">
        <is>
          <t>Клуб Рослин</t>
        </is>
      </c>
      <c r="B339" s="22" t="inlineStr">
        <is>
          <t>20002</t>
        </is>
      </c>
      <c r="C339" s="22" t="inlineStr">
        <is>
          <t>10089</t>
        </is>
      </c>
      <c r="D339" s="22" t="inlineStr">
        <is>
          <t>Lowe 20002 Опорна наковаленка Німеччина</t>
        </is>
      </c>
      <c r="E339" s="23" t="n">
        <v>550</v>
      </c>
    </row>
    <row r="340">
      <c r="A340" s="22" t="inlineStr">
        <is>
          <t>Водоспад</t>
        </is>
      </c>
      <c r="B340" s="22" t="inlineStr">
        <is>
          <t>22001</t>
        </is>
      </c>
      <c r="C340" s="22" t="inlineStr">
        <is>
          <t>32794</t>
        </is>
      </c>
      <c r="D340" s="22" t="inlineStr">
        <is>
          <t>Lowe 22001 Робоче лезо для сучкоріза Німеччина</t>
        </is>
      </c>
      <c r="E340" s="23" t="n">
        <v>1790</v>
      </c>
    </row>
    <row r="341">
      <c r="A341" s="22" t="inlineStr">
        <is>
          <t>Клуб Рослин</t>
        </is>
      </c>
      <c r="B341" s="22" t="inlineStr">
        <is>
          <t>22001</t>
        </is>
      </c>
      <c r="C341" s="22" t="inlineStr">
        <is>
          <t>10447</t>
        </is>
      </c>
      <c r="D341" s="22" t="inlineStr">
        <is>
          <t>Lowe 22001 Робоче лезо для сучкоріза Німеччина</t>
        </is>
      </c>
      <c r="E341" s="23" t="n">
        <v>1790</v>
      </c>
    </row>
    <row r="342">
      <c r="A342" s="22" t="inlineStr">
        <is>
          <t>Водоспад</t>
        </is>
      </c>
      <c r="B342" s="22" t="inlineStr">
        <is>
          <t>22002</t>
        </is>
      </c>
      <c r="C342" s="22" t="inlineStr">
        <is>
          <t>32795</t>
        </is>
      </c>
      <c r="D342" s="22" t="inlineStr">
        <is>
          <t>Lowe 22002 Опорна наковаленка Німеччина</t>
        </is>
      </c>
      <c r="E342" s="23" t="n">
        <v>595</v>
      </c>
    </row>
    <row r="343">
      <c r="A343" s="22" t="inlineStr">
        <is>
          <t>Клуб Рослин</t>
        </is>
      </c>
      <c r="B343" s="22" t="inlineStr">
        <is>
          <t>22002</t>
        </is>
      </c>
      <c r="C343" s="22" t="inlineStr">
        <is>
          <t>10090</t>
        </is>
      </c>
      <c r="D343" s="22" t="inlineStr">
        <is>
          <t>Lowe 22002 Опорна наковаленка Німеччина</t>
        </is>
      </c>
      <c r="E343" s="23" t="n">
        <v>595</v>
      </c>
    </row>
    <row r="344">
      <c r="A344" s="22" t="inlineStr">
        <is>
          <t>Водоспад</t>
        </is>
      </c>
      <c r="B344" s="22" t="inlineStr">
        <is>
          <t>31.060</t>
        </is>
      </c>
      <c r="C344" s="22" t="inlineStr">
        <is>
          <t>32743</t>
        </is>
      </c>
      <c r="D344" s="22" t="inlineStr">
        <is>
          <t>Lowe Original 31.060 Гілкоріз садовий малий Німеччина</t>
        </is>
      </c>
      <c r="E344" s="23" t="n">
        <v>3950</v>
      </c>
    </row>
    <row r="345">
      <c r="A345" s="22" t="inlineStr">
        <is>
          <t>Водоспад</t>
        </is>
      </c>
      <c r="B345" s="22" t="inlineStr">
        <is>
          <t>23FIPEBIO4</t>
        </is>
      </c>
      <c r="C345" s="22" t="inlineStr">
        <is>
          <t>42381</t>
        </is>
      </c>
      <c r="D345" s="22" t="inlineStr">
        <is>
          <t>Агротрубка (кембрик) Bio Filo 4 мм 0.5 кг 100 м Cordioli (23FIPEBIO4) Італія</t>
        </is>
      </c>
      <c r="E345" s="23" t="n">
        <v>550</v>
      </c>
    </row>
    <row r="346">
      <c r="A346" s="22" t="inlineStr">
        <is>
          <t>Водоспад</t>
        </is>
      </c>
      <c r="B346" s="22" t="inlineStr">
        <is>
          <t>23FIPEGRVS7</t>
        </is>
      </c>
      <c r="C346" s="22" t="inlineStr">
        <is>
          <t>40866</t>
        </is>
      </c>
      <c r="D346" s="22" t="inlineStr">
        <is>
          <t>Агротрубка (кембрик) для підв`язки рослин 7 мм 1 кг 75 м Super extra cordioli (23FIPEGRVS7) Італія</t>
        </is>
      </c>
      <c r="E346" s="23" t="n">
        <v>375</v>
      </c>
    </row>
    <row r="347">
      <c r="A347" s="22" t="inlineStr">
        <is>
          <t>Клуб Рослин</t>
        </is>
      </c>
      <c r="B347" s="22" t="inlineStr">
        <is>
          <t>3642.B</t>
        </is>
      </c>
      <c r="C347" s="22" t="inlineStr">
        <is>
          <t>8663</t>
        </is>
      </c>
      <c r="D347" s="22" t="inlineStr">
        <is>
          <t>Брусок точильний (3642.B) Bellota Іспанія</t>
        </is>
      </c>
      <c r="E347" s="23" t="n">
        <v>715</v>
      </c>
    </row>
    <row r="348">
      <c r="A348" s="22" t="inlineStr">
        <is>
          <t>Водоспад</t>
        </is>
      </c>
      <c r="B348" s="22" t="inlineStr">
        <is>
          <t>1003458</t>
        </is>
      </c>
      <c r="C348" s="22" t="inlineStr">
        <is>
          <t>32684</t>
        </is>
      </c>
      <c r="D348" s="22" t="inlineStr">
        <is>
          <t>Вила Фискарс Fiskars Solid 122 см (1003458) Фінляндія</t>
        </is>
      </c>
      <c r="E348" s="23" t="n">
        <v>1199</v>
      </c>
    </row>
    <row r="349">
      <c r="A349" s="22" t="inlineStr">
        <is>
          <t>Водоспад</t>
        </is>
      </c>
      <c r="B349" s="22" t="inlineStr">
        <is>
          <t>77db850b-abbb-11ee-bf43-c87f546feb15</t>
        </is>
      </c>
      <c r="C349" s="22" t="inlineStr">
        <is>
          <t>32684</t>
        </is>
      </c>
      <c r="D349" s="22" t="inlineStr">
        <is>
          <t>Вила Фискарс Fiskars Solid 122см (1003458) Фінляндія</t>
        </is>
      </c>
      <c r="E349" s="23" t="n">
        <v>1199</v>
      </c>
    </row>
    <row r="350">
      <c r="A350" s="22" t="inlineStr">
        <is>
          <t>Клуб Рослин</t>
        </is>
      </c>
      <c r="B350" s="22" t="inlineStr">
        <is>
          <t>290</t>
        </is>
      </c>
      <c r="C350" s="22" t="inlineStr">
        <is>
          <t>14930</t>
        </is>
      </c>
      <c r="D350" s="22" t="inlineStr">
        <is>
          <t>Висоторіз телескопічний 170-270 см Фелко / Felco (290) Швейцарія</t>
        </is>
      </c>
      <c r="E350" s="23" t="n">
        <v>9650</v>
      </c>
    </row>
    <row r="351">
      <c r="A351" s="22" t="inlineStr">
        <is>
          <t>Клуб Рослин</t>
        </is>
      </c>
      <c r="B351" s="22" t="inlineStr">
        <is>
          <t>951-20.B</t>
        </is>
      </c>
      <c r="C351" s="22" t="inlineStr">
        <is>
          <t>8905</t>
        </is>
      </c>
      <c r="D351" s="22" t="inlineStr">
        <is>
          <t>Граблі професійні 542 мм без держака Bellota 951-20.B Іспанія</t>
        </is>
      </c>
      <c r="E351" s="23" t="n">
        <v>640</v>
      </c>
    </row>
    <row r="352">
      <c r="A352" s="22" t="inlineStr">
        <is>
          <t>Клуб Рослин</t>
        </is>
      </c>
      <c r="B352" s="22" t="inlineStr">
        <is>
          <t>120500200106</t>
        </is>
      </c>
      <c r="C352" s="22" t="inlineStr">
        <is>
          <t>11132</t>
        </is>
      </c>
      <c r="D352" s="22" t="inlineStr">
        <is>
          <t>Графітовий олівець Lyra чорний 3.5 мм (120500200106)</t>
        </is>
      </c>
      <c r="E352" s="23" t="n">
        <v>89</v>
      </c>
    </row>
    <row r="353">
      <c r="A353" s="22" t="inlineStr">
        <is>
          <t>Водоспад</t>
        </is>
      </c>
      <c r="B353" s="22" t="inlineStr">
        <is>
          <t>FAL8099</t>
        </is>
      </c>
      <c r="C353" s="22" t="inlineStr">
        <is>
          <t>41191</t>
        </is>
      </c>
      <c r="D353" s="22" t="inlineStr">
        <is>
          <t>Гілкоріз 80 см 990 г 40 мм Falket / Фалкет (FAL8099) Італія</t>
        </is>
      </c>
      <c r="E353" s="23" t="n">
        <v>2599</v>
      </c>
    </row>
    <row r="354">
      <c r="A354" s="22" t="inlineStr">
        <is>
          <t>Водоспад</t>
        </is>
      </c>
      <c r="B354" s="22" t="inlineStr">
        <is>
          <t>P160-SL-60</t>
        </is>
      </c>
      <c r="C354" s="22" t="inlineStr">
        <is>
          <t>33648</t>
        </is>
      </c>
      <c r="D354" s="22" t="inlineStr">
        <is>
          <t>Гілкоріз Bahco P160-SL-60 довжина 60 см</t>
        </is>
      </c>
      <c r="E354" s="23" t="n">
        <v>3950</v>
      </c>
    </row>
    <row r="355">
      <c r="A355" s="22" t="inlineStr">
        <is>
          <t>Клуб Рослин</t>
        </is>
      </c>
      <c r="B355" s="22" t="inlineStr">
        <is>
          <t>P160-SL-60</t>
        </is>
      </c>
      <c r="C355" s="22" t="inlineStr">
        <is>
          <t>12483</t>
        </is>
      </c>
      <c r="D355" s="22" t="inlineStr">
        <is>
          <t>Гілкоріз Bahco P160-SL-60 довжина 60 см</t>
        </is>
      </c>
      <c r="E355" s="23" t="n">
        <v>3950</v>
      </c>
    </row>
    <row r="356">
      <c r="A356" s="22" t="inlineStr">
        <is>
          <t>Водоспад</t>
        </is>
      </c>
      <c r="B356" s="22" t="inlineStr">
        <is>
          <t>P160-SL-90</t>
        </is>
      </c>
      <c r="C356" s="22" t="inlineStr">
        <is>
          <t>31959</t>
        </is>
      </c>
      <c r="D356" s="22" t="inlineStr">
        <is>
          <t>Гілкоріз Bahco P160-SL-90 довжина ручок 900 мм для обрізки саду</t>
        </is>
      </c>
      <c r="E356" s="23" t="n">
        <v>4290</v>
      </c>
    </row>
    <row r="357">
      <c r="A357" s="22" t="inlineStr">
        <is>
          <t>Клуб Рослин</t>
        </is>
      </c>
      <c r="B357" s="22" t="inlineStr">
        <is>
          <t>P160-SL-90</t>
        </is>
      </c>
      <c r="C357" s="22" t="inlineStr">
        <is>
          <t>12485</t>
        </is>
      </c>
      <c r="D357" s="22" t="inlineStr">
        <is>
          <t>Гілкоріз Bahco P160-SL-90 довжина ручок 900 мм для обрізки саду</t>
        </is>
      </c>
      <c r="E357" s="23" t="n">
        <v>4290</v>
      </c>
    </row>
    <row r="358">
      <c r="A358" s="22" t="inlineStr">
        <is>
          <t>Водоспад</t>
        </is>
      </c>
      <c r="B358" s="22" t="inlineStr">
        <is>
          <t>P280-SL-80</t>
        </is>
      </c>
      <c r="C358" s="22" t="inlineStr">
        <is>
          <t>31966</t>
        </is>
      </c>
      <c r="D358" s="22" t="inlineStr">
        <is>
          <t>Гілкоріз Bahco P280-SL-80</t>
        </is>
      </c>
      <c r="E358" s="23" t="n">
        <v>3090</v>
      </c>
    </row>
    <row r="359">
      <c r="A359" s="22" t="inlineStr">
        <is>
          <t>Клуб Рослин</t>
        </is>
      </c>
      <c r="B359" s="22" t="inlineStr">
        <is>
          <t>P280-SL-80</t>
        </is>
      </c>
      <c r="C359" s="22" t="inlineStr">
        <is>
          <t>15795</t>
        </is>
      </c>
      <c r="D359" s="22" t="inlineStr">
        <is>
          <t>Гілкоріз Bahco P280-SL-80</t>
        </is>
      </c>
      <c r="E359" s="23" t="n">
        <v>3090</v>
      </c>
    </row>
    <row r="360">
      <c r="A360" s="22" t="inlineStr">
        <is>
          <t>Водоспад</t>
        </is>
      </c>
      <c r="B360" s="22" t="inlineStr">
        <is>
          <t>21.080</t>
        </is>
      </c>
      <c r="C360" s="22" t="inlineStr">
        <is>
          <t>32455</t>
        </is>
      </c>
      <c r="D360" s="22" t="inlineStr">
        <is>
          <t>Гілкоріз Lowe Original 21.080 професійний обхідний Німеччина</t>
        </is>
      </c>
      <c r="E360" s="23" t="n">
        <v>5490</v>
      </c>
    </row>
    <row r="361">
      <c r="A361" s="22" t="inlineStr">
        <is>
          <t>Водоспад</t>
        </is>
      </c>
      <c r="B361" s="22" t="inlineStr">
        <is>
          <t>22.080</t>
        </is>
      </c>
      <c r="C361" s="22" t="inlineStr">
        <is>
          <t>32333</t>
        </is>
      </c>
      <c r="D361" s="22" t="inlineStr">
        <is>
          <t>Гілкоріз Lowe Original 22.080 з наковаленкою, вигнуте лезо Льові Німеччина</t>
        </is>
      </c>
      <c r="E361" s="23" t="n">
        <v>5490</v>
      </c>
    </row>
    <row r="362">
      <c r="A362" s="22" t="inlineStr">
        <is>
          <t>Водоспад</t>
        </is>
      </c>
      <c r="B362" s="22" t="inlineStr">
        <is>
          <t>22.100</t>
        </is>
      </c>
      <c r="C362" s="22" t="inlineStr">
        <is>
          <t>32749</t>
        </is>
      </c>
      <c r="D362" s="22" t="inlineStr">
        <is>
          <t>Гілкоріз Lowe Original 22.100 з наковаленкою, вигнуте лезо Льові Німеччина</t>
        </is>
      </c>
      <c r="E362" s="23" t="n">
        <v>5600</v>
      </c>
    </row>
    <row r="363">
      <c r="A363" s="22" t="inlineStr">
        <is>
          <t>Водоспад</t>
        </is>
      </c>
      <c r="B363" s="22" t="inlineStr">
        <is>
          <t>210A-60</t>
        </is>
      </c>
      <c r="C363" s="22" t="inlineStr">
        <is>
          <t>32403</t>
        </is>
      </c>
      <c r="D363" s="22" t="inlineStr">
        <is>
          <t>Гілкоріз Фелко / Felco 210A-60 Швейцарія</t>
        </is>
      </c>
      <c r="E363" s="23" t="n">
        <v>4990</v>
      </c>
    </row>
    <row r="364">
      <c r="A364" s="22" t="inlineStr">
        <is>
          <t>Клуб Рослин</t>
        </is>
      </c>
      <c r="B364" s="22" t="inlineStr">
        <is>
          <t>210A-60</t>
        </is>
      </c>
      <c r="C364" s="22" t="inlineStr">
        <is>
          <t>12522</t>
        </is>
      </c>
      <c r="D364" s="22" t="inlineStr">
        <is>
          <t>Гілкоріз Фелко / Felco 210A-60 Швейцарія</t>
        </is>
      </c>
      <c r="E364" s="23" t="n">
        <v>4990</v>
      </c>
    </row>
    <row r="365">
      <c r="A365" s="22" t="inlineStr">
        <is>
          <t>Водоспад</t>
        </is>
      </c>
      <c r="B365" s="22" t="inlineStr">
        <is>
          <t>210А-60</t>
        </is>
      </c>
      <c r="C365" s="22" t="inlineStr">
        <is>
          <t>32403</t>
        </is>
      </c>
      <c r="D365" s="22" t="inlineStr">
        <is>
          <t>Гілкоріз Фелко / Felco 210A-60 Швейцарія</t>
        </is>
      </c>
      <c r="E365" s="23" t="n">
        <v>4990</v>
      </c>
    </row>
    <row r="366">
      <c r="A366" s="22" t="inlineStr">
        <is>
          <t>Клуб Рослин</t>
        </is>
      </c>
      <c r="B366" s="22" t="inlineStr">
        <is>
          <t>210А-60</t>
        </is>
      </c>
      <c r="C366" s="22" t="inlineStr">
        <is>
          <t>12522</t>
        </is>
      </c>
      <c r="D366" s="22" t="inlineStr">
        <is>
          <t>Гілкоріз Фелко / Felco 210A-60 Швейцарія</t>
        </is>
      </c>
      <c r="E366" s="23" t="n">
        <v>4990</v>
      </c>
    </row>
    <row r="367">
      <c r="A367" s="22" t="inlineStr">
        <is>
          <t>Водоспад</t>
        </is>
      </c>
      <c r="B367" s="22" t="inlineStr">
        <is>
          <t>210C-60</t>
        </is>
      </c>
      <c r="C367" s="22" t="inlineStr">
        <is>
          <t>38557</t>
        </is>
      </c>
      <c r="D367" s="22" t="inlineStr">
        <is>
          <t>Гілкоріз Фелко / Felco 210C-60 Швейцарія</t>
        </is>
      </c>
      <c r="E367" s="23" t="n">
        <v>5300</v>
      </c>
    </row>
    <row r="368">
      <c r="A368" s="22" t="inlineStr">
        <is>
          <t>Водоспад</t>
        </is>
      </c>
      <c r="B368" s="22" t="inlineStr">
        <is>
          <t>N22.065</t>
        </is>
      </c>
      <c r="C368" s="22" t="inlineStr">
        <is>
          <t>43330</t>
        </is>
      </c>
      <c r="D368" s="22" t="inlineStr">
        <is>
          <t>Гілкоріз з ковадлом Lowe Natural Series (N22.065) Німеччина</t>
        </is>
      </c>
      <c r="E368" s="23" t="n">
        <v>7399</v>
      </c>
    </row>
    <row r="369">
      <c r="A369" s="22" t="inlineStr">
        <is>
          <t>Водоспад</t>
        </is>
      </c>
      <c r="B369" s="22" t="inlineStr">
        <is>
          <t>LPA-30L</t>
        </is>
      </c>
      <c r="C369" s="22" t="inlineStr">
        <is>
          <t>38733</t>
        </is>
      </c>
      <c r="D369" s="22" t="inlineStr">
        <is>
          <t>Гілкоріз з храповим механізмом АРС / ARS (LPA-30L) Японія</t>
        </is>
      </c>
      <c r="E369" s="23" t="n">
        <v>5499</v>
      </c>
    </row>
    <row r="370">
      <c r="A370" s="22" t="inlineStr">
        <is>
          <t>Водоспад</t>
        </is>
      </c>
      <c r="B370" s="22" t="inlineStr">
        <is>
          <t>FAL10099</t>
        </is>
      </c>
      <c r="C370" s="22" t="inlineStr">
        <is>
          <t>41190</t>
        </is>
      </c>
      <c r="D370" s="22" t="inlineStr">
        <is>
          <t>Гілкоріз обвідний Falket / Фалкет (FAL10099) Італія</t>
        </is>
      </c>
      <c r="E370" s="23" t="n">
        <v>2799</v>
      </c>
    </row>
    <row r="371">
      <c r="A371" s="22" t="inlineStr">
        <is>
          <t>Водоспад</t>
        </is>
      </c>
      <c r="B371" s="22" t="inlineStr">
        <is>
          <t>N21.065</t>
        </is>
      </c>
      <c r="C371" s="22" t="inlineStr">
        <is>
          <t>43331</t>
        </is>
      </c>
      <c r="D371" s="22" t="inlineStr">
        <is>
          <t>Гілкоріз обвідний Lowe Natural Series (N21.065) Німеччина</t>
        </is>
      </c>
      <c r="E371" s="23" t="n">
        <v>7399</v>
      </c>
    </row>
    <row r="372">
      <c r="A372" s="22" t="inlineStr">
        <is>
          <t>Водоспад</t>
        </is>
      </c>
      <c r="B372" s="22" t="inlineStr">
        <is>
          <t>LPB-20L</t>
        </is>
      </c>
      <c r="C372" s="22" t="inlineStr">
        <is>
          <t>38734</t>
        </is>
      </c>
      <c r="D372" s="22" t="inlineStr">
        <is>
          <t>Гілкоріз обвідний АРС / ARS (LPB-20L) Японія</t>
        </is>
      </c>
      <c r="E372" s="23" t="n">
        <v>3720</v>
      </c>
    </row>
    <row r="373">
      <c r="A373" s="22" t="inlineStr">
        <is>
          <t>Водоспад</t>
        </is>
      </c>
      <c r="B373" s="22" t="inlineStr">
        <is>
          <t>LPB-20M</t>
        </is>
      </c>
      <c r="C373" s="22" t="inlineStr">
        <is>
          <t>38735</t>
        </is>
      </c>
      <c r="D373" s="22" t="inlineStr">
        <is>
          <t>Гілкоріз обвідний АРС / ARS (LPB-20M) Японія</t>
        </is>
      </c>
      <c r="E373" s="23" t="n">
        <v>3480</v>
      </c>
    </row>
    <row r="374">
      <c r="A374" s="22" t="inlineStr">
        <is>
          <t>Водоспад</t>
        </is>
      </c>
      <c r="B374" s="22" t="inlineStr">
        <is>
          <t>LPB-30L</t>
        </is>
      </c>
      <c r="C374" s="22" t="inlineStr">
        <is>
          <t>33508</t>
        </is>
      </c>
      <c r="D374" s="22" t="inlineStr">
        <is>
          <t>Гілкоріз обвідний АРС / ARS (LPB-30L) Японія</t>
        </is>
      </c>
      <c r="E374" s="23" t="n">
        <v>3880</v>
      </c>
    </row>
    <row r="375">
      <c r="A375" s="22" t="inlineStr">
        <is>
          <t>Водоспад</t>
        </is>
      </c>
      <c r="B375" s="22" t="inlineStr">
        <is>
          <t>LPB-30M</t>
        </is>
      </c>
      <c r="C375" s="22" t="inlineStr">
        <is>
          <t>38736</t>
        </is>
      </c>
      <c r="D375" s="22" t="inlineStr">
        <is>
          <t>Гілкоріз обвідний АРС / ARS (LPB-30M) Японія</t>
        </is>
      </c>
      <c r="E375" s="23" t="n">
        <v>3647</v>
      </c>
    </row>
    <row r="376">
      <c r="A376" s="22" t="inlineStr">
        <is>
          <t>Водоспад</t>
        </is>
      </c>
      <c r="B376" s="22" t="inlineStr">
        <is>
          <t>N22.080</t>
        </is>
      </c>
      <c r="C376" s="22" t="inlineStr">
        <is>
          <t>43324</t>
        </is>
      </c>
      <c r="D376" s="22" t="inlineStr">
        <is>
          <t>Гілкоріз із ковадлом Lowe Natural Series (N22.080) дерев’яні ручки Німеччина</t>
        </is>
      </c>
      <c r="E376" s="23" t="n">
        <v>7599</v>
      </c>
    </row>
    <row r="377">
      <c r="A377" s="22" t="inlineStr">
        <is>
          <t>Водоспад</t>
        </is>
      </c>
      <c r="B377" s="22" t="inlineStr">
        <is>
          <t>FAL10006</t>
        </is>
      </c>
      <c r="C377" s="22" t="inlineStr">
        <is>
          <t>41186</t>
        </is>
      </c>
      <c r="D377" s="22" t="inlineStr">
        <is>
          <t>Гілкоріз із ковадлом вигнуте лезо Falket / Фалкет (FAL10006) Італія</t>
        </is>
      </c>
      <c r="E377" s="23" t="n">
        <v>3390</v>
      </c>
    </row>
    <row r="378">
      <c r="A378" s="22" t="inlineStr">
        <is>
          <t>Водоспад</t>
        </is>
      </c>
      <c r="B378" s="22" t="inlineStr">
        <is>
          <t>21008</t>
        </is>
      </c>
      <c r="C378" s="22" t="inlineStr">
        <is>
          <t>32793</t>
        </is>
      </c>
      <c r="D378" s="22" t="inlineStr">
        <is>
          <t>Демпфер для гілкорізів серії Lowe 21 (21008) Lowe Німеччина</t>
        </is>
      </c>
      <c r="E378" s="23" t="n">
        <v>510</v>
      </c>
    </row>
    <row r="379">
      <c r="A379" s="22" t="inlineStr">
        <is>
          <t>Водоспад</t>
        </is>
      </c>
      <c r="B379" s="22" t="inlineStr">
        <is>
          <t>KIKUWA-1090</t>
        </is>
      </c>
      <c r="C379" s="22" t="inlineStr">
        <is>
          <t>42655</t>
        </is>
      </c>
      <c r="D379" s="22" t="inlineStr">
        <is>
          <t>Диспенсер для олії камелії Kikuwa Honmamon (1090) Японія</t>
        </is>
      </c>
      <c r="E379" s="23" t="n">
        <v>990</v>
      </c>
    </row>
    <row r="380">
      <c r="A380" s="22" t="inlineStr">
        <is>
          <t>Клуб Рослин</t>
        </is>
      </c>
      <c r="B380" s="22" t="inlineStr">
        <is>
          <t>2е</t>
        </is>
      </c>
      <c r="C380" s="22" t="inlineStr">
        <is>
          <t>17588</t>
        </is>
      </c>
      <c r="D380" s="22" t="inlineStr">
        <is>
          <t>Електросекатор Фелко / Felco 2е з кейсом і рукавичками Швейцарія</t>
        </is>
      </c>
      <c r="E380" s="23" t="n">
        <v>11990</v>
      </c>
    </row>
    <row r="381">
      <c r="A381" s="22" t="inlineStr">
        <is>
          <t>Клуб Рослин</t>
        </is>
      </c>
      <c r="B381" s="22" t="inlineStr">
        <is>
          <t>120500100307</t>
        </is>
      </c>
      <c r="C381" s="22" t="inlineStr">
        <is>
          <t>9516</t>
        </is>
      </c>
      <c r="D381" s="22" t="inlineStr">
        <is>
          <t>Етикетки-петлі для рослин Tyvek білі 1.7 х 22 см 1000 шт Голандія</t>
        </is>
      </c>
      <c r="E381" s="23" t="n">
        <v>1299</v>
      </c>
    </row>
    <row r="382">
      <c r="A382" s="22" t="inlineStr">
        <is>
          <t>Водоспад</t>
        </is>
      </c>
      <c r="B382" s="22" t="inlineStr">
        <is>
          <t>20008</t>
        </is>
      </c>
      <c r="C382" s="22" t="inlineStr">
        <is>
          <t>32784</t>
        </is>
      </c>
      <c r="D382" s="22" t="inlineStr">
        <is>
          <t>Заглушка для сучкоріза Lowe 20/22 (20.008) Німеччина</t>
        </is>
      </c>
      <c r="E382" s="23" t="n">
        <v>270</v>
      </c>
    </row>
    <row r="383">
      <c r="A383" s="22" t="inlineStr">
        <is>
          <t>Клуб Рослин</t>
        </is>
      </c>
      <c r="B383" s="22" t="inlineStr">
        <is>
          <t>20008</t>
        </is>
      </c>
      <c r="C383" s="22" t="inlineStr">
        <is>
          <t>14172</t>
        </is>
      </c>
      <c r="D383" s="22" t="inlineStr">
        <is>
          <t>Заглушка для сучкоріза Lowe 20/22 (20.008) Німеччина</t>
        </is>
      </c>
      <c r="E383" s="23" t="n">
        <v>270</v>
      </c>
    </row>
    <row r="384">
      <c r="A384" s="22" t="inlineStr">
        <is>
          <t>Водоспад</t>
        </is>
      </c>
      <c r="B384" s="22" t="inlineStr">
        <is>
          <t>R160A</t>
        </is>
      </c>
      <c r="C384" s="22" t="inlineStr">
        <is>
          <t>32920</t>
        </is>
      </c>
      <c r="D384" s="22" t="inlineStr">
        <is>
          <t>Запасне лезо для сучкоріза Bahco P-160 R160A</t>
        </is>
      </c>
      <c r="E384" s="23" t="n">
        <v>1160</v>
      </c>
    </row>
    <row r="385">
      <c r="A385" s="22" t="inlineStr">
        <is>
          <t>Водоспад</t>
        </is>
      </c>
      <c r="B385" s="22" t="inlineStr">
        <is>
          <t>VS-8X-2</t>
        </is>
      </c>
      <c r="C385" s="22" t="inlineStr">
        <is>
          <t>38635</t>
        </is>
      </c>
      <c r="D385" s="22" t="inlineStr">
        <is>
          <t>Запасне ріжуче лезо болти та гайки до секаторів ARS VS-8XZ / VS-8XR (VS-8X-2) Японія</t>
        </is>
      </c>
      <c r="E385" s="23" t="n">
        <v>533</v>
      </c>
    </row>
    <row r="386">
      <c r="A386" s="22" t="inlineStr">
        <is>
          <t>Клуб Рослин</t>
        </is>
      </c>
      <c r="B386" s="22" t="inlineStr">
        <is>
          <t>VS-8X-2</t>
        </is>
      </c>
      <c r="C386" s="22" t="inlineStr">
        <is>
          <t>10469</t>
        </is>
      </c>
      <c r="D386" s="22" t="inlineStr">
        <is>
          <t>Запасне ріжуче лезо болти та гайки до секаторів ARS VS-8XZ / VS-8XR (VS-8X-2) Японія</t>
        </is>
      </c>
      <c r="E386" s="23" t="n">
        <v>533</v>
      </c>
    </row>
    <row r="387">
      <c r="A387" s="22" t="inlineStr">
        <is>
          <t>Водоспад</t>
        </is>
      </c>
      <c r="B387" s="22" t="inlineStr">
        <is>
          <t>VS-9X-2</t>
        </is>
      </c>
      <c r="C387" s="22" t="inlineStr">
        <is>
          <t>38636</t>
        </is>
      </c>
      <c r="D387" s="22" t="inlineStr">
        <is>
          <t>Запасне ріжуче лезо гвинти та гайки до секаторів ARS VS-9XZ / VS-9XR (VS-9X-2) Японія</t>
        </is>
      </c>
      <c r="E387" s="23" t="n">
        <v>600</v>
      </c>
    </row>
    <row r="388">
      <c r="A388" s="22" t="inlineStr">
        <is>
          <t>Клуб Рослин</t>
        </is>
      </c>
      <c r="B388" s="22" t="inlineStr">
        <is>
          <t>VS-9X-2</t>
        </is>
      </c>
      <c r="C388" s="22" t="inlineStr">
        <is>
          <t>10471</t>
        </is>
      </c>
      <c r="D388" s="22" t="inlineStr">
        <is>
          <t>Запасне ріжуче лезо гвинти та гайки до секаторів ARS VS-9XZ / VS-9XR (VS-9X-2) Японія</t>
        </is>
      </c>
      <c r="E388" s="23" t="n">
        <v>600</v>
      </c>
    </row>
    <row r="389">
      <c r="A389" s="22" t="inlineStr">
        <is>
          <t>Водоспад</t>
        </is>
      </c>
      <c r="B389" s="22" t="inlineStr">
        <is>
          <t>8001/В</t>
        </is>
      </c>
      <c r="C389" s="22" t="inlineStr">
        <is>
          <t>41153</t>
        </is>
      </c>
      <c r="D389" s="22" t="inlineStr">
        <is>
          <t>Змінне лезо для секаторів LOWE 8 (8001/В)</t>
        </is>
      </c>
      <c r="E389" s="23" t="n">
        <v>850</v>
      </c>
    </row>
    <row r="390">
      <c r="A390" s="22" t="inlineStr">
        <is>
          <t>Водоспад</t>
        </is>
      </c>
      <c r="B390" s="22" t="inlineStr">
        <is>
          <t>00901</t>
        </is>
      </c>
      <c r="C390" s="22" t="inlineStr">
        <is>
          <t>42418</t>
        </is>
      </c>
      <c r="D390" s="22" t="inlineStr">
        <is>
          <t>Камінь точильний карбід кремнію 100х25х13 мм 180/500 Grit Falket / Фалкет (00901) Італія</t>
        </is>
      </c>
      <c r="E390" s="23" t="n">
        <v>450</v>
      </c>
    </row>
    <row r="391">
      <c r="A391" s="22" t="inlineStr">
        <is>
          <t>Водоспад</t>
        </is>
      </c>
      <c r="B391" s="22" t="inlineStr">
        <is>
          <t>1101</t>
        </is>
      </c>
      <c r="C391" s="22" t="inlineStr">
        <is>
          <t>33322</t>
        </is>
      </c>
      <c r="D391" s="22" t="inlineStr">
        <is>
          <t>Камінь точильний натуральний Due Buoi (1101) Італія</t>
        </is>
      </c>
      <c r="E391" s="23" t="n">
        <v>548</v>
      </c>
    </row>
    <row r="392">
      <c r="A392" s="22" t="inlineStr">
        <is>
          <t>Водоспад</t>
        </is>
      </c>
      <c r="B392" s="22" t="inlineStr">
        <is>
          <t>LPB-30-2</t>
        </is>
      </c>
      <c r="C392" s="22" t="inlineStr">
        <is>
          <t>38629</t>
        </is>
      </c>
      <c r="D392" s="22" t="inlineStr">
        <is>
          <t>Контрлезо до сучкорізів ARS LPB-30 S/M/L (LPB-30-2) Японія</t>
        </is>
      </c>
      <c r="E392" s="23" t="n">
        <v>1512</v>
      </c>
    </row>
    <row r="393">
      <c r="A393" s="22" t="inlineStr">
        <is>
          <t>Клуб Рослин</t>
        </is>
      </c>
      <c r="B393" s="22" t="inlineStr">
        <is>
          <t>LPB-30-2</t>
        </is>
      </c>
      <c r="C393" s="22" t="inlineStr">
        <is>
          <t>10281</t>
        </is>
      </c>
      <c r="D393" s="22" t="inlineStr">
        <is>
          <t>Контрлезо до сучкорізів ARS LPB-30 S/M/L (LPB-30-2) Японія</t>
        </is>
      </c>
      <c r="E393" s="23" t="n">
        <v>1512</v>
      </c>
    </row>
    <row r="394">
      <c r="A394" s="22" t="inlineStr">
        <is>
          <t>Клуб Рослин</t>
        </is>
      </c>
      <c r="B394" s="22" t="inlineStr">
        <is>
          <t>2509-22.B</t>
        </is>
      </c>
      <c r="C394" s="22" t="inlineStr">
        <is>
          <t>10315</t>
        </is>
      </c>
      <c r="D394" s="22" t="inlineStr">
        <is>
          <t>Коса 560 мм Bellota 2509-22.B Іспанія</t>
        </is>
      </c>
      <c r="E394" s="23" t="n">
        <v>4290</v>
      </c>
    </row>
    <row r="395">
      <c r="A395" s="22" t="inlineStr">
        <is>
          <t>Клуб Рослин</t>
        </is>
      </c>
      <c r="B395" s="22" t="inlineStr">
        <is>
          <t>2509-26.B</t>
        </is>
      </c>
      <c r="C395" s="22" t="inlineStr">
        <is>
          <t>10316</t>
        </is>
      </c>
      <c r="D395" s="22" t="inlineStr">
        <is>
          <t>Коса 660 мм Bellota 2509-26.B Іспанія</t>
        </is>
      </c>
      <c r="E395" s="23" t="n">
        <v>4679</v>
      </c>
    </row>
    <row r="396">
      <c r="A396" s="22" t="inlineStr">
        <is>
          <t>Водоспад</t>
        </is>
      </c>
      <c r="B396" s="22" t="inlineStr">
        <is>
          <t>FAL7522</t>
        </is>
      </c>
      <c r="C396" s="22" t="inlineStr">
        <is>
          <t>41179</t>
        </is>
      </c>
      <c r="D396" s="22" t="inlineStr">
        <is>
          <t>Кусторіз 75 см Falket / Фалкет (FAL7522) Італія</t>
        </is>
      </c>
      <c r="E396" s="23" t="n">
        <v>2820</v>
      </c>
    </row>
    <row r="397">
      <c r="A397" s="22" t="inlineStr">
        <is>
          <t>Водоспад</t>
        </is>
      </c>
      <c r="B397" s="22" t="inlineStr">
        <is>
          <t>4580149743007</t>
        </is>
      </c>
      <c r="C397" s="22" t="inlineStr">
        <is>
          <t>39759</t>
        </is>
      </c>
      <c r="D397" s="22" t="inlineStr">
        <is>
          <t>Кущоріз Azumasyusaku 155 мм SK5 Hanakumagawa (4580149743007) Японія</t>
        </is>
      </c>
      <c r="E397" s="23" t="n">
        <v>1990</v>
      </c>
    </row>
    <row r="398">
      <c r="A398" s="22" t="inlineStr">
        <is>
          <t>Водоспад</t>
        </is>
      </c>
      <c r="B398" s="22" t="inlineStr">
        <is>
          <t>P51H-SL</t>
        </is>
      </c>
      <c r="C398" s="22" t="inlineStr">
        <is>
          <t>33358</t>
        </is>
      </c>
      <c r="D398" s="22" t="inlineStr">
        <is>
          <t>Кущоріз Bahco P51H-SL Бахо</t>
        </is>
      </c>
      <c r="E398" s="23" t="n">
        <v>3690</v>
      </c>
    </row>
    <row r="399">
      <c r="A399" s="22" t="inlineStr">
        <is>
          <t>Водоспад</t>
        </is>
      </c>
      <c r="B399" s="22" t="inlineStr">
        <is>
          <t>4580149742482</t>
        </is>
      </c>
      <c r="C399" s="22" t="inlineStr">
        <is>
          <t>43288</t>
        </is>
      </c>
      <c r="D399" s="22" t="inlineStr">
        <is>
          <t>Кущоріз Shirogami Steel #2 530 мм Hanakumagawa (4580149742482) Японія</t>
        </is>
      </c>
      <c r="E399" s="23" t="n">
        <v>3990</v>
      </c>
    </row>
    <row r="400">
      <c r="A400" s="22" t="inlineStr">
        <is>
          <t>Водоспад</t>
        </is>
      </c>
      <c r="B400" s="22" t="inlineStr">
        <is>
          <t>b7ae5582-dcce-11f0-81e7-e89c257d8b8f</t>
        </is>
      </c>
      <c r="C400" s="22" t="inlineStr">
        <is>
          <t>42860</t>
        </is>
      </c>
      <c r="D400" s="22" t="inlineStr">
        <is>
          <t>Ластик для видалення ірж 50x40x20 мм Наніва / Naniwa (A-903) Японія</t>
        </is>
      </c>
      <c r="E400" s="23" t="n">
        <v>690</v>
      </c>
    </row>
    <row r="401">
      <c r="A401" s="22" t="inlineStr">
        <is>
          <t>Клуб Рослин</t>
        </is>
      </c>
      <c r="B401" s="22" t="inlineStr">
        <is>
          <t>b7ae5582-dcce-11f0-81e7-e89c257d8b8f</t>
        </is>
      </c>
      <c r="C401" s="22" t="inlineStr">
        <is>
          <t>16437</t>
        </is>
      </c>
      <c r="D401" s="22" t="inlineStr">
        <is>
          <t>Ластик для видалення ірж 50x40x20 мм Наніва / Naniwa (A-903) Японія</t>
        </is>
      </c>
      <c r="E401" s="23" t="n">
        <v>690</v>
      </c>
    </row>
    <row r="402">
      <c r="A402" s="22" t="inlineStr">
        <is>
          <t>Водоспад</t>
        </is>
      </c>
      <c r="B402" s="22" t="inlineStr">
        <is>
          <t>A-903</t>
        </is>
      </c>
      <c r="C402" s="22" t="inlineStr">
        <is>
          <t>42860</t>
        </is>
      </c>
      <c r="D402" s="22" t="inlineStr">
        <is>
          <t>Ластик для видалення іржі 50x40x20 мм Наніва / Naniwa (A-903) Японія</t>
        </is>
      </c>
      <c r="E402" s="23" t="n">
        <v>690</v>
      </c>
    </row>
    <row r="403">
      <c r="A403" s="22" t="inlineStr">
        <is>
          <t>Клуб Рослин</t>
        </is>
      </c>
      <c r="B403" s="22" t="inlineStr">
        <is>
          <t>A-903</t>
        </is>
      </c>
      <c r="C403" s="22" t="inlineStr">
        <is>
          <t>16437</t>
        </is>
      </c>
      <c r="D403" s="22" t="inlineStr">
        <is>
          <t>Ластик для видалення іржі 50x40x20 мм Наніва / Naniwa (A-903) Японія</t>
        </is>
      </c>
      <c r="E403" s="23" t="n">
        <v>690</v>
      </c>
    </row>
    <row r="404">
      <c r="A404" s="22" t="inlineStr">
        <is>
          <t>Водоспад</t>
        </is>
      </c>
      <c r="B404" s="22" t="inlineStr">
        <is>
          <t>LPB-30-1</t>
        </is>
      </c>
      <c r="C404" s="22" t="inlineStr">
        <is>
          <t>37391</t>
        </is>
      </c>
      <c r="D404" s="22" t="inlineStr">
        <is>
          <t>Лезо до сучкорізів ARS LPB-30 S/M/L (LPB-30-1) Японія</t>
        </is>
      </c>
      <c r="E404" s="23" t="n">
        <v>1040</v>
      </c>
    </row>
    <row r="405">
      <c r="A405" s="22" t="inlineStr">
        <is>
          <t>Клуб Рослин</t>
        </is>
      </c>
      <c r="B405" s="22" t="inlineStr">
        <is>
          <t>LPB-30-1</t>
        </is>
      </c>
      <c r="C405" s="22" t="inlineStr">
        <is>
          <t>10485</t>
        </is>
      </c>
      <c r="D405" s="22" t="inlineStr">
        <is>
          <t>Лезо до сучкорізів ARS LPB-30 S/M/L (LPB-30-1) Японія</t>
        </is>
      </c>
      <c r="E405" s="23" t="n">
        <v>1040</v>
      </c>
    </row>
    <row r="406">
      <c r="A406" s="22" t="inlineStr">
        <is>
          <t>Клуб Рослин</t>
        </is>
      </c>
      <c r="B406" s="22" t="inlineStr">
        <is>
          <t>3103 MFVA.B</t>
        </is>
      </c>
      <c r="C406" s="22" t="inlineStr">
        <is>
          <t>10512</t>
        </is>
      </c>
      <c r="D406" s="22" t="inlineStr">
        <is>
          <t>Лопата штикова Bellota 3103 MFVA.B Іспанія</t>
        </is>
      </c>
      <c r="E406" s="23" t="n">
        <v>1310</v>
      </c>
    </row>
    <row r="407">
      <c r="A407" s="22" t="inlineStr">
        <is>
          <t>Водоспад</t>
        </is>
      </c>
      <c r="B407" s="22" t="inlineStr">
        <is>
          <t>570-27</t>
        </is>
      </c>
      <c r="C407" s="22" t="inlineStr">
        <is>
          <t>38193</t>
        </is>
      </c>
      <c r="D407" s="22" t="inlineStr">
        <is>
          <t>Мачете Silky YOKI 270 мм (570-27) Японія</t>
        </is>
      </c>
      <c r="E407" s="23" t="n">
        <v>4290</v>
      </c>
    </row>
    <row r="408">
      <c r="A408" s="22" t="inlineStr">
        <is>
          <t>Водоспад</t>
        </is>
      </c>
      <c r="B408" s="22" t="inlineStr">
        <is>
          <t>290213-32</t>
        </is>
      </c>
      <c r="C408" s="22" t="inlineStr">
        <is>
          <t>36984</t>
        </is>
      </c>
      <c r="D408" s="22" t="inlineStr">
        <is>
          <t>Мачете Фалчі / Falci GIUSTINA (290213-32) Італія</t>
        </is>
      </c>
      <c r="E408" s="23" t="n">
        <v>1310</v>
      </c>
    </row>
    <row r="409">
      <c r="A409" s="22" t="inlineStr">
        <is>
          <t>Водоспад</t>
        </is>
      </c>
      <c r="B409" s="22" t="inlineStr">
        <is>
          <t>555-21</t>
        </is>
      </c>
      <c r="C409" s="22" t="inlineStr">
        <is>
          <t>38190</t>
        </is>
      </c>
      <c r="D409" s="22" t="inlineStr">
        <is>
          <t>Мачете-сокира Silky NATA 210 мм (555-21) Японія</t>
        </is>
      </c>
      <c r="E409" s="23" t="n">
        <v>4099</v>
      </c>
    </row>
    <row r="410">
      <c r="A410" s="22" t="inlineStr">
        <is>
          <t>Водоспад</t>
        </is>
      </c>
      <c r="B410" s="22" t="inlineStr">
        <is>
          <t>bag2321</t>
        </is>
      </c>
      <c r="C410" s="22" t="inlineStr">
        <is>
          <t>42128</t>
        </is>
      </c>
      <c r="D410" s="22" t="inlineStr">
        <is>
          <t>Мішечок на пояс для збору ягід 23х21 (bag2321)</t>
        </is>
      </c>
      <c r="E410" s="23" t="n">
        <v>260</v>
      </c>
    </row>
    <row r="411">
      <c r="A411" s="22" t="inlineStr">
        <is>
          <t>Водоспад</t>
        </is>
      </c>
      <c r="B411" s="22" t="inlineStr">
        <is>
          <t>20012</t>
        </is>
      </c>
      <c r="C411" s="22" t="inlineStr">
        <is>
          <t>32789</t>
        </is>
      </c>
      <c r="D411" s="22" t="inlineStr">
        <is>
          <t>Набір гвинтів для сучкорізів Lowe 20012 Німеччина</t>
        </is>
      </c>
      <c r="E411" s="23" t="n">
        <v>280</v>
      </c>
    </row>
    <row r="412">
      <c r="A412" s="22" t="inlineStr">
        <is>
          <t>Клуб Рослин</t>
        </is>
      </c>
      <c r="B412" s="22" t="inlineStr">
        <is>
          <t>20012</t>
        </is>
      </c>
      <c r="C412" s="22" t="inlineStr">
        <is>
          <t>14173</t>
        </is>
      </c>
      <c r="D412" s="22" t="inlineStr">
        <is>
          <t>Набір гвинтів для сучкорізів Lowe 20012 Німеччина</t>
        </is>
      </c>
      <c r="E412" s="23" t="n">
        <v>280</v>
      </c>
    </row>
    <row r="413">
      <c r="A413" s="22" t="inlineStr">
        <is>
          <t>Водоспад</t>
        </is>
      </c>
      <c r="B413" s="22" t="inlineStr">
        <is>
          <t>KR-1000-1</t>
        </is>
      </c>
      <c r="C413" s="22" t="inlineStr">
        <is>
          <t>36674</t>
        </is>
      </c>
      <c r="D413" s="22" t="inlineStr">
        <is>
          <t>Набір лез до садових ножиць ARS KR-1000 (KR-1000-1)</t>
        </is>
      </c>
      <c r="E413" s="23" t="n">
        <v>1460</v>
      </c>
    </row>
    <row r="414">
      <c r="A414" s="22" t="inlineStr">
        <is>
          <t>Клуб Рослин</t>
        </is>
      </c>
      <c r="B414" s="22" t="inlineStr">
        <is>
          <t>KR-1000-1</t>
        </is>
      </c>
      <c r="C414" s="22" t="inlineStr">
        <is>
          <t>10752</t>
        </is>
      </c>
      <c r="D414" s="22" t="inlineStr">
        <is>
          <t>Набір лез до садових ножиць ARS KR-1000 (KR-1000-1)</t>
        </is>
      </c>
      <c r="E414" s="23" t="n">
        <v>1460</v>
      </c>
    </row>
    <row r="415">
      <c r="A415" s="22" t="inlineStr">
        <is>
          <t>Водоспад</t>
        </is>
      </c>
      <c r="B415" s="22" t="inlineStr">
        <is>
          <t>20005</t>
        </is>
      </c>
      <c r="C415" s="22" t="inlineStr">
        <is>
          <t>32783</t>
        </is>
      </c>
      <c r="D415" s="22" t="inlineStr">
        <is>
          <t>Набір центрального кріплення Lowe 20005 Німеччина</t>
        </is>
      </c>
      <c r="E415" s="23" t="n">
        <v>695</v>
      </c>
    </row>
    <row r="416">
      <c r="A416" s="22" t="inlineStr">
        <is>
          <t>Клуб Рослин</t>
        </is>
      </c>
      <c r="B416" s="22" t="inlineStr">
        <is>
          <t>20005</t>
        </is>
      </c>
      <c r="C416" s="22" t="inlineStr">
        <is>
          <t>10773</t>
        </is>
      </c>
      <c r="D416" s="22" t="inlineStr">
        <is>
          <t>Набір центрального кріплення Lowe 20005 Німеччина</t>
        </is>
      </c>
      <c r="E416" s="23" t="n">
        <v>695</v>
      </c>
    </row>
    <row r="417">
      <c r="A417" s="22" t="inlineStr">
        <is>
          <t>Водоспад</t>
        </is>
      </c>
      <c r="B417" s="22" t="inlineStr">
        <is>
          <t>KZSI200000</t>
        </is>
      </c>
      <c r="C417" s="22" t="inlineStr">
        <is>
          <t>33920</t>
        </is>
      </c>
      <c r="D417" s="22" t="inlineStr">
        <is>
          <t>Напилок для заточування пилок Silky KZSI 950-02-64 (KZSI200000)</t>
        </is>
      </c>
      <c r="E417" s="23" t="n">
        <v>1590</v>
      </c>
    </row>
    <row r="418">
      <c r="A418" s="22" t="inlineStr">
        <is>
          <t>Водоспад</t>
        </is>
      </c>
      <c r="B418" s="22" t="inlineStr">
        <is>
          <t>4580149746398</t>
        </is>
      </c>
      <c r="C418" s="22" t="inlineStr">
        <is>
          <t>37902</t>
        </is>
      </c>
      <c r="D418" s="22" t="inlineStr">
        <is>
          <t>Ножиці 170 мм Ханакумагава / Hanakumagawa (4580149746398) Японія</t>
        </is>
      </c>
      <c r="E418" s="23" t="n">
        <v>4390</v>
      </c>
    </row>
    <row r="419">
      <c r="A419" s="22" t="inlineStr">
        <is>
          <t>Водоспад</t>
        </is>
      </c>
      <c r="B419" s="22" t="inlineStr">
        <is>
          <t>4580149742093</t>
        </is>
      </c>
      <c r="C419" s="22" t="inlineStr">
        <is>
          <t>37461</t>
        </is>
      </c>
      <c r="D419" s="22" t="inlineStr">
        <is>
          <t>Ножиці 200 мм Ханакумагава / Hanakumagawa (4580149742093) Японія</t>
        </is>
      </c>
      <c r="E419" s="23" t="n">
        <v>4990</v>
      </c>
    </row>
    <row r="420">
      <c r="A420" s="22" t="inlineStr">
        <is>
          <t>Водоспад</t>
        </is>
      </c>
      <c r="B420" s="22" t="inlineStr">
        <is>
          <t>160/27</t>
        </is>
      </c>
      <c r="C420" s="22" t="inlineStr">
        <is>
          <t>39924</t>
        </is>
      </c>
      <c r="D420" s="22" t="inlineStr">
        <is>
          <t>Ножиці Due Buoi (160/27) Італія</t>
        </is>
      </c>
      <c r="E420" s="23" t="n">
        <v>790</v>
      </c>
    </row>
    <row r="421">
      <c r="A421" s="22" t="inlineStr">
        <is>
          <t>Водоспад</t>
        </is>
      </c>
      <c r="B421" s="22" t="inlineStr">
        <is>
          <t>1148/18.5</t>
        </is>
      </c>
      <c r="C421" s="22" t="inlineStr">
        <is>
          <t>37645</t>
        </is>
      </c>
      <c r="D421" s="22" t="inlineStr">
        <is>
          <t>Ножиці Due Buoi 1148/18,5 INOX (1148/18.5) Італія</t>
        </is>
      </c>
      <c r="E421" s="23" t="n">
        <v>295</v>
      </c>
    </row>
    <row r="422">
      <c r="A422" s="22" t="inlineStr">
        <is>
          <t>Клуб Рослин</t>
        </is>
      </c>
      <c r="B422" s="22" t="inlineStr">
        <is>
          <t>1148/18.5</t>
        </is>
      </c>
      <c r="C422" s="22" t="inlineStr">
        <is>
          <t>11886</t>
        </is>
      </c>
      <c r="D422" s="22" t="inlineStr">
        <is>
          <t>Ножиці Due Buoi 1148/18,5 INOX (1148/18.5) Італія</t>
        </is>
      </c>
      <c r="E422" s="23" t="n">
        <v>295</v>
      </c>
    </row>
    <row r="423">
      <c r="A423" s="22" t="inlineStr">
        <is>
          <t>Водоспад</t>
        </is>
      </c>
      <c r="B423" s="22" t="inlineStr">
        <is>
          <t>P128-19</t>
        </is>
      </c>
      <c r="C423" s="22" t="inlineStr">
        <is>
          <t>31972</t>
        </is>
      </c>
      <c r="D423" s="22" t="inlineStr">
        <is>
          <t>Ножиці для збирання винограду Р128-19 Bahco</t>
        </is>
      </c>
      <c r="E423" s="23" t="n">
        <v>570</v>
      </c>
    </row>
    <row r="424">
      <c r="A424" s="22" t="inlineStr">
        <is>
          <t>Клуб Рослин</t>
        </is>
      </c>
      <c r="B424" s="22" t="inlineStr">
        <is>
          <t>P128-19</t>
        </is>
      </c>
      <c r="C424" s="22" t="inlineStr">
        <is>
          <t>11037</t>
        </is>
      </c>
      <c r="D424" s="22" t="inlineStr">
        <is>
          <t>Ножиці для збирання винограду Р128-19 Bahco</t>
        </is>
      </c>
      <c r="E424" s="23" t="n">
        <v>570</v>
      </c>
    </row>
    <row r="425">
      <c r="A425" s="22" t="inlineStr">
        <is>
          <t>Клуб Рослин</t>
        </is>
      </c>
      <c r="B425" s="22" t="inlineStr">
        <is>
          <t>3461-R.B</t>
        </is>
      </c>
      <c r="C425" s="22" t="inlineStr">
        <is>
          <t>11020</t>
        </is>
      </c>
      <c r="D425" s="22" t="inlineStr">
        <is>
          <t>Ножиці для кущів (3461-R.B) Bellota Іспанія</t>
        </is>
      </c>
      <c r="E425" s="23" t="n">
        <v>2287</v>
      </c>
    </row>
    <row r="426">
      <c r="A426" s="22" t="inlineStr">
        <is>
          <t>Водоспад</t>
        </is>
      </c>
      <c r="B426" s="22" t="inlineStr">
        <is>
          <t>613/20</t>
        </is>
      </c>
      <c r="C426" s="22" t="inlineStr">
        <is>
          <t>37725</t>
        </is>
      </c>
      <c r="D426" s="22" t="inlineStr">
        <is>
          <t>Ножиці для кущів Due Buoi 613/20 Італія</t>
        </is>
      </c>
      <c r="E426" s="23" t="n">
        <v>1990</v>
      </c>
    </row>
    <row r="427">
      <c r="A427" s="22" t="inlineStr">
        <is>
          <t>Клуб Рослин</t>
        </is>
      </c>
      <c r="B427" s="22" t="inlineStr">
        <is>
          <t>K-800</t>
        </is>
      </c>
      <c r="C427" s="22" t="inlineStr">
        <is>
          <t>11015</t>
        </is>
      </c>
      <c r="D427" s="22" t="inlineStr">
        <is>
          <t>Ножиці для кущів АРС / ARS (K-800) Японія</t>
        </is>
      </c>
      <c r="E427" s="23" t="n">
        <v>2389</v>
      </c>
    </row>
    <row r="428">
      <c r="A428" s="22" t="inlineStr">
        <is>
          <t>Водоспад</t>
        </is>
      </c>
      <c r="B428" s="22" t="inlineStr">
        <is>
          <t>KR-1000</t>
        </is>
      </c>
      <c r="C428" s="22" t="inlineStr">
        <is>
          <t>33507</t>
        </is>
      </c>
      <c r="D428" s="22" t="inlineStr">
        <is>
          <t>Ножиці для кущів АРС / ARS (KR-1000) Японія</t>
        </is>
      </c>
      <c r="E428" s="23" t="n">
        <v>4460</v>
      </c>
    </row>
    <row r="429">
      <c r="A429" s="22" t="inlineStr">
        <is>
          <t>Клуб Рослин</t>
        </is>
      </c>
      <c r="B429" s="22" t="inlineStr">
        <is>
          <t>KR-1000</t>
        </is>
      </c>
      <c r="C429" s="22" t="inlineStr">
        <is>
          <t>11017</t>
        </is>
      </c>
      <c r="D429" s="22" t="inlineStr">
        <is>
          <t>Ножиці для кущів АРС / ARS (KR-1000) Японія</t>
        </is>
      </c>
      <c r="E429" s="23" t="n">
        <v>4460</v>
      </c>
    </row>
    <row r="430">
      <c r="A430" s="22" t="inlineStr">
        <is>
          <t>Водоспад</t>
        </is>
      </c>
      <c r="B430" s="22" t="inlineStr">
        <is>
          <t>KR-1000L</t>
        </is>
      </c>
      <c r="C430" s="22" t="inlineStr">
        <is>
          <t>41092</t>
        </is>
      </c>
      <c r="D430" s="22" t="inlineStr">
        <is>
          <t>Ножиці для кущів АРС / ARS (KR-1000L) Японія</t>
        </is>
      </c>
      <c r="E430" s="23" t="n">
        <v>4459</v>
      </c>
    </row>
    <row r="431">
      <c r="A431" s="22" t="inlineStr">
        <is>
          <t>Клуб Рослин</t>
        </is>
      </c>
      <c r="B431" s="22" t="inlineStr">
        <is>
          <t>KR-1000L</t>
        </is>
      </c>
      <c r="C431" s="22" t="inlineStr">
        <is>
          <t>11018</t>
        </is>
      </c>
      <c r="D431" s="22" t="inlineStr">
        <is>
          <t>Ножиці для кущів АРС / ARS (KR-1000L) Японія</t>
        </is>
      </c>
      <c r="E431" s="23" t="n">
        <v>4459</v>
      </c>
    </row>
    <row r="432">
      <c r="A432" s="22" t="inlineStr">
        <is>
          <t>Водоспад</t>
        </is>
      </c>
      <c r="B432" s="22" t="inlineStr">
        <is>
          <t>P52-SL-20</t>
        </is>
      </c>
      <c r="C432" s="22" t="inlineStr">
        <is>
          <t>42776</t>
        </is>
      </c>
      <c r="D432" s="22" t="inlineStr">
        <is>
          <t>Ножиці для топіарної стрижки P52-SL-20 Bahco</t>
        </is>
      </c>
      <c r="E432" s="23" t="n">
        <v>4299</v>
      </c>
    </row>
    <row r="433">
      <c r="A433" s="22" t="inlineStr">
        <is>
          <t>Клуб Рослин</t>
        </is>
      </c>
      <c r="B433" s="22" t="inlineStr">
        <is>
          <t>P52-SL-20</t>
        </is>
      </c>
      <c r="C433" s="22" t="inlineStr">
        <is>
          <t>11763</t>
        </is>
      </c>
      <c r="D433" s="22" t="inlineStr">
        <is>
          <t>Ножиці для топіарної стрижки P52-SL-20 Bahco</t>
        </is>
      </c>
      <c r="E433" s="23" t="n">
        <v>4299</v>
      </c>
    </row>
    <row r="434">
      <c r="A434" s="22" t="inlineStr">
        <is>
          <t>Водоспад</t>
        </is>
      </c>
      <c r="B434" s="22" t="inlineStr">
        <is>
          <t>TBS270</t>
        </is>
      </c>
      <c r="C434" s="22" t="inlineStr">
        <is>
          <t>41110</t>
        </is>
      </c>
      <c r="D434" s="22" t="inlineStr">
        <is>
          <t>Ножиці для топінарної стрижки 270 мм Тобішо / Tobisho (TBS270) Японія</t>
        </is>
      </c>
      <c r="E434" s="23" t="n">
        <v>8999</v>
      </c>
    </row>
    <row r="435">
      <c r="A435" s="22" t="inlineStr">
        <is>
          <t>Клуб Рослин</t>
        </is>
      </c>
      <c r="B435" s="22" t="inlineStr">
        <is>
          <t>4587-13.В</t>
        </is>
      </c>
      <c r="C435" s="22" t="inlineStr">
        <is>
          <t>11297</t>
        </is>
      </c>
      <c r="D435" s="22" t="inlineStr">
        <is>
          <t>Ножівка садова з чохлом 330 мм Bellota (4587-13.В) Іспанія</t>
        </is>
      </c>
      <c r="E435" s="23" t="n">
        <v>1310</v>
      </c>
    </row>
    <row r="436">
      <c r="A436" s="22" t="inlineStr">
        <is>
          <t>Клуб Рослин</t>
        </is>
      </c>
      <c r="B436" s="22" t="inlineStr">
        <is>
          <t>4588-13.B</t>
        </is>
      </c>
      <c r="C436" s="22" t="inlineStr">
        <is>
          <t>11210</t>
        </is>
      </c>
      <c r="D436" s="22" t="inlineStr">
        <is>
          <t>Ножівка садова з чохлом 330 мм Bellota (4588-13.В) Іспанія</t>
        </is>
      </c>
      <c r="E436" s="23" t="n">
        <v>1638</v>
      </c>
    </row>
    <row r="437">
      <c r="A437" s="22" t="inlineStr">
        <is>
          <t>Водоспад</t>
        </is>
      </c>
      <c r="B437" s="22" t="inlineStr">
        <is>
          <t>5791/R</t>
        </is>
      </c>
      <c r="C437" s="22" t="inlineStr">
        <is>
          <t>41718</t>
        </is>
      </c>
      <c r="D437" s="22" t="inlineStr">
        <is>
          <t>Ніж Antonini 5791/R для щеплення Антоніні Італія</t>
        </is>
      </c>
      <c r="E437" s="23" t="n">
        <v>430</v>
      </c>
    </row>
    <row r="438">
      <c r="A438" s="22" t="inlineStr">
        <is>
          <t>Клуб Рослин</t>
        </is>
      </c>
      <c r="B438" s="22" t="inlineStr">
        <is>
          <t>201AP</t>
        </is>
      </c>
      <c r="C438" s="22" t="inlineStr">
        <is>
          <t>10847</t>
        </is>
      </c>
      <c r="D438" s="22" t="inlineStr">
        <is>
          <t>Ніж Due Buoi 201AP для щеплення універсальний Італія</t>
        </is>
      </c>
      <c r="E438" s="23" t="n">
        <v>1990</v>
      </c>
    </row>
    <row r="439">
      <c r="A439" s="22" t="inlineStr">
        <is>
          <t>Водоспад</t>
        </is>
      </c>
      <c r="B439" s="22" t="inlineStr">
        <is>
          <t>12057</t>
        </is>
      </c>
      <c r="C439" s="22" t="inlineStr">
        <is>
          <t>41021</t>
        </is>
      </c>
      <c r="D439" s="22" t="inlineStr">
        <is>
          <t>Ніж Morakniv Outdoor Mora 2000 (S) Orange (12057) Швеція</t>
        </is>
      </c>
      <c r="E439" s="23" t="n">
        <v>1339</v>
      </c>
    </row>
    <row r="440">
      <c r="A440" s="22" t="inlineStr">
        <is>
          <t>Водоспад</t>
        </is>
      </c>
      <c r="B440" s="22" t="inlineStr">
        <is>
          <t>12356</t>
        </is>
      </c>
      <c r="C440" s="22" t="inlineStr">
        <is>
          <t>41024</t>
        </is>
      </c>
      <c r="D440" s="22" t="inlineStr">
        <is>
          <t>Ніж Мора / Morakniv Bushcraft Forest Sandvik 12C27 (12356) Швеція</t>
        </is>
      </c>
      <c r="E440" s="23" t="n">
        <v>1799</v>
      </c>
    </row>
    <row r="441">
      <c r="A441" s="22" t="inlineStr">
        <is>
          <t>Водоспад</t>
        </is>
      </c>
      <c r="B441" s="22" t="inlineStr">
        <is>
          <t>9387/19LU</t>
        </is>
      </c>
      <c r="C441" s="22" t="inlineStr">
        <is>
          <t>40906</t>
        </is>
      </c>
      <c r="D441" s="22" t="inlineStr">
        <is>
          <t>Ніж грибника Old Bear M 19 см Antonini (9387/19LU) Італія</t>
        </is>
      </c>
      <c r="E441" s="23" t="n">
        <v>1650</v>
      </c>
    </row>
    <row r="442">
      <c r="A442" s="22" t="inlineStr">
        <is>
          <t>Клуб Рослин</t>
        </is>
      </c>
      <c r="B442" s="22" t="inlineStr">
        <is>
          <t>9500/L.A</t>
        </is>
      </c>
      <c r="C442" s="22" t="inlineStr">
        <is>
          <t>15498</t>
        </is>
      </c>
      <c r="D442" s="22" t="inlineStr">
        <is>
          <t>Ніж для обрізки і зачистки високовуглецева сталь Антоніні / Antonini (9500/L.A) Італія</t>
        </is>
      </c>
      <c r="E442" s="23" t="n">
        <v>535</v>
      </c>
    </row>
    <row r="443">
      <c r="A443" s="22" t="inlineStr">
        <is>
          <t>Водоспад</t>
        </is>
      </c>
      <c r="B443" s="22" t="inlineStr">
        <is>
          <t>TC90045</t>
        </is>
      </c>
      <c r="C443" s="22" t="inlineStr">
        <is>
          <t>36474</t>
        </is>
      </c>
      <c r="D443" s="22" t="inlineStr">
        <is>
          <t>Ніж для степлера (комплект) Tapener HT-R1 MAX (TC90045)</t>
        </is>
      </c>
      <c r="E443" s="23" t="n">
        <v>325</v>
      </c>
    </row>
    <row r="444">
      <c r="A444" s="22" t="inlineStr">
        <is>
          <t>Водоспад</t>
        </is>
      </c>
      <c r="B444" s="22" t="inlineStr">
        <is>
          <t>202P-SIN</t>
        </is>
      </c>
      <c r="C444" s="22" t="inlineStr">
        <is>
          <t>33500</t>
        </is>
      </c>
      <c r="D444" s="22" t="inlineStr">
        <is>
          <t>Ніж для шульги прищепний Due Buoi 202P-SIN Італія</t>
        </is>
      </c>
      <c r="E444" s="23" t="n">
        <v>1100</v>
      </c>
    </row>
    <row r="445">
      <c r="A445" s="22" t="inlineStr">
        <is>
          <t>Водоспад</t>
        </is>
      </c>
      <c r="B445" s="22" t="inlineStr">
        <is>
          <t>5037/L</t>
        </is>
      </c>
      <c r="C445" s="22" t="inlineStr">
        <is>
          <t>42664</t>
        </is>
      </c>
      <c r="D445" s="22" t="inlineStr">
        <is>
          <t>Ніж для щеплення Антоніні / Antonini (5037/L) Італія</t>
        </is>
      </c>
      <c r="E445" s="23" t="n">
        <v>1090</v>
      </c>
    </row>
    <row r="446">
      <c r="A446" s="22" t="inlineStr">
        <is>
          <t>Водоспад</t>
        </is>
      </c>
      <c r="B446" s="22" t="inlineStr">
        <is>
          <t>266L</t>
        </is>
      </c>
      <c r="C446" s="22" t="inlineStr">
        <is>
          <t>33239</t>
        </is>
      </c>
      <c r="D446" s="22" t="inlineStr">
        <is>
          <t>Ніж для щеплення горіха Due Buoi 266L Італія</t>
        </is>
      </c>
      <c r="E446" s="23" t="n">
        <v>1725</v>
      </c>
    </row>
    <row r="447">
      <c r="A447" s="22" t="inlineStr">
        <is>
          <t>Водоспад</t>
        </is>
      </c>
      <c r="B447" s="22" t="inlineStr">
        <is>
          <t>5116/L</t>
        </is>
      </c>
      <c r="C447" s="22" t="inlineStr">
        <is>
          <t>42665</t>
        </is>
      </c>
      <c r="D447" s="22" t="inlineStr">
        <is>
          <t>Ніж для щеплення з відокремлювачем​​​​​​​ кори Антоніні / Antonini (5116/L) Італія</t>
        </is>
      </c>
      <c r="E447" s="23" t="n">
        <v>1490</v>
      </c>
    </row>
    <row r="448">
      <c r="A448" s="22" t="inlineStr">
        <is>
          <t>Клуб Рослин</t>
        </is>
      </c>
      <c r="B448" s="22" t="inlineStr">
        <is>
          <t>5016/AL.R</t>
        </is>
      </c>
      <c r="C448" s="22" t="inlineStr">
        <is>
          <t>10809</t>
        </is>
      </c>
      <c r="D448" s="22" t="inlineStr">
        <is>
          <t>Ніж для щеплення універсальний високовуглецева сталь Антоніні / Antonini (5016/AL.R) Італія</t>
        </is>
      </c>
      <c r="E448" s="23" t="n">
        <v>1900</v>
      </c>
    </row>
    <row r="449">
      <c r="A449" s="22" t="inlineStr">
        <is>
          <t>Водоспад</t>
        </is>
      </c>
      <c r="B449" s="22" t="inlineStr">
        <is>
          <t>9377/19_LN</t>
        </is>
      </c>
      <c r="C449" s="22" t="inlineStr">
        <is>
          <t>40623</t>
        </is>
      </c>
      <c r="D449" s="22" t="inlineStr">
        <is>
          <t>Ніж для щеплення універсальний нержавіюча сталь Антоніні / Antonini OLD BEAR (9377/19_LN) Італія</t>
        </is>
      </c>
      <c r="E449" s="23" t="n">
        <v>1290</v>
      </c>
    </row>
    <row r="450">
      <c r="A450" s="22" t="inlineStr">
        <is>
          <t>Клуб Рослин</t>
        </is>
      </c>
      <c r="B450" s="22" t="inlineStr">
        <is>
          <t>9377/19_LN</t>
        </is>
      </c>
      <c r="C450" s="22" t="inlineStr">
        <is>
          <t>15500</t>
        </is>
      </c>
      <c r="D450" s="22" t="inlineStr">
        <is>
          <t>Ніж для щеплення універсальний нержавіюча сталь Антоніні / Antonini OLD BEAR (9377/19_LN) Італія</t>
        </is>
      </c>
      <c r="E450" s="23" t="n">
        <v>1290</v>
      </c>
    </row>
    <row r="451">
      <c r="A451" s="22" t="inlineStr">
        <is>
          <t>Водоспад</t>
        </is>
      </c>
      <c r="B451" s="22" t="inlineStr">
        <is>
          <t>5540/2N</t>
        </is>
      </c>
      <c r="C451" s="22" t="inlineStr">
        <is>
          <t>41716</t>
        </is>
      </c>
      <c r="D451" s="22" t="inlineStr">
        <is>
          <t>Ніж садовий 2 леза для щеплення Антоніні / Antonini 17 см сталь - C67 (5540/2N) Італія</t>
        </is>
      </c>
      <c r="E451" s="23" t="n">
        <v>710</v>
      </c>
    </row>
    <row r="452">
      <c r="A452" s="22" t="inlineStr">
        <is>
          <t>Клуб Рослин</t>
        </is>
      </c>
      <c r="B452" s="22" t="inlineStr">
        <is>
          <t>5540/2N</t>
        </is>
      </c>
      <c r="C452" s="22" t="inlineStr">
        <is>
          <t>13252</t>
        </is>
      </c>
      <c r="D452" s="22" t="inlineStr">
        <is>
          <t>Ніж садовий 2 леза для щеплення Антоніні / Antonini 17 см сталь - C67 (5540/2N) Італія</t>
        </is>
      </c>
      <c r="E452" s="23" t="n">
        <v>710</v>
      </c>
    </row>
    <row r="453">
      <c r="A453" s="22" t="inlineStr">
        <is>
          <t>Водоспад</t>
        </is>
      </c>
      <c r="B453" s="22" t="inlineStr">
        <is>
          <t>626/11</t>
        </is>
      </c>
      <c r="C453" s="22" t="inlineStr">
        <is>
          <t>40645</t>
        </is>
      </c>
      <c r="D453" s="22" t="inlineStr">
        <is>
          <t>Ніж садовий для обрізки Тіна / Tina (626/11) Німеччина</t>
        </is>
      </c>
      <c r="E453" s="23" t="n">
        <v>6599</v>
      </c>
    </row>
    <row r="454">
      <c r="A454" s="22" t="inlineStr">
        <is>
          <t>Водоспад</t>
        </is>
      </c>
      <c r="B454" s="22" t="inlineStr">
        <is>
          <t>630/11</t>
        </is>
      </c>
      <c r="C454" s="22" t="inlineStr">
        <is>
          <t>42245</t>
        </is>
      </c>
      <c r="D454" s="22" t="inlineStr">
        <is>
          <t>Ніж садовий для обрізки Тіна / Tina (630/11) Німеччина</t>
        </is>
      </c>
      <c r="E454" s="23" t="n">
        <v>6999</v>
      </c>
    </row>
    <row r="455">
      <c r="A455" s="22" t="inlineStr">
        <is>
          <t>Водоспад</t>
        </is>
      </c>
      <c r="B455" s="22" t="inlineStr">
        <is>
          <t>5540/L</t>
        </is>
      </c>
      <c r="C455" s="22" t="inlineStr">
        <is>
          <t>41714</t>
        </is>
      </c>
      <c r="D455" s="22" t="inlineStr">
        <is>
          <t>Ніж садовий для щеплення Антоніні / Antonini 17 см лезо - C67 (5540/L) Італія</t>
        </is>
      </c>
      <c r="E455" s="23" t="n">
        <v>750</v>
      </c>
    </row>
    <row r="456">
      <c r="A456" s="22" t="inlineStr">
        <is>
          <t>Водоспад</t>
        </is>
      </c>
      <c r="B456" s="22" t="inlineStr">
        <is>
          <t>5540/N</t>
        </is>
      </c>
      <c r="C456" s="22" t="inlineStr">
        <is>
          <t>41715</t>
        </is>
      </c>
      <c r="D456" s="22" t="inlineStr">
        <is>
          <t>Ніж садовий для щеплення Антоніні / Antonini 17 см лезо - C67 (5540/N) Італія</t>
        </is>
      </c>
      <c r="E456" s="23" t="n">
        <v>410</v>
      </c>
    </row>
    <row r="457">
      <c r="A457" s="22" t="inlineStr">
        <is>
          <t>Клуб Рослин</t>
        </is>
      </c>
      <c r="B457" s="22" t="inlineStr">
        <is>
          <t>SR-LIM-255</t>
        </is>
      </c>
      <c r="C457" s="22" t="inlineStr">
        <is>
          <t>16110</t>
        </is>
      </c>
      <c r="D457" s="22" t="inlineStr">
        <is>
          <t>Обмежувач для тримера на ніж 255 мм Smart Rain (SR-LIM-255) Україна</t>
        </is>
      </c>
      <c r="E457" s="23" t="n">
        <v>1450</v>
      </c>
    </row>
    <row r="458">
      <c r="A458" s="22" t="inlineStr">
        <is>
          <t>Водоспад</t>
        </is>
      </c>
      <c r="B458" s="22" t="inlineStr">
        <is>
          <t>21002</t>
        </is>
      </c>
      <c r="C458" s="22" t="inlineStr">
        <is>
          <t>32792</t>
        </is>
      </c>
      <c r="D458" s="22" t="inlineStr">
        <is>
          <t>Опорне лезо для сучкоріза LOWE 21 Lowe 21002 Німеччина</t>
        </is>
      </c>
      <c r="E458" s="23" t="n">
        <v>1430</v>
      </c>
    </row>
    <row r="459">
      <c r="A459" s="22" t="inlineStr">
        <is>
          <t>Водоспад</t>
        </is>
      </c>
      <c r="B459" s="22" t="inlineStr">
        <is>
          <t>20013</t>
        </is>
      </c>
      <c r="C459" s="22" t="inlineStr">
        <is>
          <t>32790</t>
        </is>
      </c>
      <c r="D459" s="22" t="inlineStr">
        <is>
          <t>Опорний важіль для гілкоріза Lowe 20013 Німеччина</t>
        </is>
      </c>
      <c r="E459" s="23" t="n">
        <v>1235</v>
      </c>
    </row>
    <row r="460">
      <c r="A460" s="22" t="inlineStr">
        <is>
          <t>Клуб Рослин</t>
        </is>
      </c>
      <c r="B460" s="22" t="inlineStr">
        <is>
          <t>20013</t>
        </is>
      </c>
      <c r="C460" s="22" t="inlineStr">
        <is>
          <t>11138</t>
        </is>
      </c>
      <c r="D460" s="22" t="inlineStr">
        <is>
          <t>Опорний важіль для гілкоріза Lowe 20013 Німеччина</t>
        </is>
      </c>
      <c r="E460" s="23" t="n">
        <v>1235</v>
      </c>
    </row>
    <row r="461">
      <c r="A461" s="22" t="inlineStr">
        <is>
          <t>Водоспад</t>
        </is>
      </c>
      <c r="B461" s="22" t="inlineStr">
        <is>
          <t>22013</t>
        </is>
      </c>
      <c r="C461" s="22" t="inlineStr">
        <is>
          <t>32796</t>
        </is>
      </c>
      <c r="D461" s="22" t="inlineStr">
        <is>
          <t>Опорний важіль для гілкоріза Lowe 22013 Німеччина</t>
        </is>
      </c>
      <c r="E461" s="23" t="n">
        <v>1250</v>
      </c>
    </row>
    <row r="462">
      <c r="A462" s="22" t="inlineStr">
        <is>
          <t>Водоспад</t>
        </is>
      </c>
      <c r="B462" s="22" t="inlineStr">
        <is>
          <t>5020003N</t>
        </is>
      </c>
      <c r="C462" s="22" t="inlineStr">
        <is>
          <t>37647</t>
        </is>
      </c>
      <c r="D462" s="22" t="inlineStr">
        <is>
          <t>Паста Потабен / Potaben Ci 1 кг AgriChem Італія</t>
        </is>
      </c>
      <c r="E462" s="23" t="n">
        <v>1295</v>
      </c>
    </row>
    <row r="463">
      <c r="A463" s="22" t="inlineStr">
        <is>
          <t>Водоспад</t>
        </is>
      </c>
      <c r="B463" s="22" t="inlineStr">
        <is>
          <t>5020001N</t>
        </is>
      </c>
      <c r="C463" s="22" t="inlineStr">
        <is>
          <t>37646</t>
        </is>
      </c>
      <c r="D463" s="22" t="inlineStr">
        <is>
          <t>Паста Потабен / Potaben Ci 500 г AgriChem Італія</t>
        </is>
      </c>
      <c r="E463" s="23" t="n">
        <v>750</v>
      </c>
    </row>
    <row r="464">
      <c r="A464" s="22" t="inlineStr">
        <is>
          <t>Клуб Рослин</t>
        </is>
      </c>
      <c r="B464" s="22" t="inlineStr">
        <is>
          <t>210DX</t>
        </is>
      </c>
      <c r="C464" s="22" t="inlineStr">
        <is>
          <t>11175</t>
        </is>
      </c>
      <c r="D464" s="22" t="inlineStr">
        <is>
          <t>Пила АРС / ARS (210DX) складна Японія</t>
        </is>
      </c>
      <c r="E464" s="23" t="n">
        <v>939</v>
      </c>
    </row>
    <row r="465">
      <c r="A465" s="22" t="inlineStr">
        <is>
          <t>Водоспад</t>
        </is>
      </c>
      <c r="B465" s="22" t="inlineStr">
        <is>
          <t>CAM-24LN</t>
        </is>
      </c>
      <c r="C465" s="22" t="inlineStr">
        <is>
          <t>38653</t>
        </is>
      </c>
      <c r="D465" s="22" t="inlineStr">
        <is>
          <t>Пила АРС / ARS (CAM-24LN) з кобурою Японія</t>
        </is>
      </c>
      <c r="E465" s="23" t="n">
        <v>1459</v>
      </c>
    </row>
    <row r="466">
      <c r="A466" s="22" t="inlineStr">
        <is>
          <t>Водоспад</t>
        </is>
      </c>
      <c r="B466" s="22" t="inlineStr">
        <is>
          <t>CAM-24PRO</t>
        </is>
      </c>
      <c r="C466" s="22" t="inlineStr">
        <is>
          <t>38654</t>
        </is>
      </c>
      <c r="D466" s="22" t="inlineStr">
        <is>
          <t>Пила АРС / ARS (CAM-24PRO) з кобурою Японія</t>
        </is>
      </c>
      <c r="E466" s="23" t="n">
        <v>1999</v>
      </c>
    </row>
    <row r="467">
      <c r="A467" s="22" t="inlineStr">
        <is>
          <t>Клуб Рослин</t>
        </is>
      </c>
      <c r="B467" s="22" t="inlineStr">
        <is>
          <t>CAM-24PRO</t>
        </is>
      </c>
      <c r="C467" s="22" t="inlineStr">
        <is>
          <t>11178</t>
        </is>
      </c>
      <c r="D467" s="22" t="inlineStr">
        <is>
          <t>Пила АРС / ARS (CAM-24PRO) з кобурою Японія</t>
        </is>
      </c>
      <c r="E467" s="23" t="n">
        <v>1999</v>
      </c>
    </row>
    <row r="468">
      <c r="A468" s="22" t="inlineStr">
        <is>
          <t>Водоспад</t>
        </is>
      </c>
      <c r="B468" s="22" t="inlineStr">
        <is>
          <t>CT-32E</t>
        </is>
      </c>
      <c r="C468" s="22" t="inlineStr">
        <is>
          <t>37717</t>
        </is>
      </c>
      <c r="D468" s="22" t="inlineStr">
        <is>
          <t>Пила АРС / ARS (CT-32E) серповидна з кобурою Японія</t>
        </is>
      </c>
      <c r="E468" s="23" t="n">
        <v>1690</v>
      </c>
    </row>
    <row r="469">
      <c r="A469" s="22" t="inlineStr">
        <is>
          <t>Клуб Рослин</t>
        </is>
      </c>
      <c r="B469" s="22" t="inlineStr">
        <is>
          <t>G-18L</t>
        </is>
      </c>
      <c r="C469" s="22" t="inlineStr">
        <is>
          <t>11187</t>
        </is>
      </c>
      <c r="D469" s="22" t="inlineStr">
        <is>
          <t>Пила АРС / ARS (G-18L) складна Японія</t>
        </is>
      </c>
      <c r="E469" s="23" t="n">
        <v>1199</v>
      </c>
    </row>
    <row r="470">
      <c r="A470" s="22" t="inlineStr">
        <is>
          <t>Водоспад</t>
        </is>
      </c>
      <c r="B470" s="22" t="inlineStr">
        <is>
          <t>GR-18L</t>
        </is>
      </c>
      <c r="C470" s="22" t="inlineStr">
        <is>
          <t>38659</t>
        </is>
      </c>
      <c r="D470" s="22" t="inlineStr">
        <is>
          <t>Пила АРС / ARS (GR-18L) складна Японія</t>
        </is>
      </c>
      <c r="E470" s="23" t="n">
        <v>1449</v>
      </c>
    </row>
    <row r="471">
      <c r="A471" s="22" t="inlineStr">
        <is>
          <t>Клуб Рослин</t>
        </is>
      </c>
      <c r="B471" s="22" t="inlineStr">
        <is>
          <t>PM-24</t>
        </is>
      </c>
      <c r="C471" s="22" t="inlineStr">
        <is>
          <t>11192</t>
        </is>
      </c>
      <c r="D471" s="22" t="inlineStr">
        <is>
          <t>Пила АРС / ARS (PM-24) складна Японія</t>
        </is>
      </c>
      <c r="E471" s="23" t="n">
        <v>1920</v>
      </c>
    </row>
    <row r="472">
      <c r="A472" s="22" t="inlineStr">
        <is>
          <t>Водоспад</t>
        </is>
      </c>
      <c r="B472" s="22" t="inlineStr">
        <is>
          <t>PM-24L</t>
        </is>
      </c>
      <c r="C472" s="22" t="inlineStr">
        <is>
          <t>38661</t>
        </is>
      </c>
      <c r="D472" s="22" t="inlineStr">
        <is>
          <t>Пила АРС / ARS (PM-24L) складна Японія</t>
        </is>
      </c>
      <c r="E472" s="23" t="n">
        <v>1920</v>
      </c>
    </row>
    <row r="473">
      <c r="A473" s="22" t="inlineStr">
        <is>
          <t>Водоспад</t>
        </is>
      </c>
      <c r="B473" s="22" t="inlineStr">
        <is>
          <t>UV-32E</t>
        </is>
      </c>
      <c r="C473" s="22" t="inlineStr">
        <is>
          <t>37716</t>
        </is>
      </c>
      <c r="D473" s="22" t="inlineStr">
        <is>
          <t>Пила АРС / ARS (UV-32E) серповидна з кобурою Японія</t>
        </is>
      </c>
      <c r="E473" s="23" t="n">
        <v>1690</v>
      </c>
    </row>
    <row r="474">
      <c r="A474" s="22" t="inlineStr">
        <is>
          <t>Водоспад</t>
        </is>
      </c>
      <c r="B474" s="22" t="inlineStr">
        <is>
          <t>UVR-32PRO</t>
        </is>
      </c>
      <c r="C474" s="22" t="inlineStr">
        <is>
          <t>41929</t>
        </is>
      </c>
      <c r="D474" s="22" t="inlineStr">
        <is>
          <t>Пила АРС Супер Турбокат / ARS Super Turbocut (UVR-32PRO) з кобурою Японія</t>
        </is>
      </c>
      <c r="E474" s="23" t="n">
        <v>3590</v>
      </c>
    </row>
    <row r="475">
      <c r="A475" s="22" t="inlineStr">
        <is>
          <t>Водоспад</t>
        </is>
      </c>
      <c r="B475" s="22" t="inlineStr">
        <is>
          <t>CTR-32PRO</t>
        </is>
      </c>
      <c r="C475" s="22" t="inlineStr">
        <is>
          <t>38663</t>
        </is>
      </c>
      <c r="D475" s="22" t="inlineStr">
        <is>
          <t>Пила АРС Турбокат / ARS Turbocut (CTR-32PRO) серповидна з кобурою Японія</t>
        </is>
      </c>
      <c r="E475" s="23" t="n">
        <v>3590</v>
      </c>
    </row>
    <row r="476">
      <c r="A476" s="22" t="inlineStr">
        <is>
          <t>Клуб Рослин</t>
        </is>
      </c>
      <c r="B476" s="22" t="inlineStr">
        <is>
          <t>CTR-32PRO</t>
        </is>
      </c>
      <c r="C476" s="22" t="inlineStr">
        <is>
          <t>11183</t>
        </is>
      </c>
      <c r="D476" s="22" t="inlineStr">
        <is>
          <t>Пила АРС Турбокат / ARS Turbocut (CTR-32PRO) серповидна з кобурою Японія</t>
        </is>
      </c>
      <c r="E476" s="23" t="n">
        <v>3590</v>
      </c>
    </row>
    <row r="477">
      <c r="A477" s="22" t="inlineStr">
        <is>
          <t>Клуб Рослин</t>
        </is>
      </c>
      <c r="B477" s="22" t="inlineStr">
        <is>
          <t>6350</t>
        </is>
      </c>
      <c r="C477" s="22" t="inlineStr">
        <is>
          <t>14598</t>
        </is>
      </c>
      <c r="D477" s="22" t="inlineStr">
        <is>
          <t>Пила з вигнутим лезом Альпен Берніна / Alpen Bernina (6350) Швейцарія</t>
        </is>
      </c>
      <c r="E477" s="23" t="n">
        <v>1520</v>
      </c>
    </row>
    <row r="478">
      <c r="A478" s="22" t="inlineStr">
        <is>
          <t>Водоспад</t>
        </is>
      </c>
      <c r="B478" s="22" t="inlineStr">
        <is>
          <t>DUKE-25</t>
        </is>
      </c>
      <c r="C478" s="22" t="inlineStr">
        <is>
          <t>38656</t>
        </is>
      </c>
      <c r="D478" s="22" t="inlineStr">
        <is>
          <t>Пила с кобурой АРС / ARS ( DUKE-25) Японія</t>
        </is>
      </c>
      <c r="E478" s="23" t="n">
        <v>1470</v>
      </c>
    </row>
    <row r="479">
      <c r="A479" s="22" t="inlineStr">
        <is>
          <t>Водоспад</t>
        </is>
      </c>
      <c r="B479" s="22" t="inlineStr">
        <is>
          <t>390-33</t>
        </is>
      </c>
      <c r="C479" s="22" t="inlineStr">
        <is>
          <t>42303</t>
        </is>
      </c>
      <c r="D479" s="22" t="inlineStr">
        <is>
          <t>Пила садова Silky Sugoi 330-6.5-5.5 (390-33) Японія</t>
        </is>
      </c>
      <c r="E479" s="23" t="n">
        <v>5290</v>
      </c>
    </row>
    <row r="480">
      <c r="A480" s="22" t="inlineStr">
        <is>
          <t>Водоспад</t>
        </is>
      </c>
      <c r="B480" s="22" t="inlineStr">
        <is>
          <t>340-17</t>
        </is>
      </c>
      <c r="C480" s="22" t="inlineStr">
        <is>
          <t>32947</t>
        </is>
      </c>
      <c r="D480" s="22" t="inlineStr">
        <is>
          <t>Пила садова розкладна Silky Pocketboy 170-10 (340-17) Японія</t>
        </is>
      </c>
      <c r="E480" s="23" t="n">
        <v>2190</v>
      </c>
    </row>
    <row r="481">
      <c r="A481" s="22" t="inlineStr">
        <is>
          <t>Водоспад</t>
        </is>
      </c>
      <c r="B481" s="22" t="inlineStr">
        <is>
          <t>356-36</t>
        </is>
      </c>
      <c r="C481" s="22" t="inlineStr">
        <is>
          <t>32917</t>
        </is>
      </c>
      <c r="D481" s="22" t="inlineStr">
        <is>
          <t>Пила садова складна Silky Bigboy 360-6.5 (356-36) Японія</t>
        </is>
      </c>
      <c r="E481" s="23" t="n">
        <v>4495</v>
      </c>
    </row>
    <row r="482">
      <c r="A482" s="22" t="inlineStr">
        <is>
          <t>Водоспад</t>
        </is>
      </c>
      <c r="B482" s="22" t="inlineStr">
        <is>
          <t>354-36</t>
        </is>
      </c>
      <c r="C482" s="22" t="inlineStr">
        <is>
          <t>32916</t>
        </is>
      </c>
      <c r="D482" s="22" t="inlineStr">
        <is>
          <t>Пила садова складна Silky Bigboy 360-7 (354-36) Японія</t>
        </is>
      </c>
      <c r="E482" s="23" t="n">
        <v>3995</v>
      </c>
    </row>
    <row r="483">
      <c r="A483" s="22" t="inlineStr">
        <is>
          <t>Водоспад</t>
        </is>
      </c>
      <c r="B483" s="22" t="inlineStr">
        <is>
          <t>141-18</t>
        </is>
      </c>
      <c r="C483" s="22" t="inlineStr">
        <is>
          <t>32907</t>
        </is>
      </c>
      <c r="D483" s="22" t="inlineStr">
        <is>
          <t>Пила садова складна Silky F-180-14 (141-18) Японія</t>
        </is>
      </c>
      <c r="E483" s="23" t="n">
        <v>1490</v>
      </c>
    </row>
    <row r="484">
      <c r="A484" s="22" t="inlineStr">
        <is>
          <t>Клуб Рослин</t>
        </is>
      </c>
      <c r="B484" s="22" t="inlineStr">
        <is>
          <t>141-18</t>
        </is>
      </c>
      <c r="C484" s="22" t="inlineStr">
        <is>
          <t>11230</t>
        </is>
      </c>
      <c r="D484" s="22" t="inlineStr">
        <is>
          <t>Пила садова складна Silky F-180-14 (141-18) Японія</t>
        </is>
      </c>
      <c r="E484" s="23" t="n">
        <v>1490</v>
      </c>
    </row>
    <row r="485">
      <c r="A485" s="22" t="inlineStr">
        <is>
          <t>Водоспад</t>
        </is>
      </c>
      <c r="B485" s="22" t="inlineStr">
        <is>
          <t>403-50</t>
        </is>
      </c>
      <c r="C485" s="22" t="inlineStr">
        <is>
          <t>32905</t>
        </is>
      </c>
      <c r="D485" s="22" t="inlineStr">
        <is>
          <t>Пила садова складна Silky Katanaboy 500-5 (403-50) Японія</t>
        </is>
      </c>
      <c r="E485" s="23" t="n">
        <v>8990</v>
      </c>
    </row>
    <row r="486">
      <c r="A486" s="22" t="inlineStr">
        <is>
          <t>Водоспад</t>
        </is>
      </c>
      <c r="B486" s="22" t="inlineStr">
        <is>
          <t>104-27</t>
        </is>
      </c>
      <c r="C486" s="22" t="inlineStr">
        <is>
          <t>33459</t>
        </is>
      </c>
      <c r="D486" s="22" t="inlineStr">
        <is>
          <t>Пила садова із чохлом Silky Gomtaro 270-13 (104-27) Японія</t>
        </is>
      </c>
      <c r="E486" s="23" t="n">
        <v>2950</v>
      </c>
    </row>
    <row r="487">
      <c r="A487" s="22" t="inlineStr">
        <is>
          <t>Водоспад</t>
        </is>
      </c>
      <c r="B487" s="22" t="inlineStr">
        <is>
          <t>102-30</t>
        </is>
      </c>
      <c r="C487" s="22" t="inlineStr">
        <is>
          <t>32891</t>
        </is>
      </c>
      <c r="D487" s="22" t="inlineStr">
        <is>
          <t>Пила садова із чохлом Silky Gomtaro 300-8 (102-30) Японія</t>
        </is>
      </c>
      <c r="E487" s="23" t="n">
        <v>3290</v>
      </c>
    </row>
    <row r="488">
      <c r="A488" s="22" t="inlineStr">
        <is>
          <t>Водоспад</t>
        </is>
      </c>
      <c r="B488" s="22" t="inlineStr">
        <is>
          <t>275-39</t>
        </is>
      </c>
      <c r="C488" s="22" t="inlineStr">
        <is>
          <t>32913</t>
        </is>
      </c>
      <c r="D488" s="22" t="inlineStr">
        <is>
          <t>Пила садова із чохлом Silky Ibuki 390-5.5 (275-39) Японія</t>
        </is>
      </c>
      <c r="E488" s="23" t="n">
        <v>5490</v>
      </c>
    </row>
    <row r="489">
      <c r="A489" s="22" t="inlineStr">
        <is>
          <t>Водоспад</t>
        </is>
      </c>
      <c r="B489" s="22" t="inlineStr">
        <is>
          <t>390-36</t>
        </is>
      </c>
      <c r="C489" s="22" t="inlineStr">
        <is>
          <t>36718</t>
        </is>
      </c>
      <c r="D489" s="22" t="inlineStr">
        <is>
          <t>Пила садова із чохлом Silky Sugoi 360-6.5 (390-36) Японія</t>
        </is>
      </c>
      <c r="E489" s="23" t="n">
        <v>5690</v>
      </c>
    </row>
    <row r="490">
      <c r="A490" s="22" t="inlineStr">
        <is>
          <t>Водоспад</t>
        </is>
      </c>
      <c r="B490" s="22" t="inlineStr">
        <is>
          <t>390-42</t>
        </is>
      </c>
      <c r="C490" s="22" t="inlineStr">
        <is>
          <t>40640</t>
        </is>
      </c>
      <c r="D490" s="22" t="inlineStr">
        <is>
          <t>Пила садова із чохлом Silky Sugoi 420-6.5 (390-42) Японія</t>
        </is>
      </c>
      <c r="E490" s="23" t="n">
        <v>5990</v>
      </c>
    </row>
    <row r="491">
      <c r="A491" s="22" t="inlineStr">
        <is>
          <t>Водоспад</t>
        </is>
      </c>
      <c r="B491" s="22" t="inlineStr">
        <is>
          <t>419-42</t>
        </is>
      </c>
      <c r="C491" s="22" t="inlineStr">
        <is>
          <t>32914</t>
        </is>
      </c>
      <c r="D491" s="22" t="inlineStr">
        <is>
          <t>Пила садова із чохлом Silky Sugowaza 420-6.5 (419-42) Японія</t>
        </is>
      </c>
      <c r="E491" s="23" t="n">
        <v>5890</v>
      </c>
    </row>
    <row r="492">
      <c r="A492" s="22" t="inlineStr">
        <is>
          <t>Водоспад</t>
        </is>
      </c>
      <c r="B492" s="22" t="inlineStr">
        <is>
          <t>270-30</t>
        </is>
      </c>
      <c r="C492" s="22" t="inlineStr">
        <is>
          <t>33215</t>
        </is>
      </c>
      <c r="D492" s="22" t="inlineStr">
        <is>
          <t>Пила садова із чохлом Silky Zubat 300-7.5 (270-30) Японія</t>
        </is>
      </c>
      <c r="E492" s="23" t="n">
        <v>3690</v>
      </c>
    </row>
    <row r="493">
      <c r="A493" s="22" t="inlineStr">
        <is>
          <t>Водоспад</t>
        </is>
      </c>
      <c r="B493" s="22" t="inlineStr">
        <is>
          <t>278-33</t>
        </is>
      </c>
      <c r="C493" s="22" t="inlineStr">
        <is>
          <t>32904</t>
        </is>
      </c>
      <c r="D493" s="22" t="inlineStr">
        <is>
          <t>Пила садова із чохлом Silky Zubat 330-10 (278-33) Японія</t>
        </is>
      </c>
      <c r="E493" s="23" t="n">
        <v>3890</v>
      </c>
    </row>
    <row r="494">
      <c r="A494" s="22" t="inlineStr">
        <is>
          <t>Водоспад</t>
        </is>
      </c>
      <c r="B494" s="22" t="inlineStr">
        <is>
          <t>270-39</t>
        </is>
      </c>
      <c r="C494" s="22" t="inlineStr">
        <is>
          <t>32903</t>
        </is>
      </c>
      <c r="D494" s="22" t="inlineStr">
        <is>
          <t>Пила садова із чохлом Silky Zubat 390-7.5 (270-39) Японія</t>
        </is>
      </c>
      <c r="E494" s="23" t="n">
        <v>4290</v>
      </c>
    </row>
    <row r="495">
      <c r="A495" s="22" t="inlineStr">
        <is>
          <t>Водоспад</t>
        </is>
      </c>
      <c r="B495" s="22" t="inlineStr">
        <is>
          <t>752-24</t>
        </is>
      </c>
      <c r="C495" s="22" t="inlineStr">
        <is>
          <t>42186</t>
        </is>
      </c>
      <c r="D495" s="22" t="inlineStr">
        <is>
          <t>Пила складна Silky Gomboy 240-8 Curve Outback Edition (752-24) Японія</t>
        </is>
      </c>
      <c r="E495" s="23" t="n">
        <v>3490</v>
      </c>
    </row>
    <row r="496">
      <c r="A496" s="22" t="inlineStr">
        <is>
          <t>Водоспад</t>
        </is>
      </c>
      <c r="B496" s="22" t="inlineStr">
        <is>
          <t>717-30</t>
        </is>
      </c>
      <c r="C496" s="22" t="inlineStr">
        <is>
          <t>40713</t>
        </is>
      </c>
      <c r="D496" s="22" t="inlineStr">
        <is>
          <t>Пила складна Silky Gomboy 300 мм (717-30) Японія</t>
        </is>
      </c>
      <c r="E496" s="23" t="n">
        <v>3790</v>
      </c>
    </row>
    <row r="497">
      <c r="A497" s="22" t="inlineStr">
        <is>
          <t>Водоспад</t>
        </is>
      </c>
      <c r="B497" s="22" t="inlineStr">
        <is>
          <t>352-36</t>
        </is>
      </c>
      <c r="C497" s="22" t="inlineStr">
        <is>
          <t>40871</t>
        </is>
      </c>
      <c r="D497" s="22" t="inlineStr">
        <is>
          <t>Пила складна Silky Professional Bigboy Fine Teeth (352-36) Японія</t>
        </is>
      </c>
      <c r="E497" s="23" t="n">
        <v>3995</v>
      </c>
    </row>
    <row r="498">
      <c r="A498" s="22" t="inlineStr">
        <is>
          <t>Водоспад</t>
        </is>
      </c>
      <c r="B498" s="22" t="inlineStr">
        <is>
          <t>726-13</t>
        </is>
      </c>
      <c r="C498" s="22" t="inlineStr">
        <is>
          <t>40873</t>
        </is>
      </c>
      <c r="D498" s="22" t="inlineStr">
        <is>
          <t>Пилка складана Silky Professional Series PocketBoy (726-13) Японія</t>
        </is>
      </c>
      <c r="E498" s="23" t="n">
        <v>2090</v>
      </c>
    </row>
    <row r="499">
      <c r="A499" s="22" t="inlineStr">
        <is>
          <t>Водоспад</t>
        </is>
      </c>
      <c r="B499" s="22" t="inlineStr">
        <is>
          <t>754-36</t>
        </is>
      </c>
      <c r="C499" s="22" t="inlineStr">
        <is>
          <t>42187</t>
        </is>
      </c>
      <c r="D499" s="22" t="inlineStr">
        <is>
          <t>Пилка складна Silky Bigboy 2000 Outback edition (754-36) Японія</t>
        </is>
      </c>
      <c r="E499" s="23" t="n">
        <v>5990</v>
      </c>
    </row>
    <row r="500">
      <c r="A500" s="22" t="inlineStr">
        <is>
          <t>Водоспад</t>
        </is>
      </c>
      <c r="B500" s="22" t="inlineStr">
        <is>
          <t>350-36</t>
        </is>
      </c>
      <c r="C500" s="22" t="inlineStr">
        <is>
          <t>33987</t>
        </is>
      </c>
      <c r="D500" s="22" t="inlineStr">
        <is>
          <t>Пилка складна Silky Bigboy 360-10 (350-36) Японія</t>
        </is>
      </c>
      <c r="E500" s="23" t="n">
        <v>3995</v>
      </c>
    </row>
    <row r="501">
      <c r="A501" s="22" t="inlineStr">
        <is>
          <t>Клуб Рослин</t>
        </is>
      </c>
      <c r="B501" s="22" t="inlineStr">
        <is>
          <t>SR-L-1190</t>
        </is>
      </c>
      <c r="C501" s="22" t="inlineStr">
        <is>
          <t>16111</t>
        </is>
      </c>
      <c r="D501" s="22" t="inlineStr">
        <is>
          <t>Планувальник грунту ручний без держака Смарт Рейн / Smart Rain (SR-L-1190) Україна</t>
        </is>
      </c>
      <c r="E501" s="23" t="n">
        <v>2950</v>
      </c>
    </row>
    <row r="502">
      <c r="A502" s="22" t="inlineStr">
        <is>
          <t>Клуб Рослин</t>
        </is>
      </c>
      <c r="B502" s="22" t="inlineStr">
        <is>
          <t>SR-L-890</t>
        </is>
      </c>
      <c r="C502" s="22" t="inlineStr">
        <is>
          <t>16113</t>
        </is>
      </c>
      <c r="D502" s="22" t="inlineStr">
        <is>
          <t>Планувальник грунту ручний без держака Смарт Рейн / Smart Rain (SR-L-890)</t>
        </is>
      </c>
      <c r="E502" s="23" t="n">
        <v>2650</v>
      </c>
    </row>
    <row r="503">
      <c r="A503" s="22" t="inlineStr">
        <is>
          <t>Клуб Рослин</t>
        </is>
      </c>
      <c r="B503" s="22" t="inlineStr">
        <is>
          <t>121001004985</t>
        </is>
      </c>
      <c r="C503" s="22" t="inlineStr">
        <is>
          <t>15677</t>
        </is>
      </c>
      <c r="D503" s="22" t="inlineStr">
        <is>
          <t>Подарунковий набір Felco (Секатор Фелко 2 + Фірмова Шапка) Швейцарія</t>
        </is>
      </c>
      <c r="E503" s="23" t="n">
        <v>3090</v>
      </c>
    </row>
    <row r="504">
      <c r="A504" s="22" t="inlineStr">
        <is>
          <t>Водоспад</t>
        </is>
      </c>
      <c r="B504" s="22" t="inlineStr">
        <is>
          <t>4420-11</t>
        </is>
      </c>
      <c r="C504" s="22" t="inlineStr">
        <is>
          <t>32538</t>
        </is>
      </c>
      <c r="D504" s="22" t="inlineStr">
        <is>
          <t>Полотно для обрізних пил Bahco (4420-11) Швеція</t>
        </is>
      </c>
      <c r="E504" s="23" t="n">
        <v>570</v>
      </c>
    </row>
    <row r="505">
      <c r="A505" s="22" t="inlineStr">
        <is>
          <t>Водоспад</t>
        </is>
      </c>
      <c r="B505" s="22" t="inlineStr">
        <is>
          <t>23FASPE10</t>
        </is>
      </c>
      <c r="C505" s="22" t="inlineStr">
        <is>
          <t>42309</t>
        </is>
      </c>
      <c r="D505" s="22" t="inlineStr">
        <is>
          <t>Підв`язка для рослин 10 см Х 1000 шт гнучкий сталевий дріт Cordioli (23FASPE10) Італія</t>
        </is>
      </c>
      <c r="E505" s="23" t="n">
        <v>130</v>
      </c>
    </row>
    <row r="506">
      <c r="A506" s="22" t="inlineStr">
        <is>
          <t>Водоспад</t>
        </is>
      </c>
      <c r="B506" s="22" t="inlineStr">
        <is>
          <t>23FCSPE10</t>
        </is>
      </c>
      <c r="C506" s="22" t="inlineStr">
        <is>
          <t>40552</t>
        </is>
      </c>
      <c r="D506" s="22" t="inlineStr">
        <is>
          <t>Підв`язка для рослин 10 см х 1000 шт гнучкий сталевий дріт у паперовій оболонці (23FCSPE10) Італія</t>
        </is>
      </c>
      <c r="E506" s="23" t="n">
        <v>90</v>
      </c>
    </row>
    <row r="507">
      <c r="A507" s="22" t="inlineStr">
        <is>
          <t>Водоспад</t>
        </is>
      </c>
      <c r="B507" s="22" t="inlineStr">
        <is>
          <t>23FCSPE15</t>
        </is>
      </c>
      <c r="C507" s="22" t="inlineStr">
        <is>
          <t>40554</t>
        </is>
      </c>
      <c r="D507" s="22" t="inlineStr">
        <is>
          <t>Підв`язка для рослин 15 см Х 1000 шт сталевий дріт у паперовій оболонці (23FCSPE15) Cordioli Італія</t>
        </is>
      </c>
      <c r="E507" s="23" t="n">
        <v>130</v>
      </c>
    </row>
    <row r="508">
      <c r="A508" s="22" t="inlineStr">
        <is>
          <t>Водоспад</t>
        </is>
      </c>
      <c r="B508" s="22" t="inlineStr">
        <is>
          <t>23FA150</t>
        </is>
      </c>
      <c r="C508" s="22" t="inlineStr">
        <is>
          <t>42173</t>
        </is>
      </c>
      <c r="D508" s="22" t="inlineStr">
        <is>
          <t>Підв`язка для рослин 150 м 0.45 см сталевий дріт у пластикові оболонці (23FA150) Cordioli Італія</t>
        </is>
      </c>
      <c r="E508" s="23" t="n">
        <v>160</v>
      </c>
    </row>
    <row r="509">
      <c r="A509" s="22" t="inlineStr">
        <is>
          <t>Водоспад</t>
        </is>
      </c>
      <c r="B509" s="22" t="inlineStr">
        <is>
          <t>23FC250</t>
        </is>
      </c>
      <c r="C509" s="22" t="inlineStr">
        <is>
          <t>42175</t>
        </is>
      </c>
      <c r="D509" s="22" t="inlineStr">
        <is>
          <t>Підв`язка для рослин 250 м сталевий дріт у паперовій оболонці (23FC250) Cordioli Італія</t>
        </is>
      </c>
      <c r="E509" s="23" t="n">
        <v>235</v>
      </c>
    </row>
    <row r="510">
      <c r="A510" s="22" t="inlineStr">
        <is>
          <t>Водоспад</t>
        </is>
      </c>
      <c r="B510" s="22" t="inlineStr">
        <is>
          <t>23FCTO</t>
        </is>
      </c>
      <c r="C510" s="22" t="inlineStr">
        <is>
          <t>42174</t>
        </is>
      </c>
      <c r="D510" s="22" t="inlineStr">
        <is>
          <t>Підв`язка для рослин 250м сталевий дріт у паперовій оболонці (23FCTO) Cordioli Італія</t>
        </is>
      </c>
      <c r="E510" s="23" t="n">
        <v>285</v>
      </c>
    </row>
    <row r="511">
      <c r="A511" s="22" t="inlineStr">
        <is>
          <t>Водоспад</t>
        </is>
      </c>
      <c r="B511" s="22" t="inlineStr">
        <is>
          <t>23FASPE15</t>
        </is>
      </c>
      <c r="C511" s="22" t="inlineStr">
        <is>
          <t>37925</t>
        </is>
      </c>
      <c r="D511" s="22" t="inlineStr">
        <is>
          <t>Підв`язка для рослин Tie_15 ~1000 шт 15 см (23FASPE15) Cordioli Італія</t>
        </is>
      </c>
      <c r="E511" s="23" t="n">
        <v>180</v>
      </c>
    </row>
    <row r="512">
      <c r="A512" s="22" t="inlineStr">
        <is>
          <t>Водоспад</t>
        </is>
      </c>
      <c r="B512" s="22" t="inlineStr">
        <is>
          <t>21001</t>
        </is>
      </c>
      <c r="C512" s="22" t="inlineStr">
        <is>
          <t>32791</t>
        </is>
      </c>
      <c r="D512" s="22" t="inlineStr">
        <is>
          <t>Робоче лезо для сучкорізу LOWE 21 Lowe 21001 Німеччина</t>
        </is>
      </c>
      <c r="E512" s="23" t="n">
        <v>1750</v>
      </c>
    </row>
    <row r="513">
      <c r="A513" s="22" t="inlineStr">
        <is>
          <t>Водоспад</t>
        </is>
      </c>
      <c r="B513" s="22" t="inlineStr">
        <is>
          <t>20011/100</t>
        </is>
      </c>
      <c r="C513" s="22" t="inlineStr">
        <is>
          <t>32788</t>
        </is>
      </c>
      <c r="D513" s="22" t="inlineStr">
        <is>
          <t>Ручки для сучкоріза Lowe 20/22 (20011/100) Німеччина</t>
        </is>
      </c>
      <c r="E513" s="23" t="n">
        <v>2190</v>
      </c>
    </row>
    <row r="514">
      <c r="A514" s="22" t="inlineStr">
        <is>
          <t>Клуб Рослин</t>
        </is>
      </c>
      <c r="B514" s="22" t="inlineStr">
        <is>
          <t>20011/100</t>
        </is>
      </c>
      <c r="C514" s="22" t="inlineStr">
        <is>
          <t>15718</t>
        </is>
      </c>
      <c r="D514" s="22" t="inlineStr">
        <is>
          <t>Ручки для сучкоріза Lowe 20/22 (20011/100) Німеччина</t>
        </is>
      </c>
      <c r="E514" s="23" t="n">
        <v>2190</v>
      </c>
    </row>
    <row r="515">
      <c r="A515" s="22" t="inlineStr">
        <is>
          <t>Клуб Рослин</t>
        </is>
      </c>
      <c r="B515" s="22" t="inlineStr">
        <is>
          <t>SR-AR-2</t>
        </is>
      </c>
      <c r="C515" s="22" t="inlineStr">
        <is>
          <t>16106</t>
        </is>
      </c>
      <c r="D515" s="22" t="inlineStr">
        <is>
          <t>Ручний аератор Смарт Рейн / Smart Rain (SR-AR-2) Україна</t>
        </is>
      </c>
      <c r="E515" s="23" t="n">
        <v>3450</v>
      </c>
    </row>
    <row r="516">
      <c r="A516" s="22" t="inlineStr">
        <is>
          <t>Водоспад</t>
        </is>
      </c>
      <c r="B516" s="22" t="inlineStr">
        <is>
          <t>4211-11-6T</t>
        </is>
      </c>
      <c r="C516" s="22" t="inlineStr">
        <is>
          <t>31928</t>
        </is>
      </c>
      <c r="D516" s="22" t="inlineStr">
        <is>
          <t>Садова обрізна пила Bahco 4211-11-6T (із загартованими зубами ) 280 мм</t>
        </is>
      </c>
      <c r="E516" s="23" t="n">
        <v>950</v>
      </c>
    </row>
    <row r="517">
      <c r="A517" s="22" t="inlineStr">
        <is>
          <t>Клуб Рослин</t>
        </is>
      </c>
      <c r="B517" s="22" t="inlineStr">
        <is>
          <t>4211-11-6T</t>
        </is>
      </c>
      <c r="C517" s="22" t="inlineStr">
        <is>
          <t>11706</t>
        </is>
      </c>
      <c r="D517" s="22" t="inlineStr">
        <is>
          <t>Садова обрізна пила Bahco 4211-11-6T (із загартованими зубами ) 280 мм</t>
        </is>
      </c>
      <c r="E517" s="23" t="n">
        <v>950</v>
      </c>
    </row>
    <row r="518">
      <c r="A518" s="22" t="inlineStr">
        <is>
          <t>Водоспад</t>
        </is>
      </c>
      <c r="B518" s="22" t="inlineStr">
        <is>
          <t>4212-11-6T</t>
        </is>
      </c>
      <c r="C518" s="22" t="inlineStr">
        <is>
          <t>31975</t>
        </is>
      </c>
      <c r="D518" s="22" t="inlineStr">
        <is>
          <t>Садова обрізна пила Bahco 4212-11-6T (з переточуваними зубами) 280 мм</t>
        </is>
      </c>
      <c r="E518" s="23" t="n">
        <v>890</v>
      </c>
    </row>
    <row r="519">
      <c r="A519" s="22" t="inlineStr">
        <is>
          <t>Клуб Рослин</t>
        </is>
      </c>
      <c r="B519" s="22" t="inlineStr">
        <is>
          <t>4212-11-6T</t>
        </is>
      </c>
      <c r="C519" s="22" t="inlineStr">
        <is>
          <t>11708</t>
        </is>
      </c>
      <c r="D519" s="22" t="inlineStr">
        <is>
          <t>Садова обрізна пила Bahco 4212-11-6T (з переточуваними зубами) 280 мм</t>
        </is>
      </c>
      <c r="E519" s="23" t="n">
        <v>890</v>
      </c>
    </row>
    <row r="520">
      <c r="A520" s="22" t="inlineStr">
        <is>
          <t>Водоспад</t>
        </is>
      </c>
      <c r="B520" s="22" t="inlineStr">
        <is>
          <t>121-21</t>
        </is>
      </c>
      <c r="C520" s="22" t="inlineStr">
        <is>
          <t>33344</t>
        </is>
      </c>
      <c r="D520" s="22" t="inlineStr">
        <is>
          <t>Садова пила складна Silky Gomboy 210-10 (121-21) Японія</t>
        </is>
      </c>
      <c r="E520" s="23" t="n">
        <v>2590</v>
      </c>
    </row>
    <row r="521">
      <c r="A521" s="22" t="inlineStr">
        <is>
          <t>Водоспад</t>
        </is>
      </c>
      <c r="B521" s="22" t="inlineStr">
        <is>
          <t>121-30</t>
        </is>
      </c>
      <c r="C521" s="22" t="inlineStr">
        <is>
          <t>32901</t>
        </is>
      </c>
      <c r="D521" s="22" t="inlineStr">
        <is>
          <t>Садова пила складна Silky Gomboy 300-10 (121-30) Японія</t>
        </is>
      </c>
      <c r="E521" s="23" t="n">
        <v>3590</v>
      </c>
    </row>
    <row r="522">
      <c r="A522" s="22" t="inlineStr">
        <is>
          <t>Водоспад</t>
        </is>
      </c>
      <c r="B522" s="22" t="inlineStr">
        <is>
          <t>717-24</t>
        </is>
      </c>
      <c r="C522" s="22" t="inlineStr">
        <is>
          <t>36319</t>
        </is>
      </c>
      <c r="D522" s="22" t="inlineStr">
        <is>
          <t>Садова пила складна Silky Gomboy Curve 240-8 (717-24) Японія</t>
        </is>
      </c>
      <c r="E522" s="23" t="n">
        <v>3000</v>
      </c>
    </row>
    <row r="523">
      <c r="A523" s="22" t="inlineStr">
        <is>
          <t>Водоспад</t>
        </is>
      </c>
      <c r="B523" s="22" t="inlineStr">
        <is>
          <t>717-27</t>
        </is>
      </c>
      <c r="C523" s="22" t="inlineStr">
        <is>
          <t>33664</t>
        </is>
      </c>
      <c r="D523" s="22" t="inlineStr">
        <is>
          <t>Садова пила складна Silky Gomboy Curve 270-8 (717-27) Японія</t>
        </is>
      </c>
      <c r="E523" s="23" t="n">
        <v>3290</v>
      </c>
    </row>
    <row r="524">
      <c r="A524" s="22" t="inlineStr">
        <is>
          <t>Водоспад</t>
        </is>
      </c>
      <c r="B524" s="22" t="inlineStr">
        <is>
          <t>760-55</t>
        </is>
      </c>
      <c r="C524" s="22" t="inlineStr">
        <is>
          <t>43339</t>
        </is>
      </c>
      <c r="D524" s="22" t="inlineStr">
        <is>
          <t>Садова пила складна Silky Katanaboy 550-5 (760-55) Японія</t>
        </is>
      </c>
      <c r="E524" s="23" t="n">
        <v>11990</v>
      </c>
    </row>
    <row r="525">
      <c r="A525" s="22" t="inlineStr">
        <is>
          <t>Водоспад</t>
        </is>
      </c>
      <c r="B525" s="22" t="inlineStr">
        <is>
          <t>710-65</t>
        </is>
      </c>
      <c r="C525" s="22" t="inlineStr">
        <is>
          <t>33434</t>
        </is>
      </c>
      <c r="D525" s="22" t="inlineStr">
        <is>
          <t>Садова пила складна Silky Katanaboy 650-4 (710-65) Японія</t>
        </is>
      </c>
      <c r="E525" s="23" t="n">
        <v>13990</v>
      </c>
    </row>
    <row r="526">
      <c r="A526" s="22" t="inlineStr">
        <is>
          <t>Водоспад</t>
        </is>
      </c>
      <c r="B526" s="22" t="inlineStr">
        <is>
          <t>143-18</t>
        </is>
      </c>
      <c r="C526" s="22" t="inlineStr">
        <is>
          <t>32908</t>
        </is>
      </c>
      <c r="D526" s="22" t="inlineStr">
        <is>
          <t>Садова складна пилка Silky F-180-7,5 (143-18) Японія</t>
        </is>
      </c>
      <c r="E526" s="23" t="n">
        <v>1490</v>
      </c>
    </row>
    <row r="527">
      <c r="A527" s="22" t="inlineStr">
        <is>
          <t>Водоспад</t>
        </is>
      </c>
      <c r="B527" s="22" t="inlineStr">
        <is>
          <t>5771/R</t>
        </is>
      </c>
      <c r="C527" s="22" t="inlineStr">
        <is>
          <t>40910</t>
        </is>
      </c>
      <c r="D527" s="22" t="inlineStr">
        <is>
          <t>Садовий ніж для щеплення Антоніні / Antonini 17 см сталь - AISI 420 (5771/R) Італія</t>
        </is>
      </c>
      <c r="E527" s="23" t="n">
        <v>490</v>
      </c>
    </row>
    <row r="528">
      <c r="A528" s="22" t="inlineStr">
        <is>
          <t>Водоспад</t>
        </is>
      </c>
      <c r="B528" s="22" t="inlineStr">
        <is>
          <t>5776/N</t>
        </is>
      </c>
      <c r="C528" s="22" t="inlineStr">
        <is>
          <t>40625</t>
        </is>
      </c>
      <c r="D528" s="22" t="inlineStr">
        <is>
          <t>Садовий ніж для щеплення Антоніні / Antonini 17 см сталь - C67 (5776/N) Італія</t>
        </is>
      </c>
      <c r="E528" s="23" t="n">
        <v>550</v>
      </c>
    </row>
    <row r="529">
      <c r="A529" s="22" t="inlineStr">
        <is>
          <t>Водоспад</t>
        </is>
      </c>
      <c r="B529" s="22" t="inlineStr">
        <is>
          <t>11.107</t>
        </is>
      </c>
      <c r="C529" s="22" t="inlineStr">
        <is>
          <t>38283</t>
        </is>
      </c>
      <c r="D529" s="22" t="inlineStr">
        <is>
          <t>Садовий секатор LOWE Original 11.107 Німеччина</t>
        </is>
      </c>
      <c r="E529" s="23" t="n">
        <v>2490</v>
      </c>
    </row>
    <row r="530">
      <c r="A530" s="22" t="inlineStr">
        <is>
          <t>Водоспад</t>
        </is>
      </c>
      <c r="B530" s="22" t="inlineStr">
        <is>
          <t>KST103</t>
        </is>
      </c>
      <c r="C530" s="22" t="inlineStr">
        <is>
          <t>32950</t>
        </is>
      </c>
      <c r="D530" s="22" t="inlineStr">
        <is>
          <t>Садовий секатор Okatsune KST103 Японія</t>
        </is>
      </c>
      <c r="E530" s="23" t="n">
        <v>2695</v>
      </c>
    </row>
    <row r="531">
      <c r="A531" s="22" t="inlineStr">
        <is>
          <t>Клуб Рослин</t>
        </is>
      </c>
      <c r="B531" s="22" t="inlineStr">
        <is>
          <t>KST103</t>
        </is>
      </c>
      <c r="C531" s="22" t="inlineStr">
        <is>
          <t>12057</t>
        </is>
      </c>
      <c r="D531" s="22" t="inlineStr">
        <is>
          <t>Садовий секатор Okatsune KST103 Японія</t>
        </is>
      </c>
      <c r="E531" s="23" t="n">
        <v>2695</v>
      </c>
    </row>
    <row r="532">
      <c r="A532" s="22" t="inlineStr">
        <is>
          <t>Водоспад</t>
        </is>
      </c>
      <c r="B532" s="22" t="inlineStr">
        <is>
          <t>1000694</t>
        </is>
      </c>
      <c r="C532" s="22" t="inlineStr">
        <is>
          <t>32177</t>
        </is>
      </c>
      <c r="D532" s="22" t="inlineStr">
        <is>
          <t>Садовий совок Фіскарс Fiskars Solid 137000 (1000694) Фінляндія</t>
        </is>
      </c>
      <c r="E532" s="23" t="n">
        <v>249</v>
      </c>
    </row>
    <row r="533">
      <c r="A533" s="22" t="inlineStr">
        <is>
          <t>Клуб Рослин</t>
        </is>
      </c>
      <c r="B533" s="22" t="inlineStr">
        <is>
          <t>1000694</t>
        </is>
      </c>
      <c r="C533" s="22" t="inlineStr">
        <is>
          <t>12301</t>
        </is>
      </c>
      <c r="D533" s="22" t="inlineStr">
        <is>
          <t>Садовий совок Фіскарс Fiskars Solid 137000 (1000694) Фінляндія</t>
        </is>
      </c>
      <c r="E533" s="23" t="n">
        <v>249</v>
      </c>
    </row>
    <row r="534">
      <c r="A534" s="22" t="inlineStr">
        <is>
          <t>Водоспад</t>
        </is>
      </c>
      <c r="B534" s="22" t="inlineStr">
        <is>
          <t>KST307</t>
        </is>
      </c>
      <c r="C534" s="22" t="inlineStr">
        <is>
          <t>33470</t>
        </is>
      </c>
      <c r="D534" s="22" t="inlineStr">
        <is>
          <t>Садові ножиці Okatsune (KST307) Японія</t>
        </is>
      </c>
      <c r="E534" s="23" t="n">
        <v>850</v>
      </c>
    </row>
    <row r="535">
      <c r="A535" s="22" t="inlineStr">
        <is>
          <t>Клуб Рослин</t>
        </is>
      </c>
      <c r="B535" s="22" t="inlineStr">
        <is>
          <t>KST307</t>
        </is>
      </c>
      <c r="C535" s="22" t="inlineStr">
        <is>
          <t>12076</t>
        </is>
      </c>
      <c r="D535" s="22" t="inlineStr">
        <is>
          <t>Садові ножиці Okatsune (KST307) Японія</t>
        </is>
      </c>
      <c r="E535" s="23" t="n">
        <v>850</v>
      </c>
    </row>
    <row r="536">
      <c r="A536" s="22" t="inlineStr">
        <is>
          <t>Водоспад</t>
        </is>
      </c>
      <c r="B536" s="22" t="inlineStr">
        <is>
          <t>KST304</t>
        </is>
      </c>
      <c r="C536" s="22" t="inlineStr">
        <is>
          <t>33461</t>
        </is>
      </c>
      <c r="D536" s="22" t="inlineStr">
        <is>
          <t>Садові ножиці Окатсуне / Okatsune (KST304) Японія</t>
        </is>
      </c>
      <c r="E536" s="23" t="n">
        <v>850</v>
      </c>
    </row>
    <row r="537">
      <c r="A537" s="22" t="inlineStr">
        <is>
          <t>Клуб Рослин</t>
        </is>
      </c>
      <c r="B537" s="22" t="inlineStr">
        <is>
          <t>KST304</t>
        </is>
      </c>
      <c r="C537" s="22" t="inlineStr">
        <is>
          <t>12074</t>
        </is>
      </c>
      <c r="D537" s="22" t="inlineStr">
        <is>
          <t>Садові ножиці Окатсуне / Okatsune (KST304) Японія</t>
        </is>
      </c>
      <c r="E537" s="23" t="n">
        <v>850</v>
      </c>
    </row>
    <row r="538">
      <c r="A538" s="22" t="inlineStr">
        <is>
          <t>Водоспад</t>
        </is>
      </c>
      <c r="B538" s="22" t="inlineStr">
        <is>
          <t>KST306</t>
        </is>
      </c>
      <c r="C538" s="22" t="inlineStr">
        <is>
          <t>33458</t>
        </is>
      </c>
      <c r="D538" s="22" t="inlineStr">
        <is>
          <t>Садові ножиці Окатсуне / Okatsune (KST306) Японія</t>
        </is>
      </c>
      <c r="E538" s="23" t="n">
        <v>850</v>
      </c>
    </row>
    <row r="539">
      <c r="A539" s="22" t="inlineStr">
        <is>
          <t>Клуб Рослин</t>
        </is>
      </c>
      <c r="B539" s="22" t="inlineStr">
        <is>
          <t>KST306</t>
        </is>
      </c>
      <c r="C539" s="22" t="inlineStr">
        <is>
          <t>12075</t>
        </is>
      </c>
      <c r="D539" s="22" t="inlineStr">
        <is>
          <t>Садові ножиці Окатсуне / Okatsune (KST306) Японія</t>
        </is>
      </c>
      <c r="E539" s="23" t="n">
        <v>850</v>
      </c>
    </row>
    <row r="540">
      <c r="A540" s="22" t="inlineStr">
        <is>
          <t>Водоспад</t>
        </is>
      </c>
      <c r="B540" s="22" t="inlineStr">
        <is>
          <t>5356</t>
        </is>
      </c>
      <c r="C540" s="22" t="inlineStr">
        <is>
          <t>42198</t>
        </is>
      </c>
      <c r="D540" s="22" t="inlineStr">
        <is>
          <t>Садові ножиці для кущів Окатсуне / Okatsune (KST 204) Японія</t>
        </is>
      </c>
      <c r="E540" s="23" t="n">
        <v>4220</v>
      </c>
    </row>
    <row r="541">
      <c r="A541" s="22" t="inlineStr">
        <is>
          <t>Клуб Рослин</t>
        </is>
      </c>
      <c r="B541" s="22" t="inlineStr">
        <is>
          <t>5356</t>
        </is>
      </c>
      <c r="C541" s="22" t="inlineStr">
        <is>
          <t>16183</t>
        </is>
      </c>
      <c r="D541" s="22" t="inlineStr">
        <is>
          <t>Садові ножиці для кущів Окатсуне / Okatsune (KST 204) Японія</t>
        </is>
      </c>
      <c r="E541" s="23" t="n">
        <v>4220</v>
      </c>
    </row>
    <row r="542">
      <c r="A542" s="22" t="inlineStr">
        <is>
          <t>Водоспад</t>
        </is>
      </c>
      <c r="B542" s="22" t="inlineStr">
        <is>
          <t>KST 204</t>
        </is>
      </c>
      <c r="C542" s="22" t="inlineStr">
        <is>
          <t>42198</t>
        </is>
      </c>
      <c r="D542" s="22" t="inlineStr">
        <is>
          <t>Садові ножиці для кущів Окатсуне / Okatsune (KST 204) Японія</t>
        </is>
      </c>
      <c r="E542" s="23" t="n">
        <v>4220</v>
      </c>
    </row>
    <row r="543">
      <c r="A543" s="22" t="inlineStr">
        <is>
          <t>Клуб Рослин</t>
        </is>
      </c>
      <c r="B543" s="22" t="inlineStr">
        <is>
          <t>KST 204</t>
        </is>
      </c>
      <c r="C543" s="22" t="inlineStr">
        <is>
          <t>16183</t>
        </is>
      </c>
      <c r="D543" s="22" t="inlineStr">
        <is>
          <t>Садові ножиці для кущів Окатсуне / Okatsune (KST 204) Японія</t>
        </is>
      </c>
      <c r="E543" s="23" t="n">
        <v>4220</v>
      </c>
    </row>
    <row r="544">
      <c r="A544" s="22" t="inlineStr">
        <is>
          <t>Водоспад</t>
        </is>
      </c>
      <c r="B544" s="22" t="inlineStr">
        <is>
          <t>KST204</t>
        </is>
      </c>
      <c r="C544" s="22" t="inlineStr">
        <is>
          <t>42198</t>
        </is>
      </c>
      <c r="D544" s="22" t="inlineStr">
        <is>
          <t>Садові ножиці для кущів Окатсуне / Okatsune (KST204) Японія</t>
        </is>
      </c>
      <c r="E544" s="23" t="n">
        <v>4220</v>
      </c>
    </row>
    <row r="545">
      <c r="A545" s="22" t="inlineStr">
        <is>
          <t>Клуб Рослин</t>
        </is>
      </c>
      <c r="B545" s="22" t="inlineStr">
        <is>
          <t>KST204</t>
        </is>
      </c>
      <c r="C545" s="22" t="inlineStr">
        <is>
          <t>16183</t>
        </is>
      </c>
      <c r="D545" s="22" t="inlineStr">
        <is>
          <t>Садові ножиці для кущів Окатсуне / Okatsune (KST204) Японія</t>
        </is>
      </c>
      <c r="E545" s="23" t="n">
        <v>4220</v>
      </c>
    </row>
    <row r="546">
      <c r="A546" s="22" t="inlineStr">
        <is>
          <t>Водоспад</t>
        </is>
      </c>
      <c r="B546" s="22" t="inlineStr">
        <is>
          <t>KST205-K</t>
        </is>
      </c>
      <c r="C546" s="22" t="inlineStr">
        <is>
          <t>33479</t>
        </is>
      </c>
      <c r="D546" s="22" t="inlineStr">
        <is>
          <t>Садові ножиці для кущів Окатсуне / Okatsune (KST205-K) Японія</t>
        </is>
      </c>
      <c r="E546" s="23" t="n">
        <v>5550</v>
      </c>
    </row>
    <row r="547">
      <c r="A547" s="22" t="inlineStr">
        <is>
          <t>Клуб Рослин</t>
        </is>
      </c>
      <c r="B547" s="22" t="inlineStr">
        <is>
          <t>KST205-K</t>
        </is>
      </c>
      <c r="C547" s="22" t="inlineStr">
        <is>
          <t>11764</t>
        </is>
      </c>
      <c r="D547" s="22" t="inlineStr">
        <is>
          <t>Садові ножиці для кущів Окатсуне / Okatsune (KST205-K) Японія</t>
        </is>
      </c>
      <c r="E547" s="23" t="n">
        <v>5550</v>
      </c>
    </row>
    <row r="548">
      <c r="A548" s="22" t="inlineStr">
        <is>
          <t>Водоспад</t>
        </is>
      </c>
      <c r="B548" s="22" t="inlineStr">
        <is>
          <t>KST214</t>
        </is>
      </c>
      <c r="C548" s="22" t="inlineStr">
        <is>
          <t>42363</t>
        </is>
      </c>
      <c r="D548" s="22" t="inlineStr">
        <is>
          <t>Садові ножиці для кущів Окатсуне / Okatsune (KST214) Японія</t>
        </is>
      </c>
      <c r="E548" s="23" t="n">
        <v>5190</v>
      </c>
    </row>
    <row r="549">
      <c r="A549" s="22" t="inlineStr">
        <is>
          <t>Клуб Рослин</t>
        </is>
      </c>
      <c r="B549" s="22" t="inlineStr">
        <is>
          <t>KST214</t>
        </is>
      </c>
      <c r="C549" s="22" t="inlineStr">
        <is>
          <t>16185</t>
        </is>
      </c>
      <c r="D549" s="22" t="inlineStr">
        <is>
          <t>Садові ножиці для кущів Окатсуне / Okatsune (KST214) Японія</t>
        </is>
      </c>
      <c r="E549" s="23" t="n">
        <v>5190</v>
      </c>
    </row>
    <row r="550">
      <c r="A550" s="22" t="inlineStr">
        <is>
          <t>Водоспад</t>
        </is>
      </c>
      <c r="B550" s="22" t="inlineStr">
        <is>
          <t>KST216</t>
        </is>
      </c>
      <c r="C550" s="22" t="inlineStr">
        <is>
          <t>37067</t>
        </is>
      </c>
      <c r="D550" s="22" t="inlineStr">
        <is>
          <t>Садові ножиці для кущів Окатсуне / Okatsune (KST216) Японія</t>
        </is>
      </c>
      <c r="E550" s="23" t="n">
        <v>4490</v>
      </c>
    </row>
    <row r="551">
      <c r="A551" s="22" t="inlineStr">
        <is>
          <t>Клуб Рослин</t>
        </is>
      </c>
      <c r="B551" s="22" t="inlineStr">
        <is>
          <t>KST216</t>
        </is>
      </c>
      <c r="C551" s="22" t="inlineStr">
        <is>
          <t>11765</t>
        </is>
      </c>
      <c r="D551" s="22" t="inlineStr">
        <is>
          <t>Садові ножиці для кущів Окатсуне / Okatsune (KST216) Японія</t>
        </is>
      </c>
      <c r="E551" s="23" t="n">
        <v>4490</v>
      </c>
    </row>
    <row r="552">
      <c r="A552" s="22" t="inlineStr">
        <is>
          <t>Водоспад</t>
        </is>
      </c>
      <c r="B552" s="22" t="inlineStr">
        <is>
          <t>KST217</t>
        </is>
      </c>
      <c r="C552" s="22" t="inlineStr">
        <is>
          <t>33477</t>
        </is>
      </c>
      <c r="D552" s="22" t="inlineStr">
        <is>
          <t>Садові ножиці для кущів Окатсуне / Okatsune (KST217) Японія</t>
        </is>
      </c>
      <c r="E552" s="23" t="n">
        <v>4790</v>
      </c>
    </row>
    <row r="553">
      <c r="A553" s="22" t="inlineStr">
        <is>
          <t>Клуб Рослин</t>
        </is>
      </c>
      <c r="B553" s="22" t="inlineStr">
        <is>
          <t>KST217</t>
        </is>
      </c>
      <c r="C553" s="22" t="inlineStr">
        <is>
          <t>11766</t>
        </is>
      </c>
      <c r="D553" s="22" t="inlineStr">
        <is>
          <t>Садові ножиці для кущів Окатсуне / Okatsune (KST217) Японія</t>
        </is>
      </c>
      <c r="E553" s="23" t="n">
        <v>4790</v>
      </c>
    </row>
    <row r="554">
      <c r="A554" s="22" t="inlineStr">
        <is>
          <t>Водоспад</t>
        </is>
      </c>
      <c r="B554" s="22" t="inlineStr">
        <is>
          <t>KST230</t>
        </is>
      </c>
      <c r="C554" s="22" t="inlineStr">
        <is>
          <t>33531</t>
        </is>
      </c>
      <c r="D554" s="22" t="inlineStr">
        <is>
          <t>Садові ножиці для кущів Окатсуне / Okatsune (KST230) Японія</t>
        </is>
      </c>
      <c r="E554" s="23" t="n">
        <v>5990</v>
      </c>
    </row>
    <row r="555">
      <c r="A555" s="22" t="inlineStr">
        <is>
          <t>Клуб Рослин</t>
        </is>
      </c>
      <c r="B555" s="22" t="inlineStr">
        <is>
          <t>KST230</t>
        </is>
      </c>
      <c r="C555" s="22" t="inlineStr">
        <is>
          <t>11767</t>
        </is>
      </c>
      <c r="D555" s="22" t="inlineStr">
        <is>
          <t>Садові ножиці для кущів Окатсуне / Okatsune (KST230) Японія</t>
        </is>
      </c>
      <c r="E555" s="23" t="n">
        <v>5990</v>
      </c>
    </row>
    <row r="556">
      <c r="A556" s="22" t="inlineStr">
        <is>
          <t>Водоспад</t>
        </is>
      </c>
      <c r="B556" s="22" t="inlineStr">
        <is>
          <t>KST231</t>
        </is>
      </c>
      <c r="C556" s="22" t="inlineStr">
        <is>
          <t>33336</t>
        </is>
      </c>
      <c r="D556" s="22" t="inlineStr">
        <is>
          <t>Садові ножиці для кущів Окатсуне / Okatsune (KST231) Японія</t>
        </is>
      </c>
      <c r="E556" s="23" t="n">
        <v>5390</v>
      </c>
    </row>
    <row r="557">
      <c r="A557" s="22" t="inlineStr">
        <is>
          <t>Клуб Рослин</t>
        </is>
      </c>
      <c r="B557" s="22" t="inlineStr">
        <is>
          <t>KST231</t>
        </is>
      </c>
      <c r="C557" s="22" t="inlineStr">
        <is>
          <t>11768</t>
        </is>
      </c>
      <c r="D557" s="22" t="inlineStr">
        <is>
          <t>Садові ножиці для кущів Окатсуне / Okatsune (KST231) Японія</t>
        </is>
      </c>
      <c r="E557" s="23" t="n">
        <v>5390</v>
      </c>
    </row>
    <row r="558">
      <c r="A558" s="22" t="inlineStr">
        <is>
          <t>Водоспад</t>
        </is>
      </c>
      <c r="B558" s="22" t="inlineStr">
        <is>
          <t>3081.B</t>
        </is>
      </c>
      <c r="C558" s="22" t="inlineStr">
        <is>
          <t>43387</t>
        </is>
      </c>
      <c r="D558" s="22" t="inlineStr">
        <is>
          <t>Сапка прямокутна без держака 153 мм Bellota (3081.B) Іспанія</t>
        </is>
      </c>
      <c r="E558" s="23" t="n">
        <v>499</v>
      </c>
    </row>
    <row r="559">
      <c r="A559" s="22" t="inlineStr">
        <is>
          <t>Водоспад</t>
        </is>
      </c>
      <c r="B559" s="22" t="inlineStr">
        <is>
          <t>Fal2112</t>
        </is>
      </c>
      <c r="C559" s="22" t="inlineStr">
        <is>
          <t>41182</t>
        </is>
      </c>
      <c r="D559" s="22" t="inlineStr">
        <is>
          <t>Секатор 21 см Falket / Фалкет (FAL2112) Італія</t>
        </is>
      </c>
      <c r="E559" s="23" t="n">
        <v>1690</v>
      </c>
    </row>
    <row r="560">
      <c r="A560" s="22" t="inlineStr">
        <is>
          <t>Клуб Рослин</t>
        </is>
      </c>
      <c r="B560" s="22" t="inlineStr">
        <is>
          <t>23523-21.B</t>
        </is>
      </c>
      <c r="C560" s="22" t="inlineStr">
        <is>
          <t>11863</t>
        </is>
      </c>
      <c r="D560" s="22" t="inlineStr">
        <is>
          <t>Секатор 210 мм Bellota (23523-21.B) Іспанія</t>
        </is>
      </c>
      <c r="E560" s="23" t="n">
        <v>769</v>
      </c>
    </row>
    <row r="561">
      <c r="A561" s="22" t="inlineStr">
        <is>
          <t>Водоспад</t>
        </is>
      </c>
      <c r="B561" s="22" t="inlineStr">
        <is>
          <t>FAL2190</t>
        </is>
      </c>
      <c r="C561" s="22" t="inlineStr">
        <is>
          <t>42611</t>
        </is>
      </c>
      <c r="D561" s="22" t="inlineStr">
        <is>
          <t>Секатор 210 мм Falket / Фалкет (FAL2190) Італія</t>
        </is>
      </c>
      <c r="E561" s="23" t="n">
        <v>790</v>
      </c>
    </row>
    <row r="562">
      <c r="A562" s="22" t="inlineStr">
        <is>
          <t>Водоспад</t>
        </is>
      </c>
      <c r="B562" s="22" t="inlineStr">
        <is>
          <t>FAL2097</t>
        </is>
      </c>
      <c r="C562" s="22" t="inlineStr">
        <is>
          <t>42411</t>
        </is>
      </c>
      <c r="D562" s="22" t="inlineStr">
        <is>
          <t>Секатор 220 мм Falket / Фалкет (FAL2097) Італія</t>
        </is>
      </c>
      <c r="E562" s="23" t="n">
        <v>1190</v>
      </c>
    </row>
    <row r="563">
      <c r="A563" s="22" t="inlineStr">
        <is>
          <t>Клуб Рослин</t>
        </is>
      </c>
      <c r="B563" s="22" t="inlineStr">
        <is>
          <t>3512-22.B</t>
        </is>
      </c>
      <c r="C563" s="22" t="inlineStr">
        <is>
          <t>12061</t>
        </is>
      </c>
      <c r="D563" s="22" t="inlineStr">
        <is>
          <t>Секатор 220 мм професійний для великих рук Bellota (3512-22.B) Іспанія</t>
        </is>
      </c>
      <c r="E563" s="23" t="n">
        <v>1909</v>
      </c>
    </row>
    <row r="564">
      <c r="A564" s="22" t="inlineStr">
        <is>
          <t>Водоспад</t>
        </is>
      </c>
      <c r="B564" s="22" t="inlineStr">
        <is>
          <t>PG-12-F</t>
        </is>
      </c>
      <c r="C564" s="22" t="inlineStr">
        <is>
          <t>31921</t>
        </is>
      </c>
      <c r="D564" s="22" t="inlineStr">
        <is>
          <t>Секатор Bahco PG-12-F Швеція</t>
        </is>
      </c>
      <c r="E564" s="23" t="n">
        <v>650</v>
      </c>
    </row>
    <row r="565">
      <c r="A565" s="22" t="inlineStr">
        <is>
          <t>Водоспад</t>
        </is>
      </c>
      <c r="B565" s="22" t="inlineStr">
        <is>
          <t>1145/17,5</t>
        </is>
      </c>
      <c r="C565" s="22" t="inlineStr">
        <is>
          <t>39920</t>
        </is>
      </c>
      <c r="D565" s="22" t="inlineStr">
        <is>
          <t>Секатор Due Buoi (1145/17,5) типу ножиці довгі леза Італія</t>
        </is>
      </c>
      <c r="E565" s="23" t="n">
        <v>490</v>
      </c>
    </row>
    <row r="566">
      <c r="A566" s="22" t="inlineStr">
        <is>
          <t>Клуб Рослин</t>
        </is>
      </c>
      <c r="B566" s="22" t="inlineStr">
        <is>
          <t>1145/17,5</t>
        </is>
      </c>
      <c r="C566" s="22" t="inlineStr">
        <is>
          <t>11884</t>
        </is>
      </c>
      <c r="D566" s="22" t="inlineStr">
        <is>
          <t>Секатор Due Buoi (1145/17,5) типу ножиці довгі леза Італія</t>
        </is>
      </c>
      <c r="E566" s="23" t="n">
        <v>490</v>
      </c>
    </row>
    <row r="567">
      <c r="A567" s="22" t="inlineStr">
        <is>
          <t>Клуб Рослин</t>
        </is>
      </c>
      <c r="B567" s="22" t="inlineStr">
        <is>
          <t>125/18S</t>
        </is>
      </c>
      <c r="C567" s="22" t="inlineStr">
        <is>
          <t>17580</t>
        </is>
      </c>
      <c r="D567" s="22" t="inlineStr">
        <is>
          <t>Секатор Due Buoi (125/18S) Італія</t>
        </is>
      </c>
      <c r="E567" s="23" t="n">
        <v>1949</v>
      </c>
    </row>
    <row r="568">
      <c r="A568" s="22" t="inlineStr">
        <is>
          <t>Клуб Рослин</t>
        </is>
      </c>
      <c r="B568" s="22" t="inlineStr">
        <is>
          <t>125/21S</t>
        </is>
      </c>
      <c r="C568" s="22" t="inlineStr">
        <is>
          <t>17581</t>
        </is>
      </c>
      <c r="D568" s="22" t="inlineStr">
        <is>
          <t>Секатор Due Buoi (125/21S) Італія</t>
        </is>
      </c>
      <c r="E568" s="23" t="n">
        <v>1960</v>
      </c>
    </row>
    <row r="569">
      <c r="A569" s="22" t="inlineStr">
        <is>
          <t>Клуб Рослин</t>
        </is>
      </c>
      <c r="B569" s="22" t="inlineStr">
        <is>
          <t>1147/19</t>
        </is>
      </c>
      <c r="C569" s="22" t="inlineStr">
        <is>
          <t>11885</t>
        </is>
      </c>
      <c r="D569" s="22" t="inlineStr">
        <is>
          <t>Секатор Due Buoi 1147/19 типу ножиці для збирання плодів Італія</t>
        </is>
      </c>
      <c r="E569" s="23" t="n">
        <v>245</v>
      </c>
    </row>
    <row r="570">
      <c r="A570" s="22" t="inlineStr">
        <is>
          <t>Клуб Рослин</t>
        </is>
      </c>
      <c r="B570" s="22" t="inlineStr">
        <is>
          <t>MK-S200</t>
        </is>
      </c>
      <c r="C570" s="22" t="inlineStr">
        <is>
          <t>16439</t>
        </is>
      </c>
      <c r="D570" s="22" t="inlineStr">
        <is>
          <t>Секатор Kenkatabami MK-S200 обвідний 200 мм</t>
        </is>
      </c>
      <c r="E570" s="23" t="n">
        <v>3199</v>
      </c>
    </row>
    <row r="571">
      <c r="A571" s="22" t="inlineStr">
        <is>
          <t>Водоспад</t>
        </is>
      </c>
      <c r="B571" s="22" t="inlineStr">
        <is>
          <t>1118882</t>
        </is>
      </c>
      <c r="C571" s="22" t="inlineStr">
        <is>
          <t>42831</t>
        </is>
      </c>
      <c r="D571" s="22" t="inlineStr">
        <is>
          <t>Секатор Type A 200 мм Тенджу / Tenju (1118882) Японія</t>
        </is>
      </c>
      <c r="E571" s="23" t="n">
        <v>2990</v>
      </c>
    </row>
    <row r="572">
      <c r="A572" s="22" t="inlineStr">
        <is>
          <t>Водоспад</t>
        </is>
      </c>
      <c r="B572" s="22" t="inlineStr">
        <is>
          <t>130DX-R</t>
        </is>
      </c>
      <c r="C572" s="22" t="inlineStr">
        <is>
          <t>37181</t>
        </is>
      </c>
      <c r="D572" s="22" t="inlineStr">
        <is>
          <t>Секатор АРС / ARS (130DX-R) садовий обвідний червоний Японія</t>
        </is>
      </c>
      <c r="E572" s="23" t="n">
        <v>1259</v>
      </c>
    </row>
    <row r="573">
      <c r="A573" s="22" t="inlineStr">
        <is>
          <t>Клуб Рослин</t>
        </is>
      </c>
      <c r="B573" s="22" t="inlineStr">
        <is>
          <t>130DX-R</t>
        </is>
      </c>
      <c r="C573" s="22" t="inlineStr">
        <is>
          <t>11793</t>
        </is>
      </c>
      <c r="D573" s="22" t="inlineStr">
        <is>
          <t>Секатор АРС / ARS (130DX-R) садовий обвідний червоний Японія</t>
        </is>
      </c>
      <c r="E573" s="23" t="n">
        <v>1259</v>
      </c>
    </row>
    <row r="574">
      <c r="A574" s="22" t="inlineStr">
        <is>
          <t>Водоспад</t>
        </is>
      </c>
      <c r="B574" s="22" t="inlineStr">
        <is>
          <t>140DX-R</t>
        </is>
      </c>
      <c r="C574" s="22" t="inlineStr">
        <is>
          <t>38678</t>
        </is>
      </c>
      <c r="D574" s="22" t="inlineStr">
        <is>
          <t>Секатор АРС / ARS (140DX-R) типу ножиці червоний Японія</t>
        </is>
      </c>
      <c r="E574" s="23" t="n">
        <v>1259</v>
      </c>
    </row>
    <row r="575">
      <c r="A575" s="22" t="inlineStr">
        <is>
          <t>Клуб Рослин</t>
        </is>
      </c>
      <c r="B575" s="22" t="inlineStr">
        <is>
          <t>140DX-R</t>
        </is>
      </c>
      <c r="C575" s="22" t="inlineStr">
        <is>
          <t>11800</t>
        </is>
      </c>
      <c r="D575" s="22" t="inlineStr">
        <is>
          <t>Секатор АРС / ARS (140DX-R) типу ножиці червоний Японія</t>
        </is>
      </c>
      <c r="E575" s="23" t="n">
        <v>1259</v>
      </c>
    </row>
    <row r="576">
      <c r="A576" s="22" t="inlineStr">
        <is>
          <t>Водоспад</t>
        </is>
      </c>
      <c r="B576" s="22" t="inlineStr">
        <is>
          <t>140L-DX</t>
        </is>
      </c>
      <c r="C576" s="22" t="inlineStr">
        <is>
          <t>38681</t>
        </is>
      </c>
      <c r="D576" s="22" t="inlineStr">
        <is>
          <t>Секатор АРС / ARS (140L-DX) типу ножиці Японія</t>
        </is>
      </c>
      <c r="E576" s="23" t="n">
        <v>1399</v>
      </c>
    </row>
    <row r="577">
      <c r="A577" s="22" t="inlineStr">
        <is>
          <t>Клуб Рослин</t>
        </is>
      </c>
      <c r="B577" s="22" t="inlineStr">
        <is>
          <t>140L-DX</t>
        </is>
      </c>
      <c r="C577" s="22" t="inlineStr">
        <is>
          <t>11804</t>
        </is>
      </c>
      <c r="D577" s="22" t="inlineStr">
        <is>
          <t>Секатор АРС / ARS (140L-DX) типу ножиці Японія</t>
        </is>
      </c>
      <c r="E577" s="23" t="n">
        <v>1399</v>
      </c>
    </row>
    <row r="578">
      <c r="A578" s="22" t="inlineStr">
        <is>
          <t>Водоспад</t>
        </is>
      </c>
      <c r="B578" s="22" t="inlineStr">
        <is>
          <t>180-1.8</t>
        </is>
      </c>
      <c r="C578" s="22" t="inlineStr">
        <is>
          <t>38687</t>
        </is>
      </c>
      <c r="D578" s="22" t="inlineStr">
        <is>
          <t>Секатор АРС / ARS (180-1.8) на штанзі 1.8м Японія</t>
        </is>
      </c>
      <c r="E578" s="23" t="n">
        <v>3990</v>
      </c>
    </row>
    <row r="579">
      <c r="A579" s="22" t="inlineStr">
        <is>
          <t>Водоспад</t>
        </is>
      </c>
      <c r="B579" s="22" t="inlineStr">
        <is>
          <t>180-2.4</t>
        </is>
      </c>
      <c r="C579" s="22" t="inlineStr">
        <is>
          <t>41934</t>
        </is>
      </c>
      <c r="D579" s="22" t="inlineStr">
        <is>
          <t>Секатор АРС / ARS (180-2.4) на штанзі 2.4 м Японія</t>
        </is>
      </c>
      <c r="E579" s="23" t="n">
        <v>4680</v>
      </c>
    </row>
    <row r="580">
      <c r="A580" s="22" t="inlineStr">
        <is>
          <t>Водоспад</t>
        </is>
      </c>
      <c r="B580" s="22" t="inlineStr">
        <is>
          <t>180LR-1.8</t>
        </is>
      </c>
      <c r="C580" s="22" t="inlineStr">
        <is>
          <t>38688</t>
        </is>
      </c>
      <c r="D580" s="22" t="inlineStr">
        <is>
          <t>Секатор АРС / ARS (180LR-1.8) на штанзі 1.8 м Японія</t>
        </is>
      </c>
      <c r="E580" s="23" t="n">
        <v>4490</v>
      </c>
    </row>
    <row r="581">
      <c r="A581" s="22" t="inlineStr">
        <is>
          <t>Клуб Рослин</t>
        </is>
      </c>
      <c r="B581" s="22" t="inlineStr">
        <is>
          <t>180LR-1.8</t>
        </is>
      </c>
      <c r="C581" s="22" t="inlineStr">
        <is>
          <t>11816</t>
        </is>
      </c>
      <c r="D581" s="22" t="inlineStr">
        <is>
          <t>Секатор АРС / ARS (180LR-1.8) на штанзі 1.8 м Японія</t>
        </is>
      </c>
      <c r="E581" s="23" t="n">
        <v>4490</v>
      </c>
    </row>
    <row r="582">
      <c r="A582" s="22" t="inlineStr">
        <is>
          <t>Водоспад</t>
        </is>
      </c>
      <c r="B582" s="22" t="inlineStr">
        <is>
          <t>180LR-2.1</t>
        </is>
      </c>
      <c r="C582" s="22" t="inlineStr">
        <is>
          <t>38689</t>
        </is>
      </c>
      <c r="D582" s="22" t="inlineStr">
        <is>
          <t>Секатор АРС / ARS (180LR-2.1) на штанзі 2.1 м Японія</t>
        </is>
      </c>
      <c r="E582" s="23" t="n">
        <v>4919</v>
      </c>
    </row>
    <row r="583">
      <c r="A583" s="22" t="inlineStr">
        <is>
          <t>Клуб Рослин</t>
        </is>
      </c>
      <c r="B583" s="22" t="inlineStr">
        <is>
          <t>180LR-2.1</t>
        </is>
      </c>
      <c r="C583" s="22" t="inlineStr">
        <is>
          <t>11817</t>
        </is>
      </c>
      <c r="D583" s="22" t="inlineStr">
        <is>
          <t>Секатор АРС / ARS (180LR-2.1) на штанзі 2.1 м Японія</t>
        </is>
      </c>
      <c r="E583" s="23" t="n">
        <v>4919</v>
      </c>
    </row>
    <row r="584">
      <c r="A584" s="22" t="inlineStr">
        <is>
          <t>Водоспад</t>
        </is>
      </c>
      <c r="B584" s="22" t="inlineStr">
        <is>
          <t>180R-1.8</t>
        </is>
      </c>
      <c r="C584" s="22" t="inlineStr">
        <is>
          <t>38690</t>
        </is>
      </c>
      <c r="D584" s="22" t="inlineStr">
        <is>
          <t>Секатор АРС / ARS (180R-1.8) на штанзі 1.8 м Японія</t>
        </is>
      </c>
      <c r="E584" s="23" t="n">
        <v>4339</v>
      </c>
    </row>
    <row r="585">
      <c r="A585" s="22" t="inlineStr">
        <is>
          <t>Клуб Рослин</t>
        </is>
      </c>
      <c r="B585" s="22" t="inlineStr">
        <is>
          <t>180R-1.8</t>
        </is>
      </c>
      <c r="C585" s="22" t="inlineStr">
        <is>
          <t>11818</t>
        </is>
      </c>
      <c r="D585" s="22" t="inlineStr">
        <is>
          <t>Секатор АРС / ARS (180R-1.8) на штанзі 1.8 м Японія</t>
        </is>
      </c>
      <c r="E585" s="23" t="n">
        <v>4339</v>
      </c>
    </row>
    <row r="586">
      <c r="A586" s="22" t="inlineStr">
        <is>
          <t>Водоспад</t>
        </is>
      </c>
      <c r="B586" s="22" t="inlineStr">
        <is>
          <t>180ZF-3.0-5</t>
        </is>
      </c>
      <c r="C586" s="22" t="inlineStr">
        <is>
          <t>38685</t>
        </is>
      </c>
      <c r="D586" s="22" t="inlineStr">
        <is>
          <t>Секатор АРС / ARS (180ZF-3.0-5) телескопічний на штанзі 1.7–3 м Японія</t>
        </is>
      </c>
      <c r="E586" s="23" t="n">
        <v>4870</v>
      </c>
    </row>
    <row r="587">
      <c r="A587" s="22" t="inlineStr">
        <is>
          <t>Клуб Рослин</t>
        </is>
      </c>
      <c r="B587" s="22" t="inlineStr">
        <is>
          <t>300L</t>
        </is>
      </c>
      <c r="C587" s="22" t="inlineStr">
        <is>
          <t>11821</t>
        </is>
      </c>
      <c r="D587" s="22" t="inlineStr">
        <is>
          <t>Секатор АРС / ARS (300L) типу ножиці довгі леза Японія</t>
        </is>
      </c>
      <c r="E587" s="23" t="n">
        <v>499</v>
      </c>
    </row>
    <row r="588">
      <c r="A588" s="22" t="inlineStr">
        <is>
          <t>Клуб Рослин</t>
        </is>
      </c>
      <c r="B588" s="22" t="inlineStr">
        <is>
          <t>CB-8</t>
        </is>
      </c>
      <c r="C588" s="22" t="inlineStr">
        <is>
          <t>11827</t>
        </is>
      </c>
      <c r="D588" s="22" t="inlineStr">
        <is>
          <t>Секатор АРС / ARS (CB-8) садовий обвідний Японія</t>
        </is>
      </c>
      <c r="E588" s="23" t="n">
        <v>1649</v>
      </c>
    </row>
    <row r="589">
      <c r="A589" s="22" t="inlineStr">
        <is>
          <t>Клуб Рослин</t>
        </is>
      </c>
      <c r="B589" s="22" t="inlineStr">
        <is>
          <t>CB-8Z</t>
        </is>
      </c>
      <c r="C589" s="22" t="inlineStr">
        <is>
          <t>15593</t>
        </is>
      </c>
      <c r="D589" s="22" t="inlineStr">
        <is>
          <t>Секатор АРС / ARS (CB-8Z ) садовий обвідний Японія</t>
        </is>
      </c>
      <c r="E589" s="23" t="n">
        <v>1730</v>
      </c>
    </row>
    <row r="590">
      <c r="A590" s="22" t="inlineStr">
        <is>
          <t>Клуб Рослин</t>
        </is>
      </c>
      <c r="B590" s="22" t="inlineStr">
        <is>
          <t>CB-9Z</t>
        </is>
      </c>
      <c r="C590" s="22" t="inlineStr">
        <is>
          <t>15594</t>
        </is>
      </c>
      <c r="D590" s="22" t="inlineStr">
        <is>
          <t>Секатор АРС / ARS (CB-9Z) садовий обвідний Японія</t>
        </is>
      </c>
      <c r="E590" s="23" t="n">
        <v>1880</v>
      </c>
    </row>
    <row r="591">
      <c r="A591" s="22" t="inlineStr">
        <is>
          <t>Клуб Рослин</t>
        </is>
      </c>
      <c r="B591" s="22" t="inlineStr">
        <is>
          <t>FB-7</t>
        </is>
      </c>
      <c r="C591" s="22" t="inlineStr">
        <is>
          <t>15595</t>
        </is>
      </c>
      <c r="D591" s="22" t="inlineStr">
        <is>
          <t>Секатор АРС / ARS (FB-7) садовий обвідний Японія</t>
        </is>
      </c>
      <c r="E591" s="23" t="n">
        <v>1365</v>
      </c>
    </row>
    <row r="592">
      <c r="A592" s="22" t="inlineStr">
        <is>
          <t>Клуб Рослин</t>
        </is>
      </c>
      <c r="B592" s="22" t="inlineStr">
        <is>
          <t>FB-8</t>
        </is>
      </c>
      <c r="C592" s="22" t="inlineStr">
        <is>
          <t>15596</t>
        </is>
      </c>
      <c r="D592" s="22" t="inlineStr">
        <is>
          <t>Секатор АРС / ARS (FB-8) садовий обвідний Японія</t>
        </is>
      </c>
      <c r="E592" s="23" t="n">
        <v>1470</v>
      </c>
    </row>
    <row r="593">
      <c r="A593" s="22" t="inlineStr">
        <is>
          <t>Клуб Рослин</t>
        </is>
      </c>
      <c r="B593" s="22" t="inlineStr">
        <is>
          <t>VA-7Z</t>
        </is>
      </c>
      <c r="C593" s="22" t="inlineStr">
        <is>
          <t>11832</t>
        </is>
      </c>
      <c r="D593" s="22" t="inlineStr">
        <is>
          <t>Секатор АРС / ARS (VA-7Z) професійний з коваделком Японія</t>
        </is>
      </c>
      <c r="E593" s="23" t="n">
        <v>2195</v>
      </c>
    </row>
    <row r="594">
      <c r="A594" s="22" t="inlineStr">
        <is>
          <t>Клуб Рослин</t>
        </is>
      </c>
      <c r="B594" s="22" t="inlineStr">
        <is>
          <t>VA-8Z</t>
        </is>
      </c>
      <c r="C594" s="22" t="inlineStr">
        <is>
          <t>11833</t>
        </is>
      </c>
      <c r="D594" s="22" t="inlineStr">
        <is>
          <t>Секатор АРС / ARS (VA-8Z) професійний з коваделком Японія</t>
        </is>
      </c>
      <c r="E594" s="23" t="n">
        <v>2299</v>
      </c>
    </row>
    <row r="595">
      <c r="A595" s="22" t="inlineStr">
        <is>
          <t>Водоспад</t>
        </is>
      </c>
      <c r="B595" s="22" t="inlineStr">
        <is>
          <t>VS-7XZ</t>
        </is>
      </c>
      <c r="C595" s="22" t="inlineStr">
        <is>
          <t>33576</t>
        </is>
      </c>
      <c r="D595" s="22" t="inlineStr">
        <is>
          <t>Секатор АРС / ARS (VS-7XZ) професійний обвідний Японія</t>
        </is>
      </c>
      <c r="E595" s="23" t="n">
        <v>2099</v>
      </c>
    </row>
    <row r="596">
      <c r="A596" s="22" t="inlineStr">
        <is>
          <t>Водоспад</t>
        </is>
      </c>
      <c r="B596" s="22" t="inlineStr">
        <is>
          <t>VS-8XR</t>
        </is>
      </c>
      <c r="C596" s="22" t="inlineStr">
        <is>
          <t>38718</t>
        </is>
      </c>
      <c r="D596" s="22" t="inlineStr">
        <is>
          <t>Секатор АРС / ARS (VS-8XR) садовий з поворотною ручкою Японія</t>
        </is>
      </c>
      <c r="E596" s="23" t="n">
        <v>2629</v>
      </c>
    </row>
    <row r="597">
      <c r="A597" s="22" t="inlineStr">
        <is>
          <t>Водоспад</t>
        </is>
      </c>
      <c r="B597" s="22" t="inlineStr">
        <is>
          <t>VS-8XZ</t>
        </is>
      </c>
      <c r="C597" s="22" t="inlineStr">
        <is>
          <t>33462</t>
        </is>
      </c>
      <c r="D597" s="22" t="inlineStr">
        <is>
          <t>Секатор АРС / ARS (VS-8XZ) професійний обвідний Японія</t>
        </is>
      </c>
      <c r="E597" s="23" t="n">
        <v>2299</v>
      </c>
    </row>
    <row r="598">
      <c r="A598" s="22" t="inlineStr">
        <is>
          <t>Водоспад</t>
        </is>
      </c>
      <c r="B598" s="22" t="inlineStr">
        <is>
          <t>VS-9XR</t>
        </is>
      </c>
      <c r="C598" s="22" t="inlineStr">
        <is>
          <t>38725</t>
        </is>
      </c>
      <c r="D598" s="22" t="inlineStr">
        <is>
          <t>Секатор АРС / ARS (VS-9XR) садовий з поворотною ручкою Японія</t>
        </is>
      </c>
      <c r="E598" s="23" t="n">
        <v>2869</v>
      </c>
    </row>
    <row r="599">
      <c r="A599" s="22" t="inlineStr">
        <is>
          <t>Водоспад</t>
        </is>
      </c>
      <c r="B599" s="22" t="inlineStr">
        <is>
          <t>VS-9XZ</t>
        </is>
      </c>
      <c r="C599" s="22" t="inlineStr">
        <is>
          <t>33516</t>
        </is>
      </c>
      <c r="D599" s="22" t="inlineStr">
        <is>
          <t>Секатор АРС / ARS (VS-9XZ) професійний обвідний Японія</t>
        </is>
      </c>
      <c r="E599" s="23" t="n">
        <v>2519</v>
      </c>
    </row>
    <row r="600">
      <c r="A600" s="22" t="inlineStr">
        <is>
          <t>Клуб Рослин</t>
        </is>
      </c>
      <c r="B600" s="22" t="inlineStr">
        <is>
          <t>СВ-9</t>
        </is>
      </c>
      <c r="C600" s="22" t="inlineStr">
        <is>
          <t>11828</t>
        </is>
      </c>
      <c r="D600" s="22" t="inlineStr">
        <is>
          <t>Секатор АРС / ARS (СВ-9) садовий обвідний Японія</t>
        </is>
      </c>
      <c r="E600" s="23" t="n">
        <v>1792</v>
      </c>
    </row>
    <row r="601">
      <c r="A601" s="22" t="inlineStr">
        <is>
          <t>Клуб Рослин</t>
        </is>
      </c>
      <c r="B601" s="22" t="inlineStr">
        <is>
          <t>121001007003</t>
        </is>
      </c>
      <c r="C601" s="22" t="inlineStr">
        <is>
          <t>14601</t>
        </is>
      </c>
      <c r="D601" s="22" t="inlineStr">
        <is>
          <t>Секатор Альпен Ріджі 300 / Alpen Rigi 300 для збору плодів Швейцарія</t>
        </is>
      </c>
      <c r="E601" s="23" t="n">
        <v>420</v>
      </c>
    </row>
    <row r="602">
      <c r="A602" s="22" t="inlineStr">
        <is>
          <t>Клуб Рослин</t>
        </is>
      </c>
      <c r="B602" s="22" t="inlineStr">
        <is>
          <t>MKK-5</t>
        </is>
      </c>
      <c r="C602" s="22" t="inlineStr">
        <is>
          <t>16440</t>
        </is>
      </c>
      <c r="D602" s="22" t="inlineStr">
        <is>
          <t>Секатор Кошійї / Koshiji MKK-5 ковані ножиці для квітів 180 мм</t>
        </is>
      </c>
      <c r="E602" s="23" t="n">
        <v>2259</v>
      </c>
    </row>
    <row r="603">
      <c r="A603" s="22" t="inlineStr">
        <is>
          <t>Клуб Рослин</t>
        </is>
      </c>
      <c r="B603" s="22" t="inlineStr">
        <is>
          <t>MKK-7</t>
        </is>
      </c>
      <c r="C603" s="22" t="inlineStr">
        <is>
          <t>16441</t>
        </is>
      </c>
      <c r="D603" s="22" t="inlineStr">
        <is>
          <t>Секатор Кошійї / Koshiji MKK-7 ковані ножиці для квітів 170 мм</t>
        </is>
      </c>
      <c r="E603" s="23" t="n">
        <v>2259</v>
      </c>
    </row>
    <row r="604">
      <c r="A604" s="22" t="inlineStr">
        <is>
          <t>Водоспад</t>
        </is>
      </c>
      <c r="B604" s="22" t="inlineStr">
        <is>
          <t>BCL21</t>
        </is>
      </c>
      <c r="C604" s="22" t="inlineStr">
        <is>
          <t>33966</t>
        </is>
      </c>
      <c r="D604" s="22" t="inlineStr">
        <is>
          <t>Секатор акумуляторний Bahco BCL21</t>
        </is>
      </c>
      <c r="E604" s="23" t="n">
        <v>49900</v>
      </c>
    </row>
    <row r="605">
      <c r="A605" s="22" t="inlineStr">
        <is>
          <t>Клуб Рослин</t>
        </is>
      </c>
      <c r="B605" s="22" t="inlineStr">
        <is>
          <t>BCL21</t>
        </is>
      </c>
      <c r="C605" s="22" t="inlineStr">
        <is>
          <t>12033</t>
        </is>
      </c>
      <c r="D605" s="22" t="inlineStr">
        <is>
          <t>Секатор акумуляторний Bahco BCL21</t>
        </is>
      </c>
      <c r="E605" s="23" t="n">
        <v>49900</v>
      </c>
    </row>
    <row r="606">
      <c r="A606" s="22" t="inlineStr">
        <is>
          <t>Водоспад</t>
        </is>
      </c>
      <c r="B606" s="22" t="inlineStr">
        <is>
          <t>06019K1021</t>
        </is>
      </c>
      <c r="C606" s="22" t="inlineStr">
        <is>
          <t>41137</t>
        </is>
      </c>
      <c r="D606" s="22" t="inlineStr">
        <is>
          <t>Секатор акумуляторний Bosch Professional Pro Pruner (06019K1021)</t>
        </is>
      </c>
      <c r="E606" s="23" t="n">
        <v>11766</v>
      </c>
    </row>
    <row r="607">
      <c r="A607" s="22" t="inlineStr">
        <is>
          <t>Клуб Рослин</t>
        </is>
      </c>
      <c r="B607" s="22" t="inlineStr">
        <is>
          <t>06019K1021</t>
        </is>
      </c>
      <c r="C607" s="22" t="inlineStr">
        <is>
          <t>15716</t>
        </is>
      </c>
      <c r="D607" s="22" t="inlineStr">
        <is>
          <t>Секатор акумуляторний Bosch Professional Pro Pruner (06019K1021)</t>
        </is>
      </c>
      <c r="E607" s="23" t="n">
        <v>11766</v>
      </c>
    </row>
    <row r="608">
      <c r="A608" s="22" t="inlineStr">
        <is>
          <t>Водоспад</t>
        </is>
      </c>
      <c r="B608" s="22" t="inlineStr">
        <is>
          <t>FAL2000</t>
        </is>
      </c>
      <c r="C608" s="22" t="inlineStr">
        <is>
          <t>41184</t>
        </is>
      </c>
      <c r="D608" s="22" t="inlineStr">
        <is>
          <t>Секатор з двома ріжучими лезами 21 см Falket / Фалкет (FAL2000) Італія</t>
        </is>
      </c>
      <c r="E608" s="23" t="n">
        <v>1990</v>
      </c>
    </row>
    <row r="609">
      <c r="A609" s="22" t="inlineStr">
        <is>
          <t>Водоспад</t>
        </is>
      </c>
      <c r="B609" s="22" t="inlineStr">
        <is>
          <t>FAL2209</t>
        </is>
      </c>
      <c r="C609" s="22" t="inlineStr">
        <is>
          <t>41180</t>
        </is>
      </c>
      <c r="D609" s="22" t="inlineStr">
        <is>
          <t>Секатор з двома ріжучими лезами зі зміщенням осі 20 см Falket / Фалкет (FAL2209) Італія</t>
        </is>
      </c>
      <c r="E609" s="23" t="n">
        <v>2050</v>
      </c>
    </row>
    <row r="610">
      <c r="A610" s="22" t="inlineStr">
        <is>
          <t>Водоспад</t>
        </is>
      </c>
      <c r="B610" s="22" t="inlineStr">
        <is>
          <t>1.109</t>
        </is>
      </c>
      <c r="C610" s="22" t="inlineStr">
        <is>
          <t>32331</t>
        </is>
      </c>
      <c r="D610" s="22" t="inlineStr">
        <is>
          <t>Секатор з ковадлом Lowe Original 1.109 Німеччина</t>
        </is>
      </c>
      <c r="E610" s="23" t="n">
        <v>2800</v>
      </c>
    </row>
    <row r="611">
      <c r="A611" s="22" t="inlineStr">
        <is>
          <t>Водоспад</t>
        </is>
      </c>
      <c r="B611" s="22" t="inlineStr">
        <is>
          <t>Fal1162</t>
        </is>
      </c>
      <c r="C611" s="22" t="inlineStr">
        <is>
          <t>41939</t>
        </is>
      </c>
      <c r="D611" s="22" t="inlineStr">
        <is>
          <t>Секатор з наковальнею Falket / Фалкет (FAL1162) Італія</t>
        </is>
      </c>
      <c r="E611" s="23" t="n">
        <v>1850</v>
      </c>
    </row>
    <row r="612">
      <c r="A612" s="22" t="inlineStr">
        <is>
          <t>Водоспад</t>
        </is>
      </c>
      <c r="B612" s="22" t="inlineStr">
        <is>
          <t>FAL2390</t>
        </is>
      </c>
      <c r="C612" s="22" t="inlineStr">
        <is>
          <t>42927</t>
        </is>
      </c>
      <c r="D612" s="22" t="inlineStr">
        <is>
          <t>Секатор обвідний 23 см Фалкет / Falket (FAL2390) Італія</t>
        </is>
      </c>
      <c r="E612" s="23" t="n">
        <v>895</v>
      </c>
    </row>
    <row r="613">
      <c r="A613" s="22" t="inlineStr">
        <is>
          <t>Водоспад</t>
        </is>
      </c>
      <c r="B613" s="22" t="inlineStr">
        <is>
          <t>12.104</t>
        </is>
      </c>
      <c r="C613" s="22" t="inlineStr">
        <is>
          <t>32346</t>
        </is>
      </c>
      <c r="D613" s="22" t="inlineStr">
        <is>
          <t>Секатор обвідний Льове / Lowe Original (12.104) Німеччина</t>
        </is>
      </c>
      <c r="E613" s="23" t="n">
        <v>2440</v>
      </c>
    </row>
    <row r="614">
      <c r="A614" s="22" t="inlineStr">
        <is>
          <t>Водоспад</t>
        </is>
      </c>
      <c r="B614" s="22" t="inlineStr">
        <is>
          <t>12.109</t>
        </is>
      </c>
      <c r="C614" s="22" t="inlineStr">
        <is>
          <t>32347</t>
        </is>
      </c>
      <c r="D614" s="22" t="inlineStr">
        <is>
          <t>Секатор обвідний з поворотною ручкою Льове / Lowe Original (12.109) Німеччина</t>
        </is>
      </c>
      <c r="E614" s="23" t="n">
        <v>3190</v>
      </c>
    </row>
    <row r="615">
      <c r="A615" s="22" t="inlineStr">
        <is>
          <t>Водоспад</t>
        </is>
      </c>
      <c r="B615" s="22" t="inlineStr">
        <is>
          <t>14.104</t>
        </is>
      </c>
      <c r="C615" s="22" t="inlineStr">
        <is>
          <t>32926</t>
        </is>
      </c>
      <c r="D615" s="22" t="inlineStr">
        <is>
          <t>Секатор садовий LOWE Original 14.104 (190 мм) Німеччина</t>
        </is>
      </c>
      <c r="E615" s="23" t="n">
        <v>1850</v>
      </c>
    </row>
    <row r="616">
      <c r="A616" s="22" t="inlineStr">
        <is>
          <t>Водоспад</t>
        </is>
      </c>
      <c r="B616" s="22" t="inlineStr">
        <is>
          <t>14.107</t>
        </is>
      </c>
      <c r="C616" s="22" t="inlineStr">
        <is>
          <t>32927</t>
        </is>
      </c>
      <c r="D616" s="22" t="inlineStr">
        <is>
          <t>Секатор садовий LOWE Original 14.107 (Німеччина)</t>
        </is>
      </c>
      <c r="E616" s="23" t="n">
        <v>1850</v>
      </c>
    </row>
    <row r="617">
      <c r="A617" s="22" t="inlineStr">
        <is>
          <t>Водоспад</t>
        </is>
      </c>
      <c r="B617" s="22" t="inlineStr">
        <is>
          <t>15.104</t>
        </is>
      </c>
      <c r="C617" s="22" t="inlineStr">
        <is>
          <t>32929</t>
        </is>
      </c>
      <c r="D617" s="22" t="inlineStr">
        <is>
          <t>Секатор садовий LOWE Original 15.104</t>
        </is>
      </c>
      <c r="E617" s="23" t="n">
        <v>1850</v>
      </c>
    </row>
    <row r="618">
      <c r="A618" s="22" t="inlineStr">
        <is>
          <t>Водоспад</t>
        </is>
      </c>
      <c r="B618" s="22" t="inlineStr">
        <is>
          <t>KST104</t>
        </is>
      </c>
      <c r="C618" s="22" t="inlineStr">
        <is>
          <t>33217</t>
        </is>
      </c>
      <c r="D618" s="22" t="inlineStr">
        <is>
          <t>Секатор садовий Okatsune 104 (KST104) 210 мм. Японія</t>
        </is>
      </c>
      <c r="E618" s="23" t="n">
        <v>2990</v>
      </c>
    </row>
    <row r="619">
      <c r="A619" s="22" t="inlineStr">
        <is>
          <t>Клуб Рослин</t>
        </is>
      </c>
      <c r="B619" s="22" t="inlineStr">
        <is>
          <t>KST104</t>
        </is>
      </c>
      <c r="C619" s="22" t="inlineStr">
        <is>
          <t>12058</t>
        </is>
      </c>
      <c r="D619" s="22" t="inlineStr">
        <is>
          <t>Секатор садовий Okatsune 104 (KST104) 210 мм. Японія</t>
        </is>
      </c>
      <c r="E619" s="23" t="n">
        <v>2990</v>
      </c>
    </row>
    <row r="620">
      <c r="A620" s="22" t="inlineStr">
        <is>
          <t>Водоспад</t>
        </is>
      </c>
      <c r="B620" s="22" t="inlineStr">
        <is>
          <t>11.104</t>
        </is>
      </c>
      <c r="C620" s="22" t="inlineStr">
        <is>
          <t>32344</t>
        </is>
      </c>
      <c r="D620" s="22" t="inlineStr">
        <is>
          <t>Секатор садовий Льове / Lowe Original (11.104) Німеччина</t>
        </is>
      </c>
      <c r="E620" s="23" t="n">
        <v>2490</v>
      </c>
    </row>
    <row r="621">
      <c r="A621" s="22" t="inlineStr">
        <is>
          <t>Водоспад</t>
        </is>
      </c>
      <c r="B621" s="22" t="inlineStr">
        <is>
          <t>KST101</t>
        </is>
      </c>
      <c r="C621" s="22" t="inlineStr">
        <is>
          <t>33506</t>
        </is>
      </c>
      <c r="D621" s="22" t="inlineStr">
        <is>
          <t>Секатор садовий Окатсуне / Okatsune 101 (KST101) Японія</t>
        </is>
      </c>
      <c r="E621" s="23" t="n">
        <v>2590</v>
      </c>
    </row>
    <row r="622">
      <c r="A622" s="22" t="inlineStr">
        <is>
          <t>Клуб Рослин</t>
        </is>
      </c>
      <c r="B622" s="22" t="inlineStr">
        <is>
          <t>KST101</t>
        </is>
      </c>
      <c r="C622" s="22" t="inlineStr">
        <is>
          <t>12056</t>
        </is>
      </c>
      <c r="D622" s="22" t="inlineStr">
        <is>
          <t>Секатор садовий Окатсуне / Okatsune 101 (KST101) Японія</t>
        </is>
      </c>
      <c r="E622" s="23" t="n">
        <v>2590</v>
      </c>
    </row>
    <row r="623">
      <c r="A623" s="22" t="inlineStr">
        <is>
          <t>Водоспад</t>
        </is>
      </c>
      <c r="B623" s="22" t="inlineStr">
        <is>
          <t>16.104</t>
        </is>
      </c>
      <c r="C623" s="22" t="inlineStr">
        <is>
          <t>33875</t>
        </is>
      </c>
      <c r="D623" s="22" t="inlineStr">
        <is>
          <t>Секатор садовий для троянд Льове / Lowe Original (16.104) Німеччина</t>
        </is>
      </c>
      <c r="E623" s="23" t="n">
        <v>2390</v>
      </c>
    </row>
    <row r="624">
      <c r="A624" s="22" t="inlineStr">
        <is>
          <t>Водоспад</t>
        </is>
      </c>
      <c r="B624" s="22" t="inlineStr">
        <is>
          <t>16.107</t>
        </is>
      </c>
      <c r="C624" s="22" t="inlineStr">
        <is>
          <t>33337</t>
        </is>
      </c>
      <c r="D624" s="22" t="inlineStr">
        <is>
          <t>Секатор садовий для троянд Льове / Lowe Original (16.107) Німеччина</t>
        </is>
      </c>
      <c r="E624" s="23" t="n">
        <v>2390</v>
      </c>
    </row>
    <row r="625">
      <c r="A625" s="22" t="inlineStr">
        <is>
          <t>Водоспад</t>
        </is>
      </c>
      <c r="B625" s="22" t="inlineStr">
        <is>
          <t>11.109</t>
        </is>
      </c>
      <c r="C625" s="22" t="inlineStr">
        <is>
          <t>32345</t>
        </is>
      </c>
      <c r="D625" s="22" t="inlineStr">
        <is>
          <t>Секатор садовий з поворотною ручкою Льове / Lowe Original (11.109) Німеччина</t>
        </is>
      </c>
      <c r="E625" s="23" t="n">
        <v>3495</v>
      </c>
    </row>
    <row r="626">
      <c r="A626" s="22" t="inlineStr">
        <is>
          <t>Клуб Рослин</t>
        </is>
      </c>
      <c r="B626" s="22" t="inlineStr">
        <is>
          <t>DK-673</t>
        </is>
      </c>
      <c r="C626" s="22" t="inlineStr">
        <is>
          <t>15815</t>
        </is>
      </c>
      <c r="D626" s="22" t="inlineStr">
        <is>
          <t>Секатор типу ножиці Доукан / Doukan (DK-673) Японія</t>
        </is>
      </c>
      <c r="E626" s="23" t="n">
        <v>3945</v>
      </c>
    </row>
    <row r="627">
      <c r="A627" s="22" t="inlineStr">
        <is>
          <t>Клуб Рослин</t>
        </is>
      </c>
      <c r="B627" s="22" t="inlineStr">
        <is>
          <t>Z-21K</t>
        </is>
      </c>
      <c r="C627" s="22" t="inlineStr">
        <is>
          <t>15818</t>
        </is>
      </c>
      <c r="D627" s="22" t="inlineStr">
        <is>
          <t>Секатор типу ножиці Камакі / Kamaki (Z-21K) Японія</t>
        </is>
      </c>
      <c r="E627" s="23" t="n">
        <v>1470</v>
      </c>
    </row>
    <row r="628">
      <c r="A628" s="22" t="inlineStr">
        <is>
          <t>Клуб Рослин</t>
        </is>
      </c>
      <c r="B628" s="22" t="inlineStr">
        <is>
          <t>N-207</t>
        </is>
      </c>
      <c r="C628" s="22" t="inlineStr">
        <is>
          <t>15967</t>
        </is>
      </c>
      <c r="D628" s="22" t="inlineStr">
        <is>
          <t>Секатор типу ножиці Нішігакі / Nishigaki N-207 Японія</t>
        </is>
      </c>
      <c r="E628" s="23" t="n">
        <v>3299</v>
      </c>
    </row>
    <row r="629">
      <c r="A629" s="22" t="inlineStr">
        <is>
          <t>Клуб Рослин</t>
        </is>
      </c>
      <c r="B629" s="22" t="inlineStr">
        <is>
          <t>ARS-310</t>
        </is>
      </c>
      <c r="C629" s="22" t="inlineStr">
        <is>
          <t>11825</t>
        </is>
      </c>
      <c r="D629" s="22" t="inlineStr">
        <is>
          <t>Секатор типу ножиці вигнуті леза АРС / ARS (310) Японія</t>
        </is>
      </c>
      <c r="E629" s="23" t="n">
        <v>445</v>
      </c>
    </row>
    <row r="630">
      <c r="A630" s="22" t="inlineStr">
        <is>
          <t>Водоспад</t>
        </is>
      </c>
      <c r="B630" s="22" t="inlineStr">
        <is>
          <t>300L-DX</t>
        </is>
      </c>
      <c r="C630" s="22" t="inlineStr">
        <is>
          <t>41936</t>
        </is>
      </c>
      <c r="D630" s="22" t="inlineStr">
        <is>
          <t>Секатор типу ножиці довгі леза АРС / ARS (300L-DX) Японія</t>
        </is>
      </c>
      <c r="E630" s="23" t="n">
        <v>629</v>
      </c>
    </row>
    <row r="631">
      <c r="A631" s="22" t="inlineStr">
        <is>
          <t>Клуб Рослин</t>
        </is>
      </c>
      <c r="B631" s="22" t="inlineStr">
        <is>
          <t>300L-DX</t>
        </is>
      </c>
      <c r="C631" s="22" t="inlineStr">
        <is>
          <t>11823</t>
        </is>
      </c>
      <c r="D631" s="22" t="inlineStr">
        <is>
          <t>Секатор типу ножиці довгі леза АРС / ARS (300L-DX) Японія</t>
        </is>
      </c>
      <c r="E631" s="23" t="n">
        <v>629</v>
      </c>
    </row>
    <row r="632">
      <c r="A632" s="22" t="inlineStr">
        <is>
          <t>Водоспад</t>
        </is>
      </c>
      <c r="B632" s="22" t="inlineStr">
        <is>
          <t>P6201</t>
        </is>
      </c>
      <c r="C632" s="22" t="inlineStr">
        <is>
          <t>41419</t>
        </is>
      </c>
      <c r="D632" s="22" t="inlineStr">
        <is>
          <t>Серп-коса для трави 32 см Фукс / Fux (P6201) Австрія</t>
        </is>
      </c>
      <c r="E632" s="23" t="n">
        <v>2400</v>
      </c>
    </row>
    <row r="633">
      <c r="A633" s="22" t="inlineStr">
        <is>
          <t>Водоспад</t>
        </is>
      </c>
      <c r="B633" s="22" t="inlineStr">
        <is>
          <t>P6202</t>
        </is>
      </c>
      <c r="C633" s="22" t="inlineStr">
        <is>
          <t>40647</t>
        </is>
      </c>
      <c r="D633" s="22" t="inlineStr">
        <is>
          <t>Серп-коса для трави 37 см Фукс / Fux (P6202) Австрія</t>
        </is>
      </c>
      <c r="E633" s="23" t="n">
        <v>2650</v>
      </c>
    </row>
    <row r="634">
      <c r="A634" s="22" t="inlineStr">
        <is>
          <t>Водоспад</t>
        </is>
      </c>
      <c r="B634" s="22" t="inlineStr">
        <is>
          <t>121-24</t>
        </is>
      </c>
      <c r="C634" s="22" t="inlineStr">
        <is>
          <t>33562</t>
        </is>
      </c>
      <c r="D634" s="22" t="inlineStr">
        <is>
          <t>Складна пила Silky Gomboy 240-10 (121-24) Японія</t>
        </is>
      </c>
      <c r="E634" s="23" t="n">
        <v>2990</v>
      </c>
    </row>
    <row r="635">
      <c r="A635" s="22" t="inlineStr">
        <is>
          <t>Водоспад</t>
        </is>
      </c>
      <c r="B635" s="22" t="inlineStr">
        <is>
          <t>MS93305</t>
        </is>
      </c>
      <c r="C635" s="22" t="inlineStr">
        <is>
          <t>33291</t>
        </is>
      </c>
      <c r="D635" s="22" t="inlineStr">
        <is>
          <t>Скоби оригінальні для степлера Tapener Max (MS93305) Японія</t>
        </is>
      </c>
      <c r="E635" s="23" t="n">
        <v>130</v>
      </c>
    </row>
    <row r="636">
      <c r="A636" s="22" t="inlineStr">
        <is>
          <t>Водоспад</t>
        </is>
      </c>
      <c r="B636" s="22" t="inlineStr">
        <is>
          <t>568-10</t>
        </is>
      </c>
      <c r="C636" s="22" t="inlineStr">
        <is>
          <t>33449</t>
        </is>
      </c>
      <c r="D636" s="22" t="inlineStr">
        <is>
          <t>Сокира Silky ONO 120 (568-10) Японія</t>
        </is>
      </c>
      <c r="E636" s="23" t="n">
        <v>5990</v>
      </c>
    </row>
    <row r="637">
      <c r="A637" s="22" t="inlineStr">
        <is>
          <t>Клуб Рослин</t>
        </is>
      </c>
      <c r="B637" s="22" t="inlineStr">
        <is>
          <t>460</t>
        </is>
      </c>
      <c r="C637" s="22" t="inlineStr">
        <is>
          <t>17587</t>
        </is>
      </c>
      <c r="D637" s="22" t="inlineStr">
        <is>
          <t>Сокира універсальна туристична Фелко / Felco 460 Швейцарія</t>
        </is>
      </c>
      <c r="E637" s="23" t="n">
        <v>2490</v>
      </c>
    </row>
    <row r="638">
      <c r="A638" s="22" t="inlineStr">
        <is>
          <t>Водоспад</t>
        </is>
      </c>
      <c r="B638" s="22" t="inlineStr">
        <is>
          <t>TP91041</t>
        </is>
      </c>
      <c r="C638" s="22" t="inlineStr">
        <is>
          <t>40900</t>
        </is>
      </c>
      <c r="D638" s="22" t="inlineStr">
        <is>
          <t>Стрічка для підв'язки Max Tape-10VP (TP91041) 0.10*11мм*40м*20шт Японія</t>
        </is>
      </c>
      <c r="E638" s="23" t="n">
        <v>499</v>
      </c>
    </row>
    <row r="639">
      <c r="A639" s="22" t="inlineStr">
        <is>
          <t>Водоспад</t>
        </is>
      </c>
      <c r="B639" s="22" t="inlineStr">
        <is>
          <t>TP91043</t>
        </is>
      </c>
      <c r="C639" s="22" t="inlineStr">
        <is>
          <t>38999</t>
        </is>
      </c>
      <c r="D639" s="22" t="inlineStr">
        <is>
          <t>Стрічка для підв'язки Max Tape-15VP (TP91043) 0.15*11мм*26м*20шт Японія</t>
        </is>
      </c>
      <c r="E639" s="23" t="n">
        <v>649</v>
      </c>
    </row>
    <row r="640">
      <c r="A640" s="22" t="inlineStr">
        <is>
          <t>Водоспад</t>
        </is>
      </c>
      <c r="B640" s="22" t="inlineStr">
        <is>
          <t>TP91510</t>
        </is>
      </c>
      <c r="C640" s="22" t="inlineStr">
        <is>
          <t>40732</t>
        </is>
      </c>
      <c r="D640" s="22" t="inlineStr">
        <is>
          <t>Стрічка для підв'язки армована Max Tape-T32B (TP91510) 0.25*9мм*32м*5шт для степлера Max Tapener HT-S45E Японія</t>
        </is>
      </c>
      <c r="E640" s="23" t="n">
        <v>990</v>
      </c>
    </row>
    <row r="641">
      <c r="A641" s="22" t="inlineStr">
        <is>
          <t>Водоспад</t>
        </is>
      </c>
      <c r="B641" s="22" t="inlineStr">
        <is>
          <t>12MAXBIOD</t>
        </is>
      </c>
      <c r="C641" s="22" t="inlineStr">
        <is>
          <t>40865</t>
        </is>
      </c>
      <c r="D641" s="22" t="inlineStr">
        <is>
          <t>Стрічка для степлера підв'язувача Tapener саморозкладна BIO Nastro (12MAXBIOD) 0.15*11мм*26м*10шт Gielle Італія</t>
        </is>
      </c>
      <c r="E641" s="23" t="n">
        <v>495</v>
      </c>
    </row>
    <row r="642">
      <c r="A642" s="22" t="inlineStr">
        <is>
          <t>Водоспад</t>
        </is>
      </c>
      <c r="B642" s="22" t="inlineStr">
        <is>
          <t>5030005N</t>
        </is>
      </c>
      <c r="C642" s="22" t="inlineStr">
        <is>
          <t>41774</t>
        </is>
      </c>
      <c r="D642" s="22" t="inlineStr">
        <is>
          <t>Стрічка-плівка для щеплення 66 метрів (19мм х 0.1мм) самоклеюча Agrichem (5030005N) Італія</t>
        </is>
      </c>
      <c r="E642" s="23" t="n">
        <v>850</v>
      </c>
    </row>
    <row r="643">
      <c r="A643" s="22" t="inlineStr">
        <is>
          <t>Водоспад</t>
        </is>
      </c>
      <c r="B643" s="22" t="inlineStr">
        <is>
          <t>4980005N</t>
        </is>
      </c>
      <c r="C643" s="22" t="inlineStr">
        <is>
          <t>40800</t>
        </is>
      </c>
      <c r="D643" s="22" t="inlineStr">
        <is>
          <t>Стрічка-плівка для щеплення Agrichem 50 м (32мм х 0.1мм) без перфорації (самоклейна) (4980005N) Італія</t>
        </is>
      </c>
      <c r="E643" s="23" t="n">
        <v>795</v>
      </c>
    </row>
    <row r="644">
      <c r="A644" s="22" t="inlineStr">
        <is>
          <t>Клуб Рослин</t>
        </is>
      </c>
      <c r="B644" s="22" t="inlineStr">
        <is>
          <t>SR-BAG</t>
        </is>
      </c>
      <c r="C644" s="22" t="inlineStr">
        <is>
          <t>16238</t>
        </is>
      </c>
      <c r="D644" s="22" t="inlineStr">
        <is>
          <t>Сумка Смарт Рейн / Smart Rain 280 л (SR-BAG)</t>
        </is>
      </c>
      <c r="E644" s="23" t="n">
        <v>695</v>
      </c>
    </row>
    <row r="645">
      <c r="A645" s="22" t="inlineStr">
        <is>
          <t>Водоспад</t>
        </is>
      </c>
      <c r="B645" s="22" t="inlineStr">
        <is>
          <t>WW12-20</t>
        </is>
      </c>
      <c r="C645" s="22" t="inlineStr">
        <is>
          <t>42257</t>
        </is>
      </c>
      <c r="D645" s="22" t="inlineStr">
        <is>
          <t>Сумка для збирання яблук 12/20 кг Manzana (WW12-20) Іспанія</t>
        </is>
      </c>
      <c r="E645" s="23" t="n">
        <v>2299</v>
      </c>
    </row>
    <row r="646">
      <c r="A646" s="22" t="inlineStr">
        <is>
          <t>Водоспад</t>
        </is>
      </c>
      <c r="B646" s="22" t="inlineStr">
        <is>
          <t>12Margo</t>
        </is>
      </c>
      <c r="C646" s="22" t="inlineStr">
        <is>
          <t>40559</t>
        </is>
      </c>
      <c r="D646" s="22" t="inlineStr">
        <is>
          <t>Сумка для кембрика з ременем (12Margo) Tubet Італія</t>
        </is>
      </c>
      <c r="E646" s="23" t="n">
        <v>710</v>
      </c>
    </row>
    <row r="647">
      <c r="A647" s="22" t="inlineStr">
        <is>
          <t>Клуб Рослин</t>
        </is>
      </c>
      <c r="B647" s="22" t="inlineStr">
        <is>
          <t>200А-60</t>
        </is>
      </c>
      <c r="C647" s="22" t="inlineStr">
        <is>
          <t>12514</t>
        </is>
      </c>
      <c r="D647" s="22" t="inlineStr">
        <is>
          <t>Сучкоріз / Гілкоріз Felco 200A-60</t>
        </is>
      </c>
      <c r="E647" s="23" t="n">
        <v>4690</v>
      </c>
    </row>
    <row r="648">
      <c r="A648" s="22" t="inlineStr">
        <is>
          <t>Клуб Рослин</t>
        </is>
      </c>
      <c r="B648" s="22" t="inlineStr">
        <is>
          <t>200a-60</t>
        </is>
      </c>
      <c r="C648" s="22" t="inlineStr">
        <is>
          <t>12514</t>
        </is>
      </c>
      <c r="D648" s="22" t="inlineStr">
        <is>
          <t>Сучкоріз / Гілкоріз Felco 200A-60</t>
        </is>
      </c>
      <c r="E648" s="23" t="n">
        <v>4690</v>
      </c>
    </row>
    <row r="649">
      <c r="A649" s="22" t="inlineStr">
        <is>
          <t>Клуб Рослин</t>
        </is>
      </c>
      <c r="B649" s="22" t="inlineStr">
        <is>
          <t>64628351-abbb-11ee-bf43-c87f546feb15</t>
        </is>
      </c>
      <c r="C649" s="22" t="inlineStr">
        <is>
          <t>12514</t>
        </is>
      </c>
      <c r="D649" s="22" t="inlineStr">
        <is>
          <t>Сучкоріз Felco 200A-60 / Гілкоріз Felco 200A-60</t>
        </is>
      </c>
      <c r="E649" s="23" t="n">
        <v>4690</v>
      </c>
    </row>
    <row r="650">
      <c r="A650" s="22" t="inlineStr">
        <is>
          <t>Водоспад</t>
        </is>
      </c>
      <c r="B650" s="22" t="inlineStr">
        <is>
          <t>N21.080</t>
        </is>
      </c>
      <c r="C650" s="22" t="inlineStr">
        <is>
          <t>43332</t>
        </is>
      </c>
      <c r="D650" s="22" t="inlineStr">
        <is>
          <t>Сучкоріз обвідний Lowe Natural Series (N21.080) дерев’яні ручки Німеччина</t>
        </is>
      </c>
      <c r="E650" s="23" t="n">
        <v>7599</v>
      </c>
    </row>
    <row r="651">
      <c r="A651" s="22" t="inlineStr">
        <is>
          <t>Водоспад</t>
        </is>
      </c>
      <c r="B651" s="22" t="inlineStr">
        <is>
          <t>SD-100-BT</t>
        </is>
      </c>
      <c r="C651" s="22" t="inlineStr">
        <is>
          <t>42730</t>
        </is>
      </c>
      <c r="D651" s="22" t="inlineStr">
        <is>
          <t>Точилка алмазна складна АРС / ARS Butterfly (SD-100-BT) Японія</t>
        </is>
      </c>
      <c r="E651" s="23" t="n">
        <v>799</v>
      </c>
    </row>
    <row r="652">
      <c r="A652" s="22" t="inlineStr">
        <is>
          <t>Водоспад</t>
        </is>
      </c>
      <c r="B652" s="22" t="inlineStr">
        <is>
          <t>KST412</t>
        </is>
      </c>
      <c r="C652" s="22" t="inlineStr">
        <is>
          <t>32951</t>
        </is>
      </c>
      <c r="D652" s="22" t="inlineStr">
        <is>
          <t>Точильний камінь Okatsune 400 Grit (KST412) Японія</t>
        </is>
      </c>
      <c r="E652" s="23" t="n">
        <v>825</v>
      </c>
    </row>
    <row r="653">
      <c r="A653" s="22" t="inlineStr">
        <is>
          <t>Клуб Рослин</t>
        </is>
      </c>
      <c r="B653" s="22" t="inlineStr">
        <is>
          <t>KST412</t>
        </is>
      </c>
      <c r="C653" s="22" t="inlineStr">
        <is>
          <t>12722</t>
        </is>
      </c>
      <c r="D653" s="22" t="inlineStr">
        <is>
          <t>Точильний камінь Okatsune 400 Grit (KST412) Японія</t>
        </is>
      </c>
      <c r="E653" s="23" t="n">
        <v>825</v>
      </c>
    </row>
    <row r="654">
      <c r="A654" s="22" t="inlineStr">
        <is>
          <t>Водоспад</t>
        </is>
      </c>
      <c r="B654" s="22" t="inlineStr">
        <is>
          <t>902</t>
        </is>
      </c>
      <c r="C654" s="22" t="inlineStr">
        <is>
          <t>32579</t>
        </is>
      </c>
      <c r="D654" s="22" t="inlineStr">
        <is>
          <t>Точильний камінь алмаз 100 мм (500-2000 grit) Felco 902</t>
        </is>
      </c>
      <c r="E654" s="23" t="n">
        <v>959</v>
      </c>
    </row>
    <row r="655">
      <c r="A655" s="22" t="inlineStr">
        <is>
          <t>Клуб Рослин</t>
        </is>
      </c>
      <c r="B655" s="22" t="inlineStr">
        <is>
          <t>905</t>
        </is>
      </c>
      <c r="C655" s="22" t="inlineStr">
        <is>
          <t>12711</t>
        </is>
      </c>
      <c r="D655" s="22" t="inlineStr">
        <is>
          <t>Точильний інструмент Фелко / Felco 905 Швейцарія</t>
        </is>
      </c>
      <c r="E655" s="23" t="n">
        <v>1480</v>
      </c>
    </row>
    <row r="656">
      <c r="A656" s="22" t="inlineStr">
        <is>
          <t>Клуб Рослин</t>
        </is>
      </c>
      <c r="B656" s="22" t="inlineStr">
        <is>
          <t>906</t>
        </is>
      </c>
      <c r="C656" s="22" t="inlineStr">
        <is>
          <t>14623</t>
        </is>
      </c>
      <c r="D656" s="22" t="inlineStr">
        <is>
          <t>Точильний інструмент Фелко / Felco 906 Швейцарія</t>
        </is>
      </c>
      <c r="E656" s="23" t="n">
        <v>930</v>
      </c>
    </row>
    <row r="657">
      <c r="A657" s="22" t="inlineStr">
        <is>
          <t>Клуб Рослин</t>
        </is>
      </c>
      <c r="B657" s="22" t="inlineStr">
        <is>
          <t>SP-426</t>
        </is>
      </c>
      <c r="C657" s="22" t="inlineStr">
        <is>
          <t>12797</t>
        </is>
      </c>
      <c r="D657" s="22" t="inlineStr">
        <is>
          <t>Фіксатор центрального болта до сучкорізів ARS LPB SERIES, LPA-30L</t>
        </is>
      </c>
      <c r="E657" s="23" t="n">
        <v>87</v>
      </c>
    </row>
    <row r="658">
      <c r="A658" s="22" t="inlineStr">
        <is>
          <t>Клуб Рослин</t>
        </is>
      </c>
      <c r="B658" s="22" t="inlineStr">
        <is>
          <t>121000550502</t>
        </is>
      </c>
      <c r="C658" s="22" t="inlineStr">
        <is>
          <t>10070</t>
        </is>
      </c>
      <c r="D658" s="22" t="inlineStr">
        <is>
          <t>Чохол для секатора Due Buoi (121000550502) Італія</t>
        </is>
      </c>
      <c r="E658" s="23" t="n">
        <v>890</v>
      </c>
    </row>
    <row r="659">
      <c r="A659" s="22" t="inlineStr">
        <is>
          <t>Водоспад</t>
        </is>
      </c>
      <c r="B659" s="22" t="inlineStr">
        <is>
          <t>131419</t>
        </is>
      </c>
      <c r="C659" s="22" t="inlineStr">
        <is>
          <t>32744</t>
        </is>
      </c>
      <c r="D659" s="22" t="inlineStr">
        <is>
          <t>Чохол камуфляжний 80 см (131419) для лопати Fiskars Solid 1066715</t>
        </is>
      </c>
      <c r="E659" s="23" t="n">
        <v>999</v>
      </c>
    </row>
    <row r="660">
      <c r="A660" s="22" t="inlineStr">
        <is>
          <t>Водоспад</t>
        </is>
      </c>
      <c r="B660" s="22" t="inlineStr">
        <is>
          <t>131426</t>
        </is>
      </c>
      <c r="C660" s="22" t="inlineStr">
        <is>
          <t>32412</t>
        </is>
      </c>
      <c r="D660" s="22" t="inlineStr">
        <is>
          <t>Чохол чорний 126 см (131426) для лопати Fiskars Solid 1066716</t>
        </is>
      </c>
      <c r="E660" s="23" t="n">
        <v>1199</v>
      </c>
    </row>
    <row r="661">
      <c r="A661" s="22" t="inlineStr">
        <is>
          <t>Водоспад</t>
        </is>
      </c>
      <c r="B661" s="22" t="inlineStr">
        <is>
          <t>131418</t>
        </is>
      </c>
      <c r="C661" s="22" t="inlineStr">
        <is>
          <t>32744</t>
        </is>
      </c>
      <c r="D661" s="22" t="inlineStr">
        <is>
          <t>Чохол чорний 80 см (131418) для лопати Fiskars Solid 1066715</t>
        </is>
      </c>
      <c r="E661" s="23" t="n">
        <v>999</v>
      </c>
    </row>
    <row r="662">
      <c r="A662" s="22" t="inlineStr">
        <is>
          <t>Водоспад</t>
        </is>
      </c>
      <c r="B662" s="22" t="inlineStr">
        <is>
          <t>KST133</t>
        </is>
      </c>
      <c r="C662" s="22" t="inlineStr">
        <is>
          <t>33896</t>
        </is>
      </c>
      <c r="D662" s="22" t="inlineStr">
        <is>
          <t>Чохол шкіряний Окатсуне / Okatsune (KST133) Японія</t>
        </is>
      </c>
      <c r="E662" s="23" t="n">
        <v>1090</v>
      </c>
    </row>
    <row r="663">
      <c r="A663" s="22" t="inlineStr">
        <is>
          <t>Клуб Рослин</t>
        </is>
      </c>
      <c r="B663" s="22" t="inlineStr">
        <is>
          <t>KST133</t>
        </is>
      </c>
      <c r="C663" s="22" t="inlineStr">
        <is>
          <t>16234</t>
        </is>
      </c>
      <c r="D663" s="22" t="inlineStr">
        <is>
          <t>Чохол шкіряний Окатсуне / Okatsune (KST133) Японія</t>
        </is>
      </c>
      <c r="E663" s="23" t="n">
        <v>1090</v>
      </c>
    </row>
    <row r="664">
      <c r="A664" s="22" t="inlineStr">
        <is>
          <t>Водоспад</t>
        </is>
      </c>
      <c r="B664" s="22" t="inlineStr">
        <is>
          <t>1297010133</t>
        </is>
      </c>
      <c r="C664" s="22" t="inlineStr">
        <is>
          <t>42434</t>
        </is>
      </c>
      <c r="D664" s="22" t="inlineStr">
        <is>
          <t>Чохол шкіряний для секатора Due Buoi (1297010133) Італія</t>
        </is>
      </c>
      <c r="E664" s="23" t="n">
        <v>720</v>
      </c>
    </row>
    <row r="665">
      <c r="A665" s="22" t="inlineStr">
        <is>
          <t>Водоспад</t>
        </is>
      </c>
      <c r="B665" s="22" t="inlineStr">
        <is>
          <t>600/11</t>
        </is>
      </c>
      <c r="C665" s="22" t="inlineStr">
        <is>
          <t>36624</t>
        </is>
      </c>
      <c r="D665" s="22" t="inlineStr">
        <is>
          <t>Щеплювальний ніж Тіна / Tina (600/11) Німеччина</t>
        </is>
      </c>
      <c r="E665" s="23" t="n">
        <v>5499</v>
      </c>
    </row>
    <row r="666">
      <c r="A666" s="22" t="inlineStr">
        <is>
          <t>Водоспад</t>
        </is>
      </c>
      <c r="B666" s="22" t="inlineStr">
        <is>
          <t>635/12</t>
        </is>
      </c>
      <c r="C666" s="22" t="inlineStr">
        <is>
          <t>41214</t>
        </is>
      </c>
      <c r="D666" s="22" t="inlineStr">
        <is>
          <t>Щеплювальний ніж Тіна / Tina (635/12) Німеччина</t>
        </is>
      </c>
      <c r="E666" s="23" t="n">
        <v>8999</v>
      </c>
    </row>
    <row r="667">
      <c r="A667" s="22" t="inlineStr">
        <is>
          <t>Водоспад</t>
        </is>
      </c>
      <c r="B667" s="22" t="inlineStr">
        <is>
          <t>211P-SP-OT</t>
        </is>
      </c>
      <c r="C667" s="22" t="inlineStr">
        <is>
          <t>33577</t>
        </is>
      </c>
      <c r="D667" s="22" t="inlineStr">
        <is>
          <t>Щеплювальний ніж для окулірування з відокремлювачем кори Due Buoi 211P-SP-OT Італія</t>
        </is>
      </c>
      <c r="E667" s="23" t="n">
        <v>1990</v>
      </c>
    </row>
    <row r="668">
      <c r="A668" s="22" t="inlineStr">
        <is>
          <t>Водоспад</t>
        </is>
      </c>
      <c r="B668" s="22" t="inlineStr">
        <is>
          <t>641/10L</t>
        </is>
      </c>
      <c r="C668" s="22" t="inlineStr">
        <is>
          <t>40646</t>
        </is>
      </c>
      <c r="D668" s="22" t="inlineStr">
        <is>
          <t>Щеплювальний ніж для шульги Тіна / Tina (641/10L) Німеччина</t>
        </is>
      </c>
      <c r="E668" s="23" t="n">
        <v>7299</v>
      </c>
    </row>
    <row r="669">
      <c r="A669" s="22" t="inlineStr">
        <is>
          <t>Водоспад</t>
        </is>
      </c>
      <c r="B669" s="22" t="inlineStr">
        <is>
          <t>224P-SP-OT</t>
        </is>
      </c>
      <c r="C669" s="22" t="inlineStr">
        <is>
          <t>33188</t>
        </is>
      </c>
      <c r="D669" s="22" t="inlineStr">
        <is>
          <t>Щеплювальний ніж з відділювачем кори Due Buoi 224P-SP-OT Італія</t>
        </is>
      </c>
      <c r="E669" s="23" t="n">
        <v>1360</v>
      </c>
    </row>
    <row r="670">
      <c r="A670" s="22" t="inlineStr">
        <is>
          <t>Клуб Рослин</t>
        </is>
      </c>
      <c r="B670" s="22" t="inlineStr">
        <is>
          <t>224P-SP-OT</t>
        </is>
      </c>
      <c r="C670" s="22" t="inlineStr">
        <is>
          <t>10864</t>
        </is>
      </c>
      <c r="D670" s="22" t="inlineStr">
        <is>
          <t>Щеплювальний ніж з відділювачем кори Due Buoi 224P-SP-OT Італія</t>
        </is>
      </c>
      <c r="E670" s="23" t="n">
        <v>1360</v>
      </c>
    </row>
    <row r="671">
      <c r="A671" s="22" t="inlineStr">
        <is>
          <t>Водоспад</t>
        </is>
      </c>
      <c r="B671" s="22" t="inlineStr">
        <is>
          <t>641/10F</t>
        </is>
      </c>
      <c r="C671" s="22" t="inlineStr">
        <is>
          <t>37043</t>
        </is>
      </c>
      <c r="D671" s="22" t="inlineStr">
        <is>
          <t>Щеплювальний ніж з відокремлювачем кори Тіна / Tina (641/10F ) Німеччина</t>
        </is>
      </c>
      <c r="E671" s="23" t="n">
        <v>6499</v>
      </c>
    </row>
    <row r="672">
      <c r="A672" s="22" t="inlineStr">
        <is>
          <t>Водоспад</t>
        </is>
      </c>
      <c r="B672" s="22" t="inlineStr">
        <is>
          <t>645/10F</t>
        </is>
      </c>
      <c r="C672" s="22" t="inlineStr">
        <is>
          <t>37044</t>
        </is>
      </c>
      <c r="D672" s="22" t="inlineStr">
        <is>
          <t>Щеплювальний ніж з відокремлювачем кори Тіна / Tina (645/10F ) Німеччина</t>
        </is>
      </c>
      <c r="E672" s="23" t="n">
        <v>6599</v>
      </c>
    </row>
    <row r="673">
      <c r="A673" s="22" t="inlineStr">
        <is>
          <t>Клуб Рослин</t>
        </is>
      </c>
      <c r="B673" s="22" t="inlineStr">
        <is>
          <t>645/10F</t>
        </is>
      </c>
      <c r="C673" s="22" t="inlineStr">
        <is>
          <t>10948</t>
        </is>
      </c>
      <c r="D673" s="22" t="inlineStr">
        <is>
          <t>Щеплювальний ніж з відокремлювачем кори Тіна / Tina (645/10F ) Німеччина</t>
        </is>
      </c>
      <c r="E673" s="23" t="n">
        <v>6599</v>
      </c>
    </row>
    <row r="674">
      <c r="A674" s="22" t="inlineStr">
        <is>
          <t>Водоспад</t>
        </is>
      </c>
      <c r="B674" s="22" t="inlineStr">
        <is>
          <t>600А/12</t>
        </is>
      </c>
      <c r="C674" s="22" t="inlineStr">
        <is>
          <t>32937</t>
        </is>
      </c>
      <c r="D674" s="22" t="inlineStr">
        <is>
          <t>Щеплювальний ніж універсальний Тіна / Tina (600А/12) Німеччина</t>
        </is>
      </c>
      <c r="E674" s="23" t="n">
        <v>6499</v>
      </c>
    </row>
    <row r="675">
      <c r="A675" s="22" t="inlineStr">
        <is>
          <t>Водоспад</t>
        </is>
      </c>
      <c r="B675" s="22" t="inlineStr">
        <is>
          <t>3.90.20</t>
        </is>
      </c>
      <c r="C675" s="22" t="inlineStr">
        <is>
          <t>32375</t>
        </is>
      </c>
      <c r="D675" s="22" t="inlineStr">
        <is>
          <t>​​​​​​​Ніж для щеплення Victorinox 3.90.20 Швейцарія</t>
        </is>
      </c>
      <c r="E675" s="23" t="n">
        <v>1449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3" customWidth="1" min="4" max="4"/>
    <col width="46" customWidth="1" min="5" max="5"/>
    <col width="46" customWidth="1" min="6" max="6"/>
    <col width="13" customWidth="1" min="7" max="7"/>
    <col width="14" customWidth="1" min="8" max="8"/>
    <col width="34" customWidth="1" min="9" max="9"/>
  </cols>
  <sheetData>
    <row r="1" ht="34" customHeight="1">
      <c r="A1" s="28" t="inlineStr">
        <is>
          <t>Скрипт не наважився зіставити ці товари сам. Щоб підтвердити пару, відкрийте mapping/suggestions.csv на GitHub і впишіть «так» у колонку «рішення», щоб відхилити, «ні».</t>
        </is>
      </c>
    </row>
    <row r="2" ht="32" customHeight="1">
      <c r="A2" s="1" t="inlineStr">
        <is>
          <t>Схожість</t>
        </is>
      </c>
      <c r="B2" s="1" t="inlineStr">
        <is>
          <t>Постачальник</t>
        </is>
      </c>
      <c r="C2" s="1" t="inlineStr">
        <is>
          <t>Мій ID</t>
        </is>
      </c>
      <c r="D2" s="1" t="inlineStr">
        <is>
          <t>ID у постачальника</t>
        </is>
      </c>
      <c r="E2" s="1" t="inlineStr">
        <is>
          <t>Мій товар</t>
        </is>
      </c>
      <c r="F2" s="1" t="inlineStr">
        <is>
          <t>Товар постачальника</t>
        </is>
      </c>
      <c r="G2" s="1" t="inlineStr">
        <is>
          <t>Моя ціна, грн</t>
        </is>
      </c>
      <c r="H2" s="1" t="inlineStr">
        <is>
          <t>Ціна постачальника, грн</t>
        </is>
      </c>
      <c r="I2" s="1" t="inlineStr">
        <is>
          <t>Причина</t>
        </is>
      </c>
    </row>
    <row r="3">
      <c r="A3" s="22" t="n">
        <v>97.2</v>
      </c>
      <c r="B3" s="22" t="inlineStr">
        <is>
          <t>Водоспад</t>
        </is>
      </c>
      <c r="C3" s="22" t="inlineStr">
        <is>
          <t>8.107</t>
        </is>
      </c>
      <c r="D3" s="22" t="inlineStr">
        <is>
          <t>32356</t>
        </is>
      </c>
      <c r="E3" s="21" t="inlineStr">
        <is>
          <t>Садовий секатор із наковаленкою LOWE Original 8.107</t>
        </is>
      </c>
      <c r="F3" s="21" t="inlineStr">
        <is>
          <t>Садовий секатор із наковаленкою LOWE Original 8.107 (8.107)</t>
        </is>
      </c>
      <c r="G3" s="23" t="n">
        <v>2990</v>
      </c>
      <c r="H3" s="23" t="n">
        <v>2990</v>
      </c>
      <c r="I3" s="21" t="inlineStr">
        <is>
          <t>назви схожі, перевірте</t>
        </is>
      </c>
    </row>
    <row r="4">
      <c r="A4" s="22" t="n">
        <v>97.09999999999999</v>
      </c>
      <c r="B4" s="22" t="inlineStr">
        <is>
          <t>Водоспад</t>
        </is>
      </c>
      <c r="C4" s="22" t="inlineStr">
        <is>
          <t>BCL25IB</t>
        </is>
      </c>
      <c r="D4" s="22" t="inlineStr">
        <is>
          <t>39101</t>
        </is>
      </c>
      <c r="E4" s="21" t="inlineStr">
        <is>
          <t>Секатор акумуляторний Bahco BCL25IB</t>
        </is>
      </c>
      <c r="F4" s="21" t="inlineStr">
        <is>
          <t>Акумуляторний секатор Bahco (BCL20IB)</t>
        </is>
      </c>
      <c r="G4" s="23" t="n">
        <v>33750</v>
      </c>
      <c r="H4" s="23" t="n">
        <v>16999</v>
      </c>
      <c r="I4" s="21" t="inlineStr">
        <is>
          <t>назви схожі, перевірте</t>
        </is>
      </c>
    </row>
    <row r="5">
      <c r="A5" s="22" t="n">
        <v>95.7</v>
      </c>
      <c r="B5" s="22" t="inlineStr">
        <is>
          <t>Водоспад</t>
        </is>
      </c>
      <c r="C5" s="22" t="inlineStr">
        <is>
          <t>BCL240</t>
        </is>
      </c>
      <c r="D5" s="22" t="inlineStr">
        <is>
          <t>39101</t>
        </is>
      </c>
      <c r="E5" s="21" t="inlineStr">
        <is>
          <t>Секатор акумуляторний Bahco BCL240</t>
        </is>
      </c>
      <c r="F5" s="21" t="inlineStr">
        <is>
          <t>Акумуляторний секатор Bahco (BCL20IB)</t>
        </is>
      </c>
      <c r="G5" s="23" t="n">
        <v>20025</v>
      </c>
      <c r="H5" s="23" t="n">
        <v>16999</v>
      </c>
      <c r="I5" s="21" t="inlineStr">
        <is>
          <t>назви схожі, але різні коди виробника</t>
        </is>
      </c>
    </row>
    <row r="6">
      <c r="A6" s="22" t="n">
        <v>95.59999999999999</v>
      </c>
      <c r="B6" s="22" t="inlineStr">
        <is>
          <t>Водоспад</t>
        </is>
      </c>
      <c r="C6" s="22" t="inlineStr">
        <is>
          <t>PROF-H</t>
        </is>
      </c>
      <c r="D6" s="22" t="inlineStr">
        <is>
          <t>42566</t>
        </is>
      </c>
      <c r="E6" s="21" t="inlineStr">
        <is>
          <t>Шкіряний чохол Bahco PROF-H Бахо</t>
        </is>
      </c>
      <c r="F6" s="21" t="inlineStr">
        <is>
          <t>Чохол шкіряний BAHCO (PROF-H)</t>
        </is>
      </c>
      <c r="G6" s="23" t="n">
        <v>1350</v>
      </c>
      <c r="H6" s="23" t="n">
        <v>1390</v>
      </c>
      <c r="I6" s="21" t="inlineStr">
        <is>
          <t>назви схожі, різняться словами: бахо</t>
        </is>
      </c>
    </row>
    <row r="7">
      <c r="A7" s="22" t="n">
        <v>95</v>
      </c>
      <c r="B7" s="22" t="inlineStr">
        <is>
          <t>Клуб Рослин</t>
        </is>
      </c>
      <c r="C7" s="22" t="inlineStr">
        <is>
          <t>5770/R</t>
        </is>
      </c>
      <c r="D7" s="22" t="inlineStr">
        <is>
          <t>10823</t>
        </is>
      </c>
      <c r="E7" s="21" t="inlineStr">
        <is>
          <t>Ніж для щеплення універсальний високовуглецева сталь хобі Антоніні / Antonini (5770/R) Італія</t>
        </is>
      </c>
      <c r="F7" s="21" t="inlineStr">
        <is>
          <t>Ніж Antonini 5770/R для щеплення універсальний високовуглецева сталь хобі</t>
        </is>
      </c>
      <c r="G7" s="23" t="n">
        <v>450</v>
      </c>
      <c r="H7" s="23" t="n">
        <v>450</v>
      </c>
      <c r="I7" s="21" t="inlineStr">
        <is>
          <t>назви схожі, різняться словами: антоніні</t>
        </is>
      </c>
    </row>
    <row r="8">
      <c r="A8" s="22" t="n">
        <v>94.7</v>
      </c>
      <c r="B8" s="22" t="inlineStr">
        <is>
          <t>Клуб Рослин</t>
        </is>
      </c>
      <c r="C8" s="22" t="inlineStr">
        <is>
          <t>702</t>
        </is>
      </c>
      <c r="D8" s="22" t="inlineStr">
        <is>
          <t>15822</t>
        </is>
      </c>
      <c r="E8" s="21" t="inlineStr">
        <is>
          <t>Секатор садовий обвідний Йошіока Хамоно / Yoshioka Hamono (702)</t>
        </is>
      </c>
      <c r="F8" s="21" t="inlineStr">
        <is>
          <t>Секатор Yoshioka Hamono 702 японський садовий обвідний (Йошіока Хамоно 702)</t>
        </is>
      </c>
      <c r="G8" s="23" t="n">
        <v>1990</v>
      </c>
      <c r="H8" s="23" t="n">
        <v>1990</v>
      </c>
      <c r="I8" s="21" t="inlineStr">
        <is>
          <t>назви схожі, різняться словами: японський</t>
        </is>
      </c>
    </row>
    <row r="9">
      <c r="A9" s="22" t="n">
        <v>94.7</v>
      </c>
      <c r="B9" s="22" t="inlineStr">
        <is>
          <t>Клуб Рослин</t>
        </is>
      </c>
      <c r="C9" s="22" t="inlineStr">
        <is>
          <t>701-1</t>
        </is>
      </c>
      <c r="D9" s="22" t="inlineStr">
        <is>
          <t>15821</t>
        </is>
      </c>
      <c r="E9" s="21" t="inlineStr">
        <is>
          <t>Секатор садовий обвідний Йошіока Хамоно / Yoshioka Hamono (701)</t>
        </is>
      </c>
      <c r="F9" s="21" t="inlineStr">
        <is>
          <t>Секатор Yoshioka Hamono 701 японський садовий обвідний (Йошіока Хамоно 701)</t>
        </is>
      </c>
      <c r="G9" s="23" t="n">
        <v>1890</v>
      </c>
      <c r="H9" s="23" t="n">
        <v>1890</v>
      </c>
      <c r="I9" s="21" t="inlineStr">
        <is>
          <t>назви схожі, різняться словами: японський</t>
        </is>
      </c>
    </row>
    <row r="10">
      <c r="A10" s="22" t="n">
        <v>94.7</v>
      </c>
      <c r="B10" s="22" t="inlineStr">
        <is>
          <t>Клуб Рослин</t>
        </is>
      </c>
      <c r="C10" s="22" t="inlineStr">
        <is>
          <t>5016/L</t>
        </is>
      </c>
      <c r="D10" s="22" t="inlineStr">
        <is>
          <t>10810</t>
        </is>
      </c>
      <c r="E10" s="21" t="inlineStr">
        <is>
          <t>Ніж для щеплення універсальний високовуглецева сталь Антоніні / Antonini (5016/L) Італія</t>
        </is>
      </c>
      <c r="F10" s="21" t="inlineStr">
        <is>
          <t>Ніж Antonini 5016/L для щеплення універсальний високовуглецева сталь</t>
        </is>
      </c>
      <c r="G10" s="23" t="n">
        <v>1260</v>
      </c>
      <c r="H10" s="23" t="n">
        <v>1130</v>
      </c>
      <c r="I10" s="21" t="inlineStr">
        <is>
          <t>назви схожі, різняться словами: антоніні</t>
        </is>
      </c>
    </row>
    <row r="11">
      <c r="A11" s="22" t="n">
        <v>94.7</v>
      </c>
      <c r="B11" s="22" t="inlineStr">
        <is>
          <t>Клуб Рослин</t>
        </is>
      </c>
      <c r="C11" s="22" t="inlineStr">
        <is>
          <t>5016/N</t>
        </is>
      </c>
      <c r="D11" s="22" t="inlineStr">
        <is>
          <t>10812</t>
        </is>
      </c>
      <c r="E11" s="21" t="inlineStr">
        <is>
          <t>Ніж для щеплення універсальний високовуглецева сталь Антоніні / Antonini (5016/N) Італія</t>
        </is>
      </c>
      <c r="F11" s="21" t="inlineStr">
        <is>
          <t>Ніж Antonini 5016/N для щеплення універсальний високовуглецева сталь</t>
        </is>
      </c>
      <c r="G11" s="23" t="n">
        <v>1130</v>
      </c>
      <c r="H11" s="23" t="n">
        <v>1130</v>
      </c>
      <c r="I11" s="21" t="inlineStr">
        <is>
          <t>назви схожі, різняться словами: антоніні</t>
        </is>
      </c>
    </row>
    <row r="12">
      <c r="A12" s="22" t="n">
        <v>94.7</v>
      </c>
      <c r="B12" s="22" t="inlineStr">
        <is>
          <t>Клуб Рослин</t>
        </is>
      </c>
      <c r="C12" s="22" t="inlineStr">
        <is>
          <t>5016/R</t>
        </is>
      </c>
      <c r="D12" s="22" t="inlineStr">
        <is>
          <t>10813</t>
        </is>
      </c>
      <c r="E12" s="21" t="inlineStr">
        <is>
          <t>Ніж для щеплення універсальний високовуглецева сталь Антоніні / Antonini (5016/R) Італія</t>
        </is>
      </c>
      <c r="F12" s="21" t="inlineStr">
        <is>
          <t>Ніж Antonini 5016/R для щеплення універсальний високовуглецева сталь</t>
        </is>
      </c>
      <c r="G12" s="23" t="n">
        <v>1130</v>
      </c>
      <c r="H12" s="23" t="n">
        <v>1130</v>
      </c>
      <c r="I12" s="21" t="inlineStr">
        <is>
          <t>назви схожі, різняться словами: антоніні</t>
        </is>
      </c>
    </row>
    <row r="13">
      <c r="A13" s="22" t="n">
        <v>94.59999999999999</v>
      </c>
      <c r="B13" s="22" t="inlineStr">
        <is>
          <t>Водоспад</t>
        </is>
      </c>
      <c r="C13" s="22" t="inlineStr">
        <is>
          <t>9.107</t>
        </is>
      </c>
      <c r="D13" s="22" t="inlineStr">
        <is>
          <t>32327</t>
        </is>
      </c>
      <c r="E13" s="21" t="inlineStr">
        <is>
          <t>LOWE Original 9.107 обхідний секатор Німеччина</t>
        </is>
      </c>
      <c r="F13" s="21" t="inlineStr">
        <is>
          <t>Обхідний секатор LOWE 9.107 (Німеччина)</t>
        </is>
      </c>
      <c r="G13" s="23" t="n">
        <v>3190</v>
      </c>
      <c r="H13" s="23" t="n">
        <v>3190</v>
      </c>
      <c r="I13" s="21" t="inlineStr">
        <is>
          <t>назви схожі, різняться словами: original</t>
        </is>
      </c>
    </row>
    <row r="14">
      <c r="A14" s="22" t="n">
        <v>94.59999999999999</v>
      </c>
      <c r="B14" s="22" t="inlineStr">
        <is>
          <t>Водоспад</t>
        </is>
      </c>
      <c r="C14" s="22" t="inlineStr">
        <is>
          <t>9.104</t>
        </is>
      </c>
      <c r="D14" s="22" t="inlineStr">
        <is>
          <t>32326</t>
        </is>
      </c>
      <c r="E14" s="21" t="inlineStr">
        <is>
          <t>LOWE Original 9.104 Обхідний секатор Німеччина</t>
        </is>
      </c>
      <c r="F14" s="21" t="inlineStr">
        <is>
          <t>Обхідний секатор LOWE 9.104 (Німеччина)</t>
        </is>
      </c>
      <c r="G14" s="23" t="n">
        <v>3190</v>
      </c>
      <c r="H14" s="23" t="n">
        <v>3190</v>
      </c>
      <c r="I14" s="21" t="inlineStr">
        <is>
          <t>назви схожі, різняться словами: original</t>
        </is>
      </c>
    </row>
    <row r="15">
      <c r="A15" s="22" t="n">
        <v>94.40000000000001</v>
      </c>
      <c r="B15" s="22" t="inlineStr">
        <is>
          <t>Клуб Рослин</t>
        </is>
      </c>
      <c r="C15" s="22" t="inlineStr">
        <is>
          <t>CT-42PRO</t>
        </is>
      </c>
      <c r="D15" s="22" t="inlineStr">
        <is>
          <t>11182</t>
        </is>
      </c>
      <c r="E15" s="21" t="inlineStr">
        <is>
          <t>Пила АРС Турбокат / ARS Turbocut (CT-42PRO) серповидна з кобурою Японія</t>
        </is>
      </c>
      <c r="F15" s="21" t="inlineStr">
        <is>
          <t>Пила ARS TURBOCUT CT-42PRO серповидна з кобурою (АРС CT-42PRO ТУРБОКАТ)</t>
        </is>
      </c>
      <c r="G15" s="23" t="n">
        <v>3990</v>
      </c>
      <c r="H15" s="23" t="n">
        <v>3990</v>
      </c>
      <c r="I15" s="21" t="inlineStr">
        <is>
          <t>назви схожі, перевірте</t>
        </is>
      </c>
    </row>
    <row r="16">
      <c r="A16" s="22" t="n">
        <v>94.40000000000001</v>
      </c>
      <c r="B16" s="22" t="inlineStr">
        <is>
          <t>Клуб Рослин</t>
        </is>
      </c>
      <c r="C16" s="22" t="inlineStr">
        <is>
          <t>5017/L</t>
        </is>
      </c>
      <c r="D16" s="22" t="inlineStr">
        <is>
          <t>10814</t>
        </is>
      </c>
      <c r="E16" s="21" t="inlineStr">
        <is>
          <t>Ніж для щеплення універсальний нержавіюча сталь Антоніні / Antonini (5017/L) Італія</t>
        </is>
      </c>
      <c r="F16" s="21" t="inlineStr">
        <is>
          <t>Ніж Antonini 5017/L для щеплення універсальний нержавіюча сталь</t>
        </is>
      </c>
      <c r="G16" s="23" t="n">
        <v>1169</v>
      </c>
      <c r="H16" s="23" t="n">
        <v>1169</v>
      </c>
      <c r="I16" s="21" t="inlineStr">
        <is>
          <t>назви схожі, різняться словами: антоніні</t>
        </is>
      </c>
    </row>
    <row r="17">
      <c r="A17" s="22" t="n">
        <v>94.40000000000001</v>
      </c>
      <c r="B17" s="22" t="inlineStr">
        <is>
          <t>Клуб Рослин</t>
        </is>
      </c>
      <c r="C17" s="22" t="inlineStr">
        <is>
          <t>9496/N</t>
        </is>
      </c>
      <c r="D17" s="22" t="inlineStr">
        <is>
          <t>15497</t>
        </is>
      </c>
      <c r="E17" s="21" t="inlineStr">
        <is>
          <t>Ніж для обрізки і зачистки високовуглецева сталь Антоніні / Antonini (9496/N) Італія</t>
        </is>
      </c>
      <c r="F17" s="21" t="inlineStr">
        <is>
          <t>Ніж Antonini 9496/N для обрізки і зачистки високовуглецева сталь</t>
        </is>
      </c>
      <c r="G17" s="23" t="n">
        <v>440</v>
      </c>
      <c r="H17" s="23" t="n">
        <v>440</v>
      </c>
      <c r="I17" s="21" t="inlineStr">
        <is>
          <t>назви схожі, різняться словами: антоніні</t>
        </is>
      </c>
    </row>
    <row r="18">
      <c r="A18" s="22" t="n">
        <v>93.90000000000001</v>
      </c>
      <c r="B18" s="22" t="inlineStr">
        <is>
          <t>Водоспад</t>
        </is>
      </c>
      <c r="C18" s="22" t="inlineStr">
        <is>
          <t>15.107</t>
        </is>
      </c>
      <c r="D18" s="22" t="inlineStr">
        <is>
          <t>32928</t>
        </is>
      </c>
      <c r="E18" s="21" t="inlineStr">
        <is>
          <t>Секатор садовий LOWE Original 15.107</t>
        </is>
      </c>
      <c r="F18" s="21" t="inlineStr">
        <is>
          <t>Секатор садовий LOWE Original 15.107 (Німеччина)</t>
        </is>
      </c>
      <c r="G18" s="23" t="n">
        <v>1850</v>
      </c>
      <c r="H18" s="23" t="n">
        <v>1850</v>
      </c>
      <c r="I18" s="21" t="inlineStr">
        <is>
          <t>назви схожі, перевірте</t>
        </is>
      </c>
    </row>
    <row r="19">
      <c r="A19" s="22" t="n">
        <v>93.3</v>
      </c>
      <c r="B19" s="22" t="inlineStr">
        <is>
          <t>Клуб Рослин</t>
        </is>
      </c>
      <c r="C19" s="22" t="inlineStr">
        <is>
          <t>VS-8XZ</t>
        </is>
      </c>
      <c r="D19" s="22" t="inlineStr">
        <is>
          <t>11839</t>
        </is>
      </c>
      <c r="E19" s="21" t="inlineStr">
        <is>
          <t>Секатор АРС / ARS (VS-8XZ) професійний обвідний Японія</t>
        </is>
      </c>
      <c r="F19" s="21" t="inlineStr">
        <is>
          <t>Секатор ARS VS-8XZ професійний обвідний (АРС VS-8XZ)</t>
        </is>
      </c>
      <c r="G19" s="23" t="n">
        <v>2299</v>
      </c>
      <c r="H19" s="23" t="n">
        <v>2299</v>
      </c>
      <c r="I19" s="21" t="inlineStr">
        <is>
          <t>назви схожі, але різні коди виробника</t>
        </is>
      </c>
    </row>
    <row r="20">
      <c r="A20" s="22" t="n">
        <v>93.3</v>
      </c>
      <c r="B20" s="22" t="inlineStr">
        <is>
          <t>Клуб Рослин</t>
        </is>
      </c>
      <c r="C20" s="22" t="inlineStr">
        <is>
          <t>VS-7XZ</t>
        </is>
      </c>
      <c r="D20" s="22" t="inlineStr">
        <is>
          <t>11836</t>
        </is>
      </c>
      <c r="E20" s="21" t="inlineStr">
        <is>
          <t>Секатор АРС / ARS (VS-7XZ) професійний обвідний Японія</t>
        </is>
      </c>
      <c r="F20" s="21" t="inlineStr">
        <is>
          <t>Секатор ARS VS-7XZ професійний обвідний (АРС VS-7ХZ)</t>
        </is>
      </c>
      <c r="G20" s="23" t="n">
        <v>2099</v>
      </c>
      <c r="H20" s="23" t="n">
        <v>2099</v>
      </c>
      <c r="I20" s="21" t="inlineStr">
        <is>
          <t>назви схожі, але різні коди виробника</t>
        </is>
      </c>
    </row>
    <row r="21">
      <c r="A21" s="22" t="n">
        <v>93.2</v>
      </c>
      <c r="B21" s="22" t="inlineStr">
        <is>
          <t>Клуб Рослин</t>
        </is>
      </c>
      <c r="C21" s="22" t="inlineStr">
        <is>
          <t>P6201</t>
        </is>
      </c>
      <c r="D21" s="22" t="inlineStr">
        <is>
          <t>16017</t>
        </is>
      </c>
      <c r="E21" s="21" t="inlineStr">
        <is>
          <t>Серп-коса для трави 32 см Фукс / Fux (P6201) Австрія</t>
        </is>
      </c>
      <c r="F21" s="21" t="inlineStr">
        <is>
          <t>Серп-Коса 32 см FUX 1 для трави (Фукс P6201)</t>
        </is>
      </c>
      <c r="G21" s="23" t="n">
        <v>2400</v>
      </c>
      <c r="H21" s="23" t="n">
        <v>2400</v>
      </c>
      <c r="I21" s="21" t="inlineStr">
        <is>
          <t>назви схожі, але різні коди виробника</t>
        </is>
      </c>
    </row>
    <row r="22">
      <c r="A22" s="22" t="n">
        <v>93.09999999999999</v>
      </c>
      <c r="B22" s="22" t="inlineStr">
        <is>
          <t>Клуб Рослин</t>
        </is>
      </c>
      <c r="C22" s="22" t="inlineStr">
        <is>
          <t>4040</t>
        </is>
      </c>
      <c r="D22" s="22" t="inlineStr">
        <is>
          <t>16167</t>
        </is>
      </c>
      <c r="E22" s="21" t="inlineStr">
        <is>
          <t>Родентицид Капкан (парафінові брикети) 300 г Ukravit Укравіт Україна</t>
        </is>
      </c>
      <c r="F22" s="21" t="inlineStr">
        <is>
          <t>Родентицид Капкан парафінові брикети 300 г, Укравіт</t>
        </is>
      </c>
      <c r="G22" s="23" t="n">
        <v>98</v>
      </c>
      <c r="H22" s="23" t="n">
        <v>117</v>
      </c>
      <c r="I22" s="21" t="inlineStr">
        <is>
          <t>назви схожі, різняться словами: ukravit</t>
        </is>
      </c>
    </row>
    <row r="23">
      <c r="A23" s="22" t="n">
        <v>93</v>
      </c>
      <c r="B23" s="22" t="inlineStr">
        <is>
          <t>Клуб Рослин</t>
        </is>
      </c>
      <c r="C23" s="22" t="inlineStr">
        <is>
          <t>1101</t>
        </is>
      </c>
      <c r="D23" s="22" t="inlineStr">
        <is>
          <t>12719</t>
        </is>
      </c>
      <c r="E23" s="21" t="inlineStr">
        <is>
          <t>Камінь точильний натуральний Due Buoi (1101) Італія</t>
        </is>
      </c>
      <c r="F23" s="21" t="inlineStr">
        <is>
          <t>Точильний камінь Due Buoi натуральний</t>
        </is>
      </c>
      <c r="G23" s="23" t="n">
        <v>548</v>
      </c>
      <c r="H23" s="23" t="n">
        <v>440</v>
      </c>
      <c r="I23" s="21" t="inlineStr">
        <is>
          <t>назви схожі, перевірте</t>
        </is>
      </c>
    </row>
    <row r="24">
      <c r="A24" s="22" t="n">
        <v>92.90000000000001</v>
      </c>
      <c r="B24" s="22" t="inlineStr">
        <is>
          <t>Клуб Рослин</t>
        </is>
      </c>
      <c r="C24" s="22" t="inlineStr">
        <is>
          <t>7247</t>
        </is>
      </c>
      <c r="D24" s="22" t="inlineStr">
        <is>
          <t>9239</t>
        </is>
      </c>
      <c r="E24" s="21" t="inlineStr">
        <is>
          <t>Добриво Терафлекс Terraflex Старт (11-40-11+2MgO+TE) 25 кг SmartGrow Бельгія</t>
        </is>
      </c>
      <c r="F24" s="21" t="inlineStr">
        <is>
          <t>Добриво Terraflex Старт 11-40-11+2MgO+TE (Терафлекс), 25 кг</t>
        </is>
      </c>
      <c r="G24" s="23" t="n">
        <v>4300</v>
      </c>
      <c r="H24" s="23" t="n">
        <v>4407</v>
      </c>
      <c r="I24" s="21" t="inlineStr">
        <is>
          <t>код збігся з кількома товарами</t>
        </is>
      </c>
    </row>
    <row r="25">
      <c r="A25" s="22" t="n">
        <v>92.90000000000001</v>
      </c>
      <c r="B25" s="22" t="inlineStr">
        <is>
          <t>Клуб Рослин</t>
        </is>
      </c>
      <c r="C25" s="22" t="inlineStr">
        <is>
          <t>CT-32E</t>
        </is>
      </c>
      <c r="D25" s="22" t="inlineStr">
        <is>
          <t>11180</t>
        </is>
      </c>
      <c r="E25" s="21" t="inlineStr">
        <is>
          <t>Пила АРС / ARS (CT-32E) серповидна з кобурою Японія</t>
        </is>
      </c>
      <c r="F25" s="21" t="inlineStr">
        <is>
          <t>Пила ARS CT-32E серповидна з кобурою (АРС CT-32E)</t>
        </is>
      </c>
      <c r="G25" s="23" t="n">
        <v>1690</v>
      </c>
      <c r="H25" s="23" t="n">
        <v>1690</v>
      </c>
      <c r="I25" s="21" t="inlineStr">
        <is>
          <t>назви схожі, але різні коди виробника</t>
        </is>
      </c>
    </row>
    <row r="26">
      <c r="A26" s="22" t="n">
        <v>92.7</v>
      </c>
      <c r="B26" s="22" t="inlineStr">
        <is>
          <t>Клуб Рослин</t>
        </is>
      </c>
      <c r="C26" s="22" t="inlineStr">
        <is>
          <t>981</t>
        </is>
      </c>
      <c r="D26" s="22" t="inlineStr">
        <is>
          <t>9607</t>
        </is>
      </c>
      <c r="E26" s="21" t="inlineStr">
        <is>
          <t>Засіб для видалення смоли Фелко / Felco 981 Швейцария</t>
        </is>
      </c>
      <c r="F26" s="21" t="inlineStr">
        <is>
          <t>Засіб для видалення смоли Felco 981 (Фелко 981)</t>
        </is>
      </c>
      <c r="G26" s="23" t="n">
        <v>559</v>
      </c>
      <c r="H26" s="23" t="n">
        <v>559</v>
      </c>
      <c r="I26" s="21" t="inlineStr">
        <is>
          <t>назви схожі, різняться словами: швейцария</t>
        </is>
      </c>
    </row>
    <row r="27">
      <c r="A27" s="22" t="n">
        <v>92.59999999999999</v>
      </c>
      <c r="B27" s="22" t="inlineStr">
        <is>
          <t>Клуб Рослин</t>
        </is>
      </c>
      <c r="C27" s="22" t="inlineStr">
        <is>
          <t>7246</t>
        </is>
      </c>
      <c r="D27" s="22" t="inlineStr">
        <is>
          <t>9241</t>
        </is>
      </c>
      <c r="E27" s="21" t="inlineStr">
        <is>
          <t>Добриво Терафлекс Terraflex Фінал (4-8-36+3MgO+TE) 25 кг SmartGrow Бельгія</t>
        </is>
      </c>
      <c r="F27" s="21" t="inlineStr">
        <is>
          <t>Добриво Terraflex Фінал 4-8-36+3MgO+TE (Терафлекс), 25 кг</t>
        </is>
      </c>
      <c r="G27" s="23" t="n">
        <v>2982</v>
      </c>
      <c r="H27" s="23" t="n">
        <v>3630</v>
      </c>
      <c r="I27" s="21" t="inlineStr">
        <is>
          <t>назви схожі, різняться словами: smartgrow</t>
        </is>
      </c>
    </row>
    <row r="28">
      <c r="A28" s="22" t="n">
        <v>92.5</v>
      </c>
      <c r="B28" s="22" t="inlineStr">
        <is>
          <t>Водоспад</t>
        </is>
      </c>
      <c r="C28" s="22" t="inlineStr">
        <is>
          <t>2626/N</t>
        </is>
      </c>
      <c r="D28" s="22" t="inlineStr">
        <is>
          <t>40634</t>
        </is>
      </c>
      <c r="E28" s="21" t="inlineStr">
        <is>
          <t>Ніж садовий кривий Antonini 18 см сталь - C67 (2626/N) Італія</t>
        </is>
      </c>
      <c r="F28" s="21" t="inlineStr">
        <is>
          <t>Ніж садовий кривий Antonini, 18 см, сталь - C67 (2626/R)</t>
        </is>
      </c>
      <c r="G28" s="23" t="n">
        <v>1285</v>
      </c>
      <c r="H28" s="23" t="n">
        <v>1190</v>
      </c>
      <c r="I28" s="21" t="inlineStr">
        <is>
          <t>назви схожі, але різні коди виробника</t>
        </is>
      </c>
    </row>
    <row r="29">
      <c r="A29" s="22" t="n">
        <v>92.40000000000001</v>
      </c>
      <c r="B29" s="22" t="inlineStr">
        <is>
          <t>Водоспад</t>
        </is>
      </c>
      <c r="C29" s="22" t="inlineStr">
        <is>
          <t>8.104</t>
        </is>
      </c>
      <c r="D29" s="22" t="inlineStr">
        <is>
          <t>32356</t>
        </is>
      </c>
      <c r="E29" s="21" t="inlineStr">
        <is>
          <t>Садовий секатор з наковаленкою LOWE Original 8.104</t>
        </is>
      </c>
      <c r="F29" s="21" t="inlineStr">
        <is>
          <t>Садовий секатор із наковаленкою LOWE Original 8.107 (8.107)</t>
        </is>
      </c>
      <c r="G29" s="23" t="n">
        <v>2990</v>
      </c>
      <c r="H29" s="23" t="n">
        <v>2990</v>
      </c>
      <c r="I29" s="21" t="inlineStr">
        <is>
          <t>назви схожі, перевірте</t>
        </is>
      </c>
    </row>
    <row r="30">
      <c r="A30" s="22" t="n">
        <v>92.40000000000001</v>
      </c>
      <c r="B30" s="22" t="inlineStr">
        <is>
          <t>Водоспад</t>
        </is>
      </c>
      <c r="C30" s="22" t="inlineStr">
        <is>
          <t>Sharkbag18</t>
        </is>
      </c>
      <c r="D30" s="22" t="inlineStr">
        <is>
          <t>42290</t>
        </is>
      </c>
      <c r="E30" s="21" t="inlineStr">
        <is>
          <t>Сумка-мішок Shark на спину для збору врожаю 18 л (Sharkbag18) Pluco Польща</t>
        </is>
      </c>
      <c r="F30" s="21" t="inlineStr">
        <is>
          <t>Сумка-мішок на спину для збору врожаю, 18л Sharkbag18</t>
        </is>
      </c>
      <c r="G30" s="23" t="n">
        <v>2150</v>
      </c>
      <c r="H30" s="23" t="n">
        <v>2180</v>
      </c>
      <c r="I30" s="21" t="inlineStr">
        <is>
          <t>назви схожі, різняться словами: pluco, shark</t>
        </is>
      </c>
    </row>
    <row r="31">
      <c r="A31" s="22" t="n">
        <v>92.3</v>
      </c>
      <c r="B31" s="22" t="inlineStr">
        <is>
          <t>Клуб Рослин</t>
        </is>
      </c>
      <c r="C31" s="22" t="inlineStr">
        <is>
          <t>25/2Р. А</t>
        </is>
      </c>
      <c r="D31" s="22" t="inlineStr">
        <is>
          <t>10807</t>
        </is>
      </c>
      <c r="E31" s="21" t="inlineStr">
        <is>
          <t>Ніж для обрізки і щеплення високовуглецева сталь Антоніні / Antonini (25/2Р. А) Італія</t>
        </is>
      </c>
      <c r="F31" s="21" t="inlineStr">
        <is>
          <t>Ніж Antonini 25/2P. A для обрізки і щеплення високовуглецева сталь</t>
        </is>
      </c>
      <c r="G31" s="23" t="n">
        <v>770</v>
      </c>
      <c r="H31" s="23" t="n">
        <v>770</v>
      </c>
      <c r="I31" s="21" t="inlineStr">
        <is>
          <t>назви схожі, різняться словами: антоніні</t>
        </is>
      </c>
    </row>
    <row r="32">
      <c r="A32" s="22" t="n">
        <v>92.3</v>
      </c>
      <c r="B32" s="22" t="inlineStr">
        <is>
          <t>Клуб Рослин</t>
        </is>
      </c>
      <c r="C32" s="22" t="inlineStr">
        <is>
          <t>1100</t>
        </is>
      </c>
      <c r="D32" s="22" t="inlineStr">
        <is>
          <t>12720</t>
        </is>
      </c>
      <c r="E32" s="21" t="inlineStr">
        <is>
          <t>Камінь точильний штучний Due Buoi (1100) Італія</t>
        </is>
      </c>
      <c r="F32" s="21" t="inlineStr">
        <is>
          <t>Точильний камінь Due Buoi штучний</t>
        </is>
      </c>
      <c r="G32" s="23" t="n">
        <v>579</v>
      </c>
      <c r="H32" s="23" t="n">
        <v>496</v>
      </c>
      <c r="I32" s="21" t="inlineStr">
        <is>
          <t>назви схожі, перевірте</t>
        </is>
      </c>
    </row>
    <row r="33">
      <c r="A33" s="22" t="n">
        <v>91.8</v>
      </c>
      <c r="B33" s="22" t="inlineStr">
        <is>
          <t>Клуб Рослин</t>
        </is>
      </c>
      <c r="C33" s="22" t="inlineStr">
        <is>
          <t>200AP</t>
        </is>
      </c>
      <c r="D33" s="22" t="inlineStr">
        <is>
          <t>10847</t>
        </is>
      </c>
      <c r="E33" s="21" t="inlineStr">
        <is>
          <t>Ніж Due Buoi 200AP для щеплення універсальний Італія</t>
        </is>
      </c>
      <c r="F33" s="21" t="inlineStr">
        <is>
          <t>Ніж Due Buoi 201AP для щеплення універсальний</t>
        </is>
      </c>
      <c r="G33" s="23" t="n">
        <v>1790</v>
      </c>
      <c r="H33" s="23" t="n">
        <v>1990</v>
      </c>
      <c r="I33" s="21" t="inlineStr">
        <is>
          <t>назви схожі, перевірте</t>
        </is>
      </c>
    </row>
    <row r="34">
      <c r="A34" s="22" t="n">
        <v>91.7</v>
      </c>
      <c r="B34" s="22" t="inlineStr">
        <is>
          <t>Клуб Рослин</t>
        </is>
      </c>
      <c r="C34" s="22" t="inlineStr">
        <is>
          <t>PX-M3</t>
        </is>
      </c>
      <c r="D34" s="22" t="inlineStr">
        <is>
          <t>11858</t>
        </is>
      </c>
      <c r="E34" s="21" t="inlineStr">
        <is>
          <t>Секатор Bahco PX-M3 для обрізання саду</t>
        </is>
      </c>
      <c r="F34" s="21" t="inlineStr">
        <is>
          <t>Секатор Bahco PX-M3 для обрізки саду</t>
        </is>
      </c>
      <c r="G34" s="23" t="n">
        <v>2950</v>
      </c>
      <c r="H34" s="23" t="n">
        <v>2950</v>
      </c>
      <c r="I34" s="21" t="inlineStr">
        <is>
          <t>назви схожі, різняться словами: обрізання, обрізки</t>
        </is>
      </c>
    </row>
    <row r="35">
      <c r="A35" s="22" t="n">
        <v>91.59999999999999</v>
      </c>
      <c r="B35" s="22" t="inlineStr">
        <is>
          <t>Клуб Рослин</t>
        </is>
      </c>
      <c r="C35" s="22" t="inlineStr">
        <is>
          <t>Z-8</t>
        </is>
      </c>
      <c r="D35" s="22" t="inlineStr">
        <is>
          <t>15820</t>
        </is>
      </c>
      <c r="E35" s="21" t="inlineStr">
        <is>
          <t>Секатор садовий обвідний Камакі / Kamaki (Z-8) Японія</t>
        </is>
      </c>
      <c r="F35" s="21" t="inlineStr">
        <is>
          <t>Секатор Kamaki Z-8 японський садовий обвідний (Камакі Z-8)</t>
        </is>
      </c>
      <c r="G35" s="23" t="n">
        <v>1149</v>
      </c>
      <c r="H35" s="23" t="n">
        <v>1139</v>
      </c>
      <c r="I35" s="21" t="inlineStr">
        <is>
          <t>назви схожі, різняться словами: японський</t>
        </is>
      </c>
    </row>
    <row r="36">
      <c r="A36" s="22" t="n">
        <v>91.5</v>
      </c>
      <c r="B36" s="22" t="inlineStr">
        <is>
          <t>Клуб Рослин</t>
        </is>
      </c>
      <c r="C36" s="22" t="inlineStr">
        <is>
          <t>PX-L3</t>
        </is>
      </c>
      <c r="D36" s="22" t="inlineStr">
        <is>
          <t>11858</t>
        </is>
      </c>
      <c r="E36" s="21" t="inlineStr">
        <is>
          <t>Секатор Bahco PX-L3 для обрізки саду Бахо</t>
        </is>
      </c>
      <c r="F36" s="21" t="inlineStr">
        <is>
          <t>Секатор Bahco PX-M3 для обрізки саду</t>
        </is>
      </c>
      <c r="G36" s="23" t="n">
        <v>2990</v>
      </c>
      <c r="H36" s="23" t="n">
        <v>2950</v>
      </c>
      <c r="I36" s="21" t="inlineStr">
        <is>
          <t>назви схожі, різняться словами: бахо</t>
        </is>
      </c>
    </row>
    <row r="37">
      <c r="A37" s="22" t="n">
        <v>91.3</v>
      </c>
      <c r="B37" s="22" t="inlineStr">
        <is>
          <t>Клуб Рослин</t>
        </is>
      </c>
      <c r="C37" s="22" t="inlineStr">
        <is>
          <t>GO-1</t>
        </is>
      </c>
      <c r="D37" s="22" t="inlineStr">
        <is>
          <t>12361</t>
        </is>
      </c>
      <c r="E37" s="21" t="inlineStr">
        <is>
          <t>Спрей для догляду за садовим інструментом ARS / АРС (GO-1) Японія</t>
        </is>
      </c>
      <c r="F37" s="21" t="inlineStr">
        <is>
          <t>Спрей ARS GO-1 для догляду за інструментом (АРС GO-1)</t>
        </is>
      </c>
      <c r="G37" s="23" t="n">
        <v>499</v>
      </c>
      <c r="H37" s="23" t="n">
        <v>499</v>
      </c>
      <c r="I37" s="21" t="inlineStr">
        <is>
          <t>назви схожі, різняться словами: садовим</t>
        </is>
      </c>
    </row>
    <row r="38">
      <c r="A38" s="22" t="n">
        <v>91.09999999999999</v>
      </c>
      <c r="B38" s="22" t="inlineStr">
        <is>
          <t>Водоспад</t>
        </is>
      </c>
      <c r="C38" s="22" t="inlineStr">
        <is>
          <t>7.109</t>
        </is>
      </c>
      <c r="D38" s="22" t="inlineStr">
        <is>
          <t>32746</t>
        </is>
      </c>
      <c r="E38" s="21" t="inlineStr">
        <is>
          <t>Секатор садовий із наковаленкою Льове / Lowe Original (7.109) Німеччина</t>
        </is>
      </c>
      <c r="F38" s="21" t="inlineStr">
        <is>
          <t>Садовий секатор із наковаленкою LOWE Original 7.109 (7.109)</t>
        </is>
      </c>
      <c r="G38" s="23" t="n">
        <v>3300</v>
      </c>
      <c r="H38" s="23" t="n">
        <v>3300</v>
      </c>
      <c r="I38" s="21" t="inlineStr">
        <is>
          <t>назви схожі, різняться словами: льове</t>
        </is>
      </c>
    </row>
    <row r="39">
      <c r="A39" s="22" t="n">
        <v>90.90000000000001</v>
      </c>
      <c r="B39" s="22" t="inlineStr">
        <is>
          <t>Водоспад</t>
        </is>
      </c>
      <c r="C39" s="22" t="inlineStr">
        <is>
          <t>903</t>
        </is>
      </c>
      <c r="D39" s="22" t="inlineStr">
        <is>
          <t>32580</t>
        </is>
      </c>
      <c r="E39" s="21" t="inlineStr">
        <is>
          <t>Точильний камінь алмаз 100 мм Felco 903</t>
        </is>
      </c>
      <c r="F39" s="21" t="inlineStr">
        <is>
          <t>Точильний камінь (алмаз) 100 мм (Felco903)</t>
        </is>
      </c>
      <c r="G39" s="23" t="n">
        <v>1199</v>
      </c>
      <c r="H39" s="23" t="n">
        <v>1199</v>
      </c>
      <c r="I39" s="21" t="inlineStr">
        <is>
          <t>назви схожі, різняться словами: felco</t>
        </is>
      </c>
    </row>
    <row r="40">
      <c r="A40" s="22" t="n">
        <v>90.8</v>
      </c>
      <c r="B40" s="22" t="inlineStr">
        <is>
          <t>Клуб Рослин</t>
        </is>
      </c>
      <c r="C40" s="22" t="inlineStr">
        <is>
          <t>5036/L</t>
        </is>
      </c>
      <c r="D40" s="22" t="inlineStr">
        <is>
          <t>15482</t>
        </is>
      </c>
      <c r="E40" s="21" t="inlineStr">
        <is>
          <t>Ніж для копуліровки високовуглецева сталь Антоніні / Antonini (5036/L) Італія</t>
        </is>
      </c>
      <c r="F40" s="21" t="inlineStr">
        <is>
          <t>Ніж Antonini 5026/L для копуліровки високовуглецева сталь</t>
        </is>
      </c>
      <c r="G40" s="23" t="n">
        <v>1035</v>
      </c>
      <c r="H40" s="23" t="n">
        <v>995</v>
      </c>
      <c r="I40" s="21" t="inlineStr">
        <is>
          <t>назви схожі, але різні об'єми або розміри</t>
        </is>
      </c>
    </row>
    <row r="41">
      <c r="A41" s="22" t="n">
        <v>90.59999999999999</v>
      </c>
      <c r="B41" s="22" t="inlineStr">
        <is>
          <t>Водоспад</t>
        </is>
      </c>
      <c r="C41" s="22" t="inlineStr">
        <is>
          <t>2446</t>
        </is>
      </c>
      <c r="D41" s="22" t="inlineStr">
        <is>
          <t>42600</t>
        </is>
      </c>
      <c r="E41" s="21" t="inlineStr">
        <is>
          <t>Ніж Bahco 220 мм INOX (2446) Бахо Швеція</t>
        </is>
      </c>
      <c r="F41" s="21" t="inlineStr">
        <is>
          <t>Ніж Bahco 220 мм INOX (2446)</t>
        </is>
      </c>
      <c r="G41" s="23" t="n">
        <v>450</v>
      </c>
      <c r="H41" s="23" t="n">
        <v>440</v>
      </c>
      <c r="I41" s="21" t="inlineStr">
        <is>
          <t>назви схожі, різняться словами: бахо</t>
        </is>
      </c>
    </row>
    <row r="42">
      <c r="A42" s="22" t="n">
        <v>90.59999999999999</v>
      </c>
      <c r="B42" s="22" t="inlineStr">
        <is>
          <t>Клуб Рослин</t>
        </is>
      </c>
      <c r="C42" s="22" t="inlineStr">
        <is>
          <t>9.109</t>
        </is>
      </c>
      <c r="D42" s="22" t="inlineStr">
        <is>
          <t>11981</t>
        </is>
      </c>
      <c r="E42" s="21" t="inlineStr">
        <is>
          <t>Секатор обвідний з поворотним руків'ям​​​​​​​ Льове / Lowe Original (9.109) Німеччина</t>
        </is>
      </c>
      <c r="F42" s="21" t="inlineStr">
        <is>
          <t>Секатор Lowe 9.109 обвідний з поворотним руків'ям (Льове 9.109)</t>
        </is>
      </c>
      <c r="G42" s="23" t="n">
        <v>3750</v>
      </c>
      <c r="H42" s="23" t="n">
        <v>3750</v>
      </c>
      <c r="I42" s="21" t="inlineStr">
        <is>
          <t>назви схожі, різняться словами: original</t>
        </is>
      </c>
    </row>
    <row r="43">
      <c r="A43" s="22" t="n">
        <v>90.59999999999999</v>
      </c>
      <c r="B43" s="22" t="inlineStr">
        <is>
          <t>Клуб Рослин</t>
        </is>
      </c>
      <c r="C43" s="22" t="inlineStr">
        <is>
          <t>PM-24L</t>
        </is>
      </c>
      <c r="D43" s="22" t="inlineStr">
        <is>
          <t>11192</t>
        </is>
      </c>
      <c r="E43" s="21" t="inlineStr">
        <is>
          <t>Пила АРС / ARS (PM-24L) складна Японія</t>
        </is>
      </c>
      <c r="F43" s="21" t="inlineStr">
        <is>
          <t>Пила складна ARS PM-24 (АРС PM-24)</t>
        </is>
      </c>
      <c r="G43" s="23" t="n">
        <v>1920</v>
      </c>
      <c r="H43" s="23" t="n">
        <v>1920</v>
      </c>
      <c r="I43" s="21" t="inlineStr">
        <is>
          <t>назви схожі, але різні коди виробника</t>
        </is>
      </c>
    </row>
    <row r="44">
      <c r="A44" s="22" t="n">
        <v>90.5</v>
      </c>
      <c r="B44" s="22" t="inlineStr">
        <is>
          <t>Водоспад</t>
        </is>
      </c>
      <c r="C44" s="22" t="inlineStr">
        <is>
          <t>910 Black</t>
        </is>
      </c>
      <c r="D44" s="22" t="inlineStr">
        <is>
          <t>42575</t>
        </is>
      </c>
      <c r="E44" s="21" t="inlineStr">
        <is>
          <t>Чохол для секатора Фелко / Felco 910 Black Швейцарія</t>
        </is>
      </c>
      <c r="F44" s="21" t="inlineStr">
        <is>
          <t>Чохол для секатора (Felco 910 Black)</t>
        </is>
      </c>
      <c r="G44" s="23" t="n">
        <v>1349</v>
      </c>
      <c r="H44" s="23" t="n">
        <v>1349</v>
      </c>
      <c r="I44" s="21" t="inlineStr">
        <is>
          <t>назви схожі, різняться словами: фелко</t>
        </is>
      </c>
    </row>
    <row r="45">
      <c r="A45" s="22" t="n">
        <v>90.5</v>
      </c>
      <c r="B45" s="22" t="inlineStr">
        <is>
          <t>Клуб Рослин</t>
        </is>
      </c>
      <c r="C45" s="22" t="inlineStr">
        <is>
          <t>640</t>
        </is>
      </c>
      <c r="D45" s="22" t="inlineStr">
        <is>
          <t>11216</t>
        </is>
      </c>
      <c r="E45" s="21" t="inlineStr">
        <is>
          <t>Пила в кобурі 440 мм Фелко / Felco 640 Швейцарія</t>
        </is>
      </c>
      <c r="F45" s="21" t="inlineStr">
        <is>
          <t>Пила в кобурі Felco 640 (Фелко 640)</t>
        </is>
      </c>
      <c r="G45" s="23" t="n">
        <v>3490</v>
      </c>
      <c r="H45" s="23" t="n">
        <v>3490</v>
      </c>
      <c r="I45" s="21" t="inlineStr">
        <is>
          <t>назви схожі, перевірте</t>
        </is>
      </c>
    </row>
    <row r="46">
      <c r="A46" s="22" t="n">
        <v>90.5</v>
      </c>
      <c r="B46" s="22" t="inlineStr">
        <is>
          <t>Клуб Рослин</t>
        </is>
      </c>
      <c r="C46" s="22" t="inlineStr">
        <is>
          <t>ddd10be1-abba-11ee-bf43-c87f546feb15</t>
        </is>
      </c>
      <c r="D46" s="22" t="inlineStr">
        <is>
          <t>9622</t>
        </is>
      </c>
      <c r="E46" s="21" t="inlineStr">
        <is>
          <t>Окуляри захисні</t>
        </is>
      </c>
      <c r="F46" s="21" t="inlineStr">
        <is>
          <t>Захисні окуляри LESO-TR</t>
        </is>
      </c>
      <c r="G46" s="23" t="n"/>
      <c r="H46" s="23" t="n">
        <v>70</v>
      </c>
      <c r="I46" s="21" t="inlineStr">
        <is>
          <t>назви схожі, різняться словами: lesotr</t>
        </is>
      </c>
    </row>
    <row r="47">
      <c r="A47" s="22" t="n">
        <v>90.40000000000001</v>
      </c>
      <c r="B47" s="22" t="inlineStr">
        <is>
          <t>Водоспад</t>
        </is>
      </c>
      <c r="C47" s="22" t="inlineStr">
        <is>
          <t>605/11</t>
        </is>
      </c>
      <c r="D47" s="22" t="inlineStr">
        <is>
          <t>32936</t>
        </is>
      </c>
      <c r="E47" s="21" t="inlineStr">
        <is>
          <t>Щеплювальний ніж універсальний Тіна / Tina (605/11) Німеччина</t>
        </is>
      </c>
      <c r="F47" s="21" t="inlineStr">
        <is>
          <t>Ніж універсальний TINA 605/11 (Німеччина)</t>
        </is>
      </c>
      <c r="G47" s="23" t="n">
        <v>4999</v>
      </c>
      <c r="H47" s="23" t="n">
        <v>4999</v>
      </c>
      <c r="I47" s="21" t="inlineStr">
        <is>
          <t>назви схожі, різняться словами: тіна, щеплювальний</t>
        </is>
      </c>
    </row>
    <row r="48">
      <c r="A48" s="22" t="n">
        <v>90.40000000000001</v>
      </c>
      <c r="B48" s="22" t="inlineStr">
        <is>
          <t>Клуб Рослин</t>
        </is>
      </c>
      <c r="C48" s="22" t="inlineStr">
        <is>
          <t>3604-21.B</t>
        </is>
      </c>
      <c r="D48" s="22" t="inlineStr">
        <is>
          <t>11876</t>
        </is>
      </c>
      <c r="E48" s="21" t="inlineStr">
        <is>
          <t>Секатор 210 мм універсальний Bellota (3604-21.B) Іспанія</t>
        </is>
      </c>
      <c r="F48" s="21" t="inlineStr">
        <is>
          <t>Секатор Bellota 3604-21 універсальний</t>
        </is>
      </c>
      <c r="G48" s="23" t="n">
        <v>1989</v>
      </c>
      <c r="H48" s="23" t="n">
        <v>1989</v>
      </c>
      <c r="I48" s="21" t="inlineStr">
        <is>
          <t>назви схожі, але різні коди виробника</t>
        </is>
      </c>
    </row>
    <row r="49">
      <c r="A49" s="22" t="n">
        <v>90.3</v>
      </c>
      <c r="B49" s="22" t="inlineStr">
        <is>
          <t>Клуб Рослин</t>
        </is>
      </c>
      <c r="C49" s="22" t="inlineStr">
        <is>
          <t>SR-BAG.L</t>
        </is>
      </c>
      <c r="D49" s="22" t="inlineStr">
        <is>
          <t>16238</t>
        </is>
      </c>
      <c r="E49" s="21" t="inlineStr">
        <is>
          <t>Сумка Смарт Рейн / Smart Rain 400 л (SR-BAG.L)</t>
        </is>
      </c>
      <c r="F49" s="21" t="inlineStr">
        <is>
          <t>Сумка Smart Rain 280 л SR-BAG (Смарт Рейн SR-BAG)</t>
        </is>
      </c>
      <c r="G49" s="23" t="n">
        <v>995</v>
      </c>
      <c r="H49" s="23" t="n">
        <v>695</v>
      </c>
      <c r="I49" s="21" t="inlineStr">
        <is>
          <t>назви схожі, але різні об'єми або розміри</t>
        </is>
      </c>
    </row>
    <row r="50">
      <c r="A50" s="22" t="n">
        <v>90.3</v>
      </c>
      <c r="B50" s="22" t="inlineStr">
        <is>
          <t>Клуб Рослин</t>
        </is>
      </c>
      <c r="C50" s="22" t="inlineStr">
        <is>
          <t>646283f3-abbb-11ee-bf43-c87f546feb15</t>
        </is>
      </c>
      <c r="D50" s="22" t="inlineStr">
        <is>
          <t>11884</t>
        </is>
      </c>
      <c r="E50" s="21" t="inlineStr">
        <is>
          <t>Секатор Due Buoi 175 см (1145/17.5) типу ножиці довгі леза Дю Буі</t>
        </is>
      </c>
      <c r="F50" s="21" t="inlineStr">
        <is>
          <t>Секатор Due Buoi 1145/17,5 типу ножиці довгі леза (Дуе Буаї)</t>
        </is>
      </c>
      <c r="G50" s="23" t="n">
        <v>419</v>
      </c>
      <c r="H50" s="23" t="n">
        <v>496</v>
      </c>
      <c r="I50" s="21" t="inlineStr">
        <is>
          <t>код збігся, але різні коди виробника</t>
        </is>
      </c>
    </row>
    <row r="51">
      <c r="A51" s="22" t="n">
        <v>90.2</v>
      </c>
      <c r="B51" s="22" t="inlineStr">
        <is>
          <t>Клуб Рослин</t>
        </is>
      </c>
      <c r="C51" s="22" t="inlineStr">
        <is>
          <t>P6202</t>
        </is>
      </c>
      <c r="D51" s="22" t="inlineStr">
        <is>
          <t>16018</t>
        </is>
      </c>
      <c r="E51" s="21" t="inlineStr">
        <is>
          <t>Серп-коса для трави 37 см Фукс / Fux (P6202) Австрія</t>
        </is>
      </c>
      <c r="F51" s="21" t="inlineStr">
        <is>
          <t>Серп-Коса 35 см FUX 2 для трави (Фукс P6202)</t>
        </is>
      </c>
      <c r="G51" s="23" t="n">
        <v>2650</v>
      </c>
      <c r="H51" s="23" t="n">
        <v>2650</v>
      </c>
      <c r="I51" s="21" t="inlineStr">
        <is>
          <t>назви схожі, але різні об'єми або розміри</t>
        </is>
      </c>
    </row>
    <row r="52">
      <c r="A52" s="22" t="n">
        <v>90</v>
      </c>
      <c r="B52" s="22" t="inlineStr">
        <is>
          <t>Водоспад</t>
        </is>
      </c>
      <c r="C52" s="22" t="inlineStr">
        <is>
          <t>606</t>
        </is>
      </c>
      <c r="D52" s="22" t="inlineStr">
        <is>
          <t>32935</t>
        </is>
      </c>
      <c r="E52" s="21" t="inlineStr">
        <is>
          <t>Щеплювальний ніж універсальний Тіна / Tina (606) Німеччина</t>
        </is>
      </c>
      <c r="F52" s="21" t="inlineStr">
        <is>
          <t>Ніж універсальний TINA 606 (Німеччина)</t>
        </is>
      </c>
      <c r="G52" s="23" t="n">
        <v>4799</v>
      </c>
      <c r="H52" s="23" t="n">
        <v>4799</v>
      </c>
      <c r="I52" s="21" t="inlineStr">
        <is>
          <t>назви схожі, різняться словами: тіна, щеплювальний</t>
        </is>
      </c>
    </row>
    <row r="53">
      <c r="A53" s="22" t="n">
        <v>90</v>
      </c>
      <c r="B53" s="22" t="inlineStr">
        <is>
          <t>Водоспад</t>
        </is>
      </c>
      <c r="C53" s="22" t="inlineStr">
        <is>
          <t>605</t>
        </is>
      </c>
      <c r="D53" s="22" t="inlineStr">
        <is>
          <t>32806</t>
        </is>
      </c>
      <c r="E53" s="21" t="inlineStr">
        <is>
          <t>Щеплювальний ніж універсальний Тіна / Tina (605) Німеччина</t>
        </is>
      </c>
      <c r="F53" s="21" t="inlineStr">
        <is>
          <t>Ніж універсальний TINA 605 (Німеччина)</t>
        </is>
      </c>
      <c r="G53" s="23" t="n">
        <v>4799</v>
      </c>
      <c r="H53" s="23" t="n">
        <v>4799</v>
      </c>
      <c r="I53" s="21" t="inlineStr">
        <is>
          <t>назви схожі, різняться словами: тіна, щеплювальний</t>
        </is>
      </c>
    </row>
    <row r="54">
      <c r="A54" s="22" t="n">
        <v>90</v>
      </c>
      <c r="B54" s="22" t="inlineStr">
        <is>
          <t>Клуб Рослин</t>
        </is>
      </c>
      <c r="C54" s="22" t="inlineStr">
        <is>
          <t>3512-21.B</t>
        </is>
      </c>
      <c r="D54" s="22" t="inlineStr">
        <is>
          <t>11872</t>
        </is>
      </c>
      <c r="E54" s="21" t="inlineStr">
        <is>
          <t>Секатор 210 мм професійний Bellota (3512-21.B) Іспанія</t>
        </is>
      </c>
      <c r="F54" s="21" t="inlineStr">
        <is>
          <t>Секатор Bellota 3512-21 професійний</t>
        </is>
      </c>
      <c r="G54" s="23" t="n">
        <v>2798</v>
      </c>
      <c r="H54" s="23" t="n">
        <v>2798</v>
      </c>
      <c r="I54" s="21" t="inlineStr">
        <is>
          <t>назви схожі, але різні коди виробника</t>
        </is>
      </c>
    </row>
    <row r="55">
      <c r="A55" s="22" t="n">
        <v>90</v>
      </c>
      <c r="B55" s="22" t="inlineStr">
        <is>
          <t>Клуб Рослин</t>
        </is>
      </c>
      <c r="C55" s="22" t="inlineStr">
        <is>
          <t>3510-21.B</t>
        </is>
      </c>
      <c r="D55" s="22" t="inlineStr">
        <is>
          <t>11871</t>
        </is>
      </c>
      <c r="E55" s="21" t="inlineStr">
        <is>
          <t>Секатор 210 мм професійний Bellota (3510-21.B) Іспанія</t>
        </is>
      </c>
      <c r="F55" s="21" t="inlineStr">
        <is>
          <t>Секатор Bellota 3510-21 професійний</t>
        </is>
      </c>
      <c r="G55" s="23" t="n">
        <v>2649</v>
      </c>
      <c r="H55" s="23" t="n">
        <v>2649</v>
      </c>
      <c r="I55" s="21" t="inlineStr">
        <is>
          <t>назви схожі, але різні коди виробника</t>
        </is>
      </c>
    </row>
    <row r="56">
      <c r="A56" s="22" t="n">
        <v>90</v>
      </c>
      <c r="B56" s="22" t="inlineStr">
        <is>
          <t>Клуб Рослин</t>
        </is>
      </c>
      <c r="C56" s="22" t="inlineStr">
        <is>
          <t>CAM-24LN</t>
        </is>
      </c>
      <c r="D56" s="22" t="inlineStr">
        <is>
          <t>11177</t>
        </is>
      </c>
      <c r="E56" s="21" t="inlineStr">
        <is>
          <t>Пила АРС / ARS (CAM-24LN) з кобурою Японія</t>
        </is>
      </c>
      <c r="F56" s="21" t="inlineStr">
        <is>
          <t>Пила з кобурою ARS CAM-24LN (АРС CAM-24LN)</t>
        </is>
      </c>
      <c r="G56" s="23" t="n">
        <v>1459</v>
      </c>
      <c r="H56" s="23" t="n">
        <v>1459</v>
      </c>
      <c r="I56" s="21" t="inlineStr">
        <is>
          <t>назви схожі, але різні коди виробника</t>
        </is>
      </c>
    </row>
    <row r="57">
      <c r="A57" s="22" t="n">
        <v>89.90000000000001</v>
      </c>
      <c r="B57" s="22" t="inlineStr">
        <is>
          <t>Клуб Рослин</t>
        </is>
      </c>
      <c r="C57" s="22" t="inlineStr">
        <is>
          <t>VS-9XZ</t>
        </is>
      </c>
      <c r="D57" s="22" t="inlineStr">
        <is>
          <t>11843</t>
        </is>
      </c>
      <c r="E57" s="21" t="inlineStr">
        <is>
          <t>Секатор АРС / ARS (VS-9XZ) професійний обвідний Японія</t>
        </is>
      </c>
      <c r="F57" s="21" t="inlineStr">
        <is>
          <t>Секатор ARS VS-9Z професійний обвідний (АРС VS-9Z)</t>
        </is>
      </c>
      <c r="G57" s="23" t="n">
        <v>2519</v>
      </c>
      <c r="H57" s="23" t="n">
        <v>1490</v>
      </c>
      <c r="I57" s="21" t="inlineStr">
        <is>
          <t>назви схожі, але різні коди виробника</t>
        </is>
      </c>
    </row>
    <row r="58">
      <c r="A58" s="22" t="n">
        <v>89.8</v>
      </c>
      <c r="B58" s="22" t="inlineStr">
        <is>
          <t>Клуб Рослин</t>
        </is>
      </c>
      <c r="C58" s="22" t="inlineStr">
        <is>
          <t>7104</t>
        </is>
      </c>
      <c r="D58" s="22" t="inlineStr">
        <is>
          <t>9312</t>
        </is>
      </c>
      <c r="E58" s="21" t="inlineStr">
        <is>
          <t>Добриво Монокалій фосфат 0-52-34 Nova Peak 25 кг ICL Ізраїль</t>
        </is>
      </c>
      <c r="F58" s="21" t="inlineStr">
        <is>
          <t>Добриво водорозчинне Монокалій фосфат ICL Novapeak 0-52-34 (Ізраїль), 25 кг</t>
        </is>
      </c>
      <c r="G58" s="23" t="n">
        <v>3798</v>
      </c>
      <c r="H58" s="23" t="n">
        <v>3950</v>
      </c>
      <c r="I58" s="21" t="inlineStr">
        <is>
          <t>назви схожі, різняться словами: водорозчинне</t>
        </is>
      </c>
    </row>
    <row r="59">
      <c r="A59" s="22" t="n">
        <v>89.8</v>
      </c>
      <c r="B59" s="22" t="inlineStr">
        <is>
          <t>Клуб Рослин</t>
        </is>
      </c>
      <c r="C59" s="22" t="inlineStr">
        <is>
          <t>7242</t>
        </is>
      </c>
      <c r="D59" s="22" t="inlineStr">
        <is>
          <t>9232</t>
        </is>
      </c>
      <c r="E59" s="21" t="inlineStr">
        <is>
          <t>Добриво Терафлекс Ягідний Terraflex S (14-6-25 + 3.2 MgO + TЕ) 2 кг SmartGrow Бельгія</t>
        </is>
      </c>
      <c r="F59" s="21" t="inlineStr">
        <is>
          <t>Добриво Terraflex - S 14-6-25+3.2MgO+TE (Терафлекс), 2 кг</t>
        </is>
      </c>
      <c r="G59" s="23" t="n">
        <v>498</v>
      </c>
      <c r="H59" s="23" t="n">
        <v>398</v>
      </c>
      <c r="I59" s="21" t="inlineStr">
        <is>
          <t>назви схожі, різняться словами: smartgrow, ягідний</t>
        </is>
      </c>
    </row>
    <row r="60">
      <c r="A60" s="22" t="n">
        <v>89.7</v>
      </c>
      <c r="B60" s="22" t="inlineStr">
        <is>
          <t>Клуб Рослин</t>
        </is>
      </c>
      <c r="C60" s="22" t="inlineStr">
        <is>
          <t>GR-18L</t>
        </is>
      </c>
      <c r="D60" s="22" t="inlineStr">
        <is>
          <t>11189</t>
        </is>
      </c>
      <c r="E60" s="21" t="inlineStr">
        <is>
          <t>Пила АРС / ARS (GR-18L) складна Японія</t>
        </is>
      </c>
      <c r="F60" s="21" t="inlineStr">
        <is>
          <t>Пила складна ARS GR-18L (АРС GR-18L)</t>
        </is>
      </c>
      <c r="G60" s="23" t="n">
        <v>1449</v>
      </c>
      <c r="H60" s="23" t="n">
        <v>1449</v>
      </c>
      <c r="I60" s="21" t="inlineStr">
        <is>
          <t>назви схожі, але різні коди виробника</t>
        </is>
      </c>
    </row>
    <row r="61">
      <c r="A61" s="22" t="n">
        <v>89.59999999999999</v>
      </c>
      <c r="B61" s="22" t="inlineStr">
        <is>
          <t>Водоспад</t>
        </is>
      </c>
      <c r="C61" s="22" t="inlineStr">
        <is>
          <t>1.102</t>
        </is>
      </c>
      <c r="D61" s="22" t="inlineStr">
        <is>
          <t>32739</t>
        </is>
      </c>
      <c r="E61" s="21" t="inlineStr">
        <is>
          <t>Секатор з наковаленкою Льове / Lowe Original (1.102) Німеччина</t>
        </is>
      </c>
      <c r="F61" s="21" t="inlineStr">
        <is>
          <t>Секатор з наковаленкою LOWE Original 1.102 (1.102)</t>
        </is>
      </c>
      <c r="G61" s="23" t="n">
        <v>1045</v>
      </c>
      <c r="H61" s="23" t="n">
        <v>1045</v>
      </c>
      <c r="I61" s="21" t="inlineStr">
        <is>
          <t>назви схожі, різняться словами: льове</t>
        </is>
      </c>
    </row>
    <row r="62">
      <c r="A62" s="22" t="n">
        <v>89.5</v>
      </c>
      <c r="B62" s="22" t="inlineStr">
        <is>
          <t>Водоспад</t>
        </is>
      </c>
      <c r="C62" s="22" t="inlineStr">
        <is>
          <t>8.109</t>
        </is>
      </c>
      <c r="D62" s="22" t="inlineStr">
        <is>
          <t>32357</t>
        </is>
      </c>
      <c r="E62" s="21" t="inlineStr">
        <is>
          <t>LOWE Original 8.109 Садовий секатор з наковаленкою Німеччина</t>
        </is>
      </c>
      <c r="F62" s="21" t="inlineStr">
        <is>
          <t>Садовий секатор із наковаленкою LOWE Original 8.109 (8.109)</t>
        </is>
      </c>
      <c r="G62" s="23" t="n">
        <v>3690</v>
      </c>
      <c r="H62" s="23" t="n">
        <v>3690</v>
      </c>
      <c r="I62" s="21" t="inlineStr">
        <is>
          <t>назви схожі, перевірте</t>
        </is>
      </c>
    </row>
    <row r="63">
      <c r="A63" s="22" t="n">
        <v>89.3</v>
      </c>
      <c r="B63" s="22" t="inlineStr">
        <is>
          <t>Клуб Рослин</t>
        </is>
      </c>
      <c r="C63" s="22" t="inlineStr">
        <is>
          <t>KIKUWA-1090</t>
        </is>
      </c>
      <c r="D63" s="22" t="inlineStr">
        <is>
          <t>16436</t>
        </is>
      </c>
      <c r="E63" s="21" t="inlineStr">
        <is>
          <t>Диспенсер для олії камелії Kikuwa Honmamon (1090) Японія</t>
        </is>
      </c>
      <c r="F63" s="21" t="inlineStr">
        <is>
          <t>Диспенсер Kikuwa Honmamon для олії камелії (Кікува Хонмамон, 1090)</t>
        </is>
      </c>
      <c r="G63" s="23" t="n">
        <v>990</v>
      </c>
      <c r="H63" s="23" t="n">
        <v>990</v>
      </c>
      <c r="I63" s="21" t="inlineStr">
        <is>
          <t>назви схожі, різняться словами: кікува, хонмамон</t>
        </is>
      </c>
    </row>
    <row r="64">
      <c r="A64" s="22" t="n">
        <v>89.3</v>
      </c>
      <c r="B64" s="22" t="inlineStr">
        <is>
          <t>Клуб Рослин</t>
        </is>
      </c>
      <c r="C64" s="22" t="inlineStr">
        <is>
          <t>m2013</t>
        </is>
      </c>
      <c r="D64" s="22" t="inlineStr">
        <is>
          <t>14721</t>
        </is>
      </c>
      <c r="E64" s="21" t="inlineStr">
        <is>
          <t>Інсектицид Прованто вернал 480 SC к.с. 2мл.</t>
        </is>
      </c>
      <c r="F64" s="21" t="inlineStr">
        <is>
          <t>Інсектицид Прованто Вернал (тіаклоприд 480 г/л) 480 SС К.С. 2 мл, SBM</t>
        </is>
      </c>
      <c r="G64" s="23" t="n">
        <v>24</v>
      </c>
      <c r="H64" s="23" t="n">
        <v>40</v>
      </c>
      <c r="I64" s="21" t="inlineStr">
        <is>
          <t>назви схожі, різняться словами: sbm, тіаклоприд</t>
        </is>
      </c>
    </row>
    <row r="65">
      <c r="A65" s="22" t="n">
        <v>89.2</v>
      </c>
      <c r="B65" s="22" t="inlineStr">
        <is>
          <t>Водоспад</t>
        </is>
      </c>
      <c r="C65" s="22" t="inlineStr">
        <is>
          <t>203C</t>
        </is>
      </c>
      <c r="D65" s="22" t="inlineStr">
        <is>
          <t>33191</t>
        </is>
      </c>
      <c r="E65" s="21" t="inlineStr">
        <is>
          <t>Щеплювальний ніж Due Buoi 203C Італія</t>
        </is>
      </c>
      <c r="F65" s="21" t="inlineStr">
        <is>
          <t>Окулювальний ніж Due Buoi 213C (Італія)</t>
        </is>
      </c>
      <c r="G65" s="23" t="n">
        <v>2320</v>
      </c>
      <c r="H65" s="23" t="n">
        <v>1190</v>
      </c>
      <c r="I65" s="21" t="inlineStr">
        <is>
          <t>назви схожі, різняться словами: окулювальний, щеплювальний</t>
        </is>
      </c>
    </row>
    <row r="66">
      <c r="A66" s="22" t="n">
        <v>89.2</v>
      </c>
      <c r="B66" s="22" t="inlineStr">
        <is>
          <t>Клуб Рослин</t>
        </is>
      </c>
      <c r="C66" s="22" t="inlineStr">
        <is>
          <t>630</t>
        </is>
      </c>
      <c r="D66" s="22" t="inlineStr">
        <is>
          <t>11215</t>
        </is>
      </c>
      <c r="E66" s="21" t="inlineStr">
        <is>
          <t>Пила в кобурі 500мм Felco / Фелко 630 Швейцарія</t>
        </is>
      </c>
      <c r="F66" s="21" t="inlineStr">
        <is>
          <t>Пила в кобурі Felco 630 (Фелко 630)</t>
        </is>
      </c>
      <c r="G66" s="23" t="n">
        <v>3590</v>
      </c>
      <c r="H66" s="23" t="n">
        <v>3390</v>
      </c>
      <c r="I66" s="21" t="inlineStr">
        <is>
          <t>назви схожі, перевірте</t>
        </is>
      </c>
    </row>
    <row r="67">
      <c r="A67" s="22" t="n">
        <v>89.2</v>
      </c>
      <c r="B67" s="22" t="inlineStr">
        <is>
          <t>Клуб Рослин</t>
        </is>
      </c>
      <c r="C67" s="22" t="inlineStr">
        <is>
          <t>3101 MFV.B</t>
        </is>
      </c>
      <c r="D67" s="22" t="inlineStr">
        <is>
          <t>10511</t>
        </is>
      </c>
      <c r="E67" s="21" t="inlineStr">
        <is>
          <t>Лопата штикова садова Bellota 3101 MFV.B Іспанія</t>
        </is>
      </c>
      <c r="F67" s="21" t="inlineStr">
        <is>
          <t>Лопата Bellota 3101 MFV штикова</t>
        </is>
      </c>
      <c r="G67" s="23" t="n">
        <v>1699</v>
      </c>
      <c r="H67" s="23" t="n">
        <v>1699</v>
      </c>
      <c r="I67" s="21" t="inlineStr">
        <is>
          <t>назви схожі, різняться словами: садова</t>
        </is>
      </c>
    </row>
    <row r="68">
      <c r="A68" s="22" t="n">
        <v>89.09999999999999</v>
      </c>
      <c r="B68" s="22" t="inlineStr">
        <is>
          <t>Водоспад</t>
        </is>
      </c>
      <c r="C68" s="22" t="inlineStr">
        <is>
          <t>8007</t>
        </is>
      </c>
      <c r="D68" s="22" t="inlineStr">
        <is>
          <t>32770</t>
        </is>
      </c>
      <c r="E68" s="21" t="inlineStr">
        <is>
          <t>Lowe 8007 Набір для ремонту Німеччина</t>
        </is>
      </c>
      <c r="F68" s="21" t="inlineStr">
        <is>
          <t>Набір для ремонту Lowe 8007 (8007)</t>
        </is>
      </c>
      <c r="G68" s="23" t="n">
        <v>1050</v>
      </c>
      <c r="H68" s="23" t="n">
        <v>1050</v>
      </c>
      <c r="I68" s="21" t="inlineStr">
        <is>
          <t>назви схожі, перевірте</t>
        </is>
      </c>
    </row>
    <row r="69">
      <c r="A69" s="22" t="n">
        <v>89</v>
      </c>
      <c r="B69" s="22" t="inlineStr">
        <is>
          <t>Клуб Рослин</t>
        </is>
      </c>
      <c r="C69" s="22" t="inlineStr">
        <is>
          <t>3520.B</t>
        </is>
      </c>
      <c r="D69" s="22" t="inlineStr">
        <is>
          <t>11008</t>
        </is>
      </c>
      <c r="E69" s="21" t="inlineStr">
        <is>
          <t>Ножиці для квітів 205 мм Bellota (3520.B) Іспанія</t>
        </is>
      </c>
      <c r="F69" s="21" t="inlineStr">
        <is>
          <t>Ножиці для квітів Bellota 3520</t>
        </is>
      </c>
      <c r="G69" s="23" t="n">
        <v>755</v>
      </c>
      <c r="H69" s="23" t="n">
        <v>755</v>
      </c>
      <c r="I69" s="21" t="inlineStr">
        <is>
          <t>назви схожі, перевірте</t>
        </is>
      </c>
    </row>
    <row r="70">
      <c r="A70" s="22" t="n">
        <v>89</v>
      </c>
      <c r="B70" s="22" t="inlineStr">
        <is>
          <t>Клуб Рослин</t>
        </is>
      </c>
      <c r="C70" s="22" t="inlineStr">
        <is>
          <t>3601-21.B</t>
        </is>
      </c>
      <c r="D70" s="22" t="inlineStr">
        <is>
          <t>11875</t>
        </is>
      </c>
      <c r="E70" s="21" t="inlineStr">
        <is>
          <t>Секатор 210 мм кований Bellota (3601-21.B) Іспанія</t>
        </is>
      </c>
      <c r="F70" s="21" t="inlineStr">
        <is>
          <t>Секатор Bellota 3601-21 кований</t>
        </is>
      </c>
      <c r="G70" s="23" t="n">
        <v>581</v>
      </c>
      <c r="H70" s="23" t="n">
        <v>580.79</v>
      </c>
      <c r="I70" s="21" t="inlineStr">
        <is>
          <t>назви схожі, але різні коди виробника</t>
        </is>
      </c>
    </row>
    <row r="71">
      <c r="A71" s="22" t="n">
        <v>89</v>
      </c>
      <c r="B71" s="22" t="inlineStr">
        <is>
          <t>Клуб Рослин</t>
        </is>
      </c>
      <c r="C71" s="22" t="inlineStr">
        <is>
          <t>m3002</t>
        </is>
      </c>
      <c r="D71" s="22" t="inlineStr">
        <is>
          <t>15851</t>
        </is>
      </c>
      <c r="E71" s="21" t="inlineStr">
        <is>
          <t>Фунгіцид Магнікур Сенсейшн 500 SC к.с. 3,5мл</t>
        </is>
      </c>
      <c r="F71" s="21" t="inlineStr">
        <is>
          <t>Фунгіцид Магнікур Сенсейшен 500 SC 3,5 мл, Bayer</t>
        </is>
      </c>
      <c r="G71" s="23" t="n">
        <v>60</v>
      </c>
      <c r="H71" s="23" t="n">
        <v>65</v>
      </c>
      <c r="I71" s="21" t="inlineStr">
        <is>
          <t>назви схожі, різняться словами: bayer, сенсейшен, сенсейшн</t>
        </is>
      </c>
    </row>
    <row r="72">
      <c r="A72" s="22" t="n">
        <v>88.8</v>
      </c>
      <c r="B72" s="22" t="inlineStr">
        <is>
          <t>Водоспад</t>
        </is>
      </c>
      <c r="C72" s="22" t="inlineStr">
        <is>
          <t>2.107</t>
        </is>
      </c>
      <c r="D72" s="22" t="inlineStr">
        <is>
          <t>32335</t>
        </is>
      </c>
      <c r="E72" s="21" t="inlineStr">
        <is>
          <t>Секатор з ковадлом Льове / Lowe Original (2.107) Німеччина</t>
        </is>
      </c>
      <c r="F72" s="21" t="inlineStr">
        <is>
          <t>Секатор з ковадлом LOWE Original 2.107 (2.107)</t>
        </is>
      </c>
      <c r="G72" s="23" t="n">
        <v>2440</v>
      </c>
      <c r="H72" s="23" t="n">
        <v>2440</v>
      </c>
      <c r="I72" s="21" t="inlineStr">
        <is>
          <t>назви схожі, різняться словами: льове</t>
        </is>
      </c>
    </row>
    <row r="73">
      <c r="A73" s="22" t="n">
        <v>88.7</v>
      </c>
      <c r="B73" s="22" t="inlineStr">
        <is>
          <t>Водоспад</t>
        </is>
      </c>
      <c r="C73" s="22" t="inlineStr">
        <is>
          <t>35-70</t>
        </is>
      </c>
      <c r="D73" s="22" t="inlineStr">
        <is>
          <t>40540</t>
        </is>
      </c>
      <c r="E73" s="21" t="inlineStr">
        <is>
          <t>Плодомір-калібратор для фруктів 35-70 мм (35-70) Eko-Plon Польща</t>
        </is>
      </c>
      <c r="F73" s="21" t="inlineStr">
        <is>
          <t>Плодомір-калібратор для фруктів 8 шт 35-70 мм (35-70)</t>
        </is>
      </c>
      <c r="G73" s="23" t="n">
        <v>359</v>
      </c>
      <c r="H73" s="23" t="n">
        <v>359</v>
      </c>
      <c r="I73" s="21" t="inlineStr">
        <is>
          <t>назви схожі, різняться словами: ekoplon</t>
        </is>
      </c>
    </row>
    <row r="74">
      <c r="A74" s="22" t="n">
        <v>88.7</v>
      </c>
      <c r="B74" s="22" t="inlineStr">
        <is>
          <t>Клуб Рослин</t>
        </is>
      </c>
      <c r="C74" s="22" t="inlineStr">
        <is>
          <t>3555.B</t>
        </is>
      </c>
      <c r="D74" s="22" t="inlineStr">
        <is>
          <t>11040</t>
        </is>
      </c>
      <c r="E74" s="21" t="inlineStr">
        <is>
          <t>Ножиці для трави 350 мм Bellota (3555.B) Іспанія</t>
        </is>
      </c>
      <c r="F74" s="21" t="inlineStr">
        <is>
          <t>Ножиці для трави Bellota 3555</t>
        </is>
      </c>
      <c r="G74" s="23" t="n">
        <v>1035</v>
      </c>
      <c r="H74" s="23" t="n">
        <v>1035</v>
      </c>
      <c r="I74" s="21" t="inlineStr">
        <is>
          <t>назви схожі, перевірте</t>
        </is>
      </c>
    </row>
    <row r="75">
      <c r="A75" s="22" t="n">
        <v>88.59999999999999</v>
      </c>
      <c r="B75" s="22" t="inlineStr">
        <is>
          <t>Клуб Рослин</t>
        </is>
      </c>
      <c r="C75" s="22" t="inlineStr">
        <is>
          <t>205Р</t>
        </is>
      </c>
      <c r="D75" s="22" t="inlineStr">
        <is>
          <t>10856</t>
        </is>
      </c>
      <c r="E75" s="21" t="inlineStr">
        <is>
          <t>Щеплювальний ніж для окулірування Due Buoi 205P Італія</t>
        </is>
      </c>
      <c r="F75" s="21" t="inlineStr">
        <is>
          <t>Ніж Due Buoi 205P для окулірування</t>
        </is>
      </c>
      <c r="G75" s="23" t="n">
        <v>1949</v>
      </c>
      <c r="H75" s="23" t="n">
        <v>1949</v>
      </c>
      <c r="I75" s="21" t="inlineStr">
        <is>
          <t>назви схожі, різняться словами: щеплювальний</t>
        </is>
      </c>
    </row>
    <row r="76">
      <c r="A76" s="22" t="n">
        <v>88.5</v>
      </c>
      <c r="B76" s="22" t="inlineStr">
        <is>
          <t>Водоспад</t>
        </is>
      </c>
      <c r="C76" s="22" t="inlineStr">
        <is>
          <t>671</t>
        </is>
      </c>
      <c r="D76" s="22" t="inlineStr">
        <is>
          <t>36357</t>
        </is>
      </c>
      <c r="E76" s="21" t="inlineStr">
        <is>
          <t>Професійний спарений ніж для щеплення волоського горіха Тіна / Tina (671) Німеччина</t>
        </is>
      </c>
      <c r="F76" s="21" t="inlineStr">
        <is>
          <t>Професійний стаціонарний спарений ніж для щеплення волоського горіха Tina 671 (671)</t>
        </is>
      </c>
      <c r="G76" s="23" t="n">
        <v>12999</v>
      </c>
      <c r="H76" s="23" t="n">
        <v>12999</v>
      </c>
      <c r="I76" s="21" t="inlineStr">
        <is>
          <t>назви схожі, різняться словами: стаціонарний, тіна</t>
        </is>
      </c>
    </row>
    <row r="77">
      <c r="A77" s="22" t="n">
        <v>88.5</v>
      </c>
      <c r="B77" s="22" t="inlineStr">
        <is>
          <t>Клуб Рослин</t>
        </is>
      </c>
      <c r="C77" s="22" t="inlineStr">
        <is>
          <t>7241</t>
        </is>
      </c>
      <c r="D77" s="22" t="inlineStr">
        <is>
          <t>9232</t>
        </is>
      </c>
      <c r="E77" s="21" t="inlineStr">
        <is>
          <t>Добриво Терафлекс Ягідний Terraflex S (14-6-25 + 3,2 MgO + TЕ) 25 кг SmartGrow Бельгія</t>
        </is>
      </c>
      <c r="F77" s="21" t="inlineStr">
        <is>
          <t>Добриво Terraflex - S 14-6-25+3.2MgO+TE (Терафлекс), 2 кг</t>
        </is>
      </c>
      <c r="G77" s="23" t="n">
        <v>4406</v>
      </c>
      <c r="H77" s="23" t="n">
        <v>398</v>
      </c>
      <c r="I77" s="21" t="inlineStr">
        <is>
          <t>назви схожі, але різні об'єми або розміри</t>
        </is>
      </c>
    </row>
    <row r="78">
      <c r="A78" s="22" t="n">
        <v>88.5</v>
      </c>
      <c r="B78" s="22" t="inlineStr">
        <is>
          <t>Клуб Рослин</t>
        </is>
      </c>
      <c r="C78" s="22" t="inlineStr">
        <is>
          <t>3461-C.B</t>
        </is>
      </c>
      <c r="D78" s="22" t="inlineStr">
        <is>
          <t>11019</t>
        </is>
      </c>
      <c r="E78" s="21" t="inlineStr">
        <is>
          <t>Ножиці для обрізки кущів (3461-C.B) Bellota Іспанія</t>
        </is>
      </c>
      <c r="F78" s="21" t="inlineStr">
        <is>
          <t>Ножиці для кущів Bellota 3461-C</t>
        </is>
      </c>
      <c r="G78" s="23" t="n">
        <v>2287</v>
      </c>
      <c r="H78" s="23" t="n">
        <v>2287</v>
      </c>
      <c r="I78" s="21" t="inlineStr">
        <is>
          <t>назви схожі, різняться словами: обрізки</t>
        </is>
      </c>
    </row>
    <row r="79">
      <c r="A79" s="22" t="n">
        <v>88.5</v>
      </c>
      <c r="B79" s="22" t="inlineStr">
        <is>
          <t>Клуб Рослин</t>
        </is>
      </c>
      <c r="C79" s="22" t="inlineStr">
        <is>
          <t>3461-C.B.</t>
        </is>
      </c>
      <c r="D79" s="22" t="inlineStr">
        <is>
          <t>11019</t>
        </is>
      </c>
      <c r="E79" s="21" t="inlineStr">
        <is>
          <t>Ножиці для обрізки кущів Bellota (3461-C.B.) Іспанія</t>
        </is>
      </c>
      <c r="F79" s="21" t="inlineStr">
        <is>
          <t>Ножиці для кущів Bellota 3461-C</t>
        </is>
      </c>
      <c r="G79" s="23" t="n">
        <v>1845</v>
      </c>
      <c r="H79" s="23" t="n">
        <v>2287</v>
      </c>
      <c r="I79" s="21" t="inlineStr">
        <is>
          <t>назви схожі, різняться словами: обрізки</t>
        </is>
      </c>
    </row>
    <row r="80">
      <c r="A80" s="22" t="n">
        <v>88.2</v>
      </c>
      <c r="B80" s="22" t="inlineStr">
        <is>
          <t>Водоспад</t>
        </is>
      </c>
      <c r="C80" s="22" t="inlineStr">
        <is>
          <t>ddd10b7f-abba-11ee-bf43-c87f546feb15</t>
        </is>
      </c>
      <c r="D80" s="22" t="inlineStr">
        <is>
          <t>38700</t>
        </is>
      </c>
      <c r="E80" s="21" t="inlineStr">
        <is>
          <t>Садові ножиці</t>
        </is>
      </c>
      <c r="F80" s="21" t="inlineStr">
        <is>
          <t>Садові ножиці ARS (310)</t>
        </is>
      </c>
      <c r="G80" s="23" t="n"/>
      <c r="H80" s="23" t="n">
        <v>445</v>
      </c>
      <c r="I80" s="21" t="inlineStr">
        <is>
          <t>назви схожі, різняться словами: ars</t>
        </is>
      </c>
    </row>
    <row r="81">
      <c r="A81" s="22" t="n">
        <v>88.09999999999999</v>
      </c>
      <c r="B81" s="22" t="inlineStr">
        <is>
          <t>Клуб Рослин</t>
        </is>
      </c>
      <c r="C81" s="22" t="inlineStr">
        <is>
          <t>3510-21D.B</t>
        </is>
      </c>
      <c r="D81" s="22" t="inlineStr">
        <is>
          <t>12061</t>
        </is>
      </c>
      <c r="E81" s="21" t="inlineStr">
        <is>
          <t>Секатор 210 мм професійний для великих рук Bellota (3510-21D.B) Іспанія</t>
        </is>
      </c>
      <c r="F81" s="21" t="inlineStr">
        <is>
          <t>Секатор професійний Bellota 3512-22.B для великих рук</t>
        </is>
      </c>
      <c r="G81" s="23" t="n">
        <v>2369</v>
      </c>
      <c r="H81" s="23" t="n">
        <v>1909</v>
      </c>
      <c r="I81" s="21" t="inlineStr">
        <is>
          <t>назви схожі, але різні коди виробника</t>
        </is>
      </c>
    </row>
    <row r="82">
      <c r="A82" s="22" t="n">
        <v>88.09999999999999</v>
      </c>
      <c r="B82" s="22" t="inlineStr">
        <is>
          <t>Клуб Рослин</t>
        </is>
      </c>
      <c r="C82" s="22" t="inlineStr">
        <is>
          <t>3556.B</t>
        </is>
      </c>
      <c r="D82" s="22" t="inlineStr">
        <is>
          <t>11047</t>
        </is>
      </c>
      <c r="E82" s="21" t="inlineStr">
        <is>
          <t>Ножиці довгомірні для підрізування трави Bellota (3556.B) Іспанія</t>
        </is>
      </c>
      <c r="F82" s="21" t="inlineStr">
        <is>
          <t>Ножиці довгомірні Bellota 3556.B для підрізки трави</t>
        </is>
      </c>
      <c r="G82" s="23" t="n">
        <v>2314</v>
      </c>
      <c r="H82" s="23" t="n">
        <v>2314</v>
      </c>
      <c r="I82" s="21" t="inlineStr">
        <is>
          <t>назви схожі, різняться словами: підрізки, підрізування</t>
        </is>
      </c>
    </row>
    <row r="83">
      <c r="A83" s="22" t="n">
        <v>88.09999999999999</v>
      </c>
      <c r="B83" s="22" t="inlineStr">
        <is>
          <t>Клуб Рослин</t>
        </is>
      </c>
      <c r="C83" s="22" t="inlineStr">
        <is>
          <t>HT-R11</t>
        </is>
      </c>
      <c r="D83" s="22" t="inlineStr">
        <is>
          <t>10978</t>
        </is>
      </c>
      <c r="E83" s="21" t="inlineStr">
        <is>
          <t>Ніж для степлера HT-R1 MAX Tapener (комплект 2шт)</t>
        </is>
      </c>
      <c r="F83" s="21" t="inlineStr">
        <is>
          <t>Ніж для степлера HR-F Max (комплект 5шт)</t>
        </is>
      </c>
      <c r="G83" s="23" t="n">
        <v>250</v>
      </c>
      <c r="H83" s="23" t="n">
        <v>230</v>
      </c>
      <c r="I83" s="21" t="inlineStr">
        <is>
          <t>назви схожі, але різні об'єми або розміри</t>
        </is>
      </c>
    </row>
    <row r="84">
      <c r="A84" s="22" t="n">
        <v>88</v>
      </c>
      <c r="B84" s="22" t="inlineStr">
        <is>
          <t>Водоспад</t>
        </is>
      </c>
      <c r="C84" s="22" t="inlineStr">
        <is>
          <t>3083.B</t>
        </is>
      </c>
      <c r="D84" s="22" t="inlineStr">
        <is>
          <t>43391</t>
        </is>
      </c>
      <c r="E84" s="21" t="inlineStr">
        <is>
          <t>Сапка рамкова без держака 150 мм Bellota (3083.B) Іспанія</t>
        </is>
      </c>
      <c r="F84" s="21" t="inlineStr">
        <is>
          <t>Сапка рамкова Bellota 3083.B (плоскоріз) 150 мм без держака</t>
        </is>
      </c>
      <c r="G84" s="23" t="n">
        <v>485</v>
      </c>
      <c r="H84" s="23" t="n">
        <v>469</v>
      </c>
      <c r="I84" s="21" t="inlineStr">
        <is>
          <t>назви схожі, різняться словами: плоскоріз</t>
        </is>
      </c>
    </row>
    <row r="85">
      <c r="A85" s="22" t="n">
        <v>88</v>
      </c>
      <c r="B85" s="22" t="inlineStr">
        <is>
          <t>Клуб Рослин</t>
        </is>
      </c>
      <c r="C85" s="22" t="inlineStr">
        <is>
          <t>611</t>
        </is>
      </c>
      <c r="D85" s="22" t="inlineStr">
        <is>
          <t>11213</t>
        </is>
      </c>
      <c r="E85" s="21" t="inlineStr">
        <is>
          <t>Пила в кобурі 500 мм Felco / Фелко 611 Швейцарія</t>
        </is>
      </c>
      <c r="F85" s="21" t="inlineStr">
        <is>
          <t>Пила в кобурі Felco 611 (Фелко 611)</t>
        </is>
      </c>
      <c r="G85" s="23" t="n">
        <v>2990</v>
      </c>
      <c r="H85" s="23" t="n">
        <v>2990</v>
      </c>
      <c r="I85" s="21" t="inlineStr">
        <is>
          <t>назви схожі, перевірте</t>
        </is>
      </c>
    </row>
    <row r="86">
      <c r="A86" s="22" t="n">
        <v>87.8</v>
      </c>
      <c r="B86" s="22" t="inlineStr">
        <is>
          <t>Водоспад</t>
        </is>
      </c>
      <c r="C86" s="22" t="inlineStr">
        <is>
          <t>N9.107</t>
        </is>
      </c>
      <c r="D86" s="22" t="inlineStr">
        <is>
          <t>43329</t>
        </is>
      </c>
      <c r="E86" s="21" t="inlineStr">
        <is>
          <t>Секатор обвідний Lowe Natural Series (N9.107) дерев’яні ручки Німеччина</t>
        </is>
      </c>
      <c r="F86" s="21" t="inlineStr">
        <is>
          <t>Секатор обвідний LOWE N9.107 Natural Series, зріз 22 мм, дерев’яні ручки з гікорі</t>
        </is>
      </c>
      <c r="G86" s="23" t="n">
        <v>5499</v>
      </c>
      <c r="H86" s="23" t="n">
        <v>5499</v>
      </c>
      <c r="I86" s="21" t="inlineStr">
        <is>
          <t>назви схожі, різняться словами: гікорі, зріз</t>
        </is>
      </c>
    </row>
    <row r="87">
      <c r="A87" s="22" t="n">
        <v>87.8</v>
      </c>
      <c r="B87" s="22" t="inlineStr">
        <is>
          <t>Водоспад</t>
        </is>
      </c>
      <c r="C87" s="22" t="inlineStr">
        <is>
          <t>N9.104</t>
        </is>
      </c>
      <c r="D87" s="22" t="inlineStr">
        <is>
          <t>43323</t>
        </is>
      </c>
      <c r="E87" s="21" t="inlineStr">
        <is>
          <t>Секатор обвідний Lowe Natural Series (N9.104) дерев’яні ручки Німеччина</t>
        </is>
      </c>
      <c r="F87" s="21" t="inlineStr">
        <is>
          <t>Секатор обвідний LOWE N9.104 Natural Series, зріз 22 мм, дерев’яні ручки з гікорі</t>
        </is>
      </c>
      <c r="G87" s="23" t="n">
        <v>5499</v>
      </c>
      <c r="H87" s="23" t="n">
        <v>5499</v>
      </c>
      <c r="I87" s="21" t="inlineStr">
        <is>
          <t>назви схожі, різняться словами: гікорі, зріз</t>
        </is>
      </c>
    </row>
    <row r="88">
      <c r="A88" s="22" t="n">
        <v>87.8</v>
      </c>
      <c r="B88" s="22" t="inlineStr">
        <is>
          <t>Водоспад</t>
        </is>
      </c>
      <c r="C88" s="22" t="inlineStr">
        <is>
          <t>3580-CH.B</t>
        </is>
      </c>
      <c r="D88" s="22" t="inlineStr">
        <is>
          <t>37700</t>
        </is>
      </c>
      <c r="E88" s="21" t="inlineStr">
        <is>
          <t>Запасне контрлезо для гілкоріза 3580 (3580-CH.B) Bellota Іспанія</t>
        </is>
      </c>
      <c r="F88" s="21" t="inlineStr">
        <is>
          <t>Запасне контрлезо 3580 Bellota (3580-CH)</t>
        </is>
      </c>
      <c r="G88" s="23" t="n">
        <v>1259</v>
      </c>
      <c r="H88" s="23" t="n">
        <v>1210</v>
      </c>
      <c r="I88" s="21" t="inlineStr">
        <is>
          <t>назви схожі, але різні коди виробника</t>
        </is>
      </c>
    </row>
    <row r="89">
      <c r="A89" s="22" t="n">
        <v>87.7</v>
      </c>
      <c r="B89" s="22" t="inlineStr">
        <is>
          <t>Клуб Рослин</t>
        </is>
      </c>
      <c r="C89" s="22" t="inlineStr">
        <is>
          <t>3344</t>
        </is>
      </c>
      <c r="D89" s="22" t="inlineStr">
        <is>
          <t>12851</t>
        </is>
      </c>
      <c r="E89" s="21" t="inlineStr">
        <is>
          <t>Фунгіцид Парацельс 100 мл Сімейний Сад Україна</t>
        </is>
      </c>
      <c r="F89" s="21" t="inlineStr">
        <is>
          <t>Фунгіцид Парацельс К.С. (флутриафол) 100 мл Сімейний Сад</t>
        </is>
      </c>
      <c r="G89" s="23" t="n">
        <v>198</v>
      </c>
      <c r="H89" s="23" t="n">
        <v>178</v>
      </c>
      <c r="I89" s="21" t="inlineStr">
        <is>
          <t>назви схожі, різняться словами: флутриафол</t>
        </is>
      </c>
    </row>
    <row r="90">
      <c r="A90" s="22" t="n">
        <v>87.59999999999999</v>
      </c>
      <c r="B90" s="22" t="inlineStr">
        <is>
          <t>Клуб Рослин</t>
        </is>
      </c>
      <c r="C90" s="22" t="inlineStr">
        <is>
          <t>3505-23.B</t>
        </is>
      </c>
      <c r="D90" s="22" t="inlineStr">
        <is>
          <t>12061</t>
        </is>
      </c>
      <c r="E90" s="21" t="inlineStr">
        <is>
          <t>Секатор 228 мм професійний для великих рук Bellota (3505-23.B) Іспанія</t>
        </is>
      </c>
      <c r="F90" s="21" t="inlineStr">
        <is>
          <t>Секатор професійний Bellota 3512-22.B для великих рук</t>
        </is>
      </c>
      <c r="G90" s="23" t="n">
        <v>2054</v>
      </c>
      <c r="H90" s="23" t="n">
        <v>1909</v>
      </c>
      <c r="I90" s="21" t="inlineStr">
        <is>
          <t>назви схожі, але різні коди виробника</t>
        </is>
      </c>
    </row>
    <row r="91">
      <c r="A91" s="22" t="n">
        <v>87.59999999999999</v>
      </c>
      <c r="B91" s="22" t="inlineStr">
        <is>
          <t>Клуб Рослин</t>
        </is>
      </c>
      <c r="C91" s="22" t="inlineStr">
        <is>
          <t>7238</t>
        </is>
      </c>
      <c r="D91" s="22" t="inlineStr">
        <is>
          <t>9236</t>
        </is>
      </c>
      <c r="E91" s="21" t="inlineStr">
        <is>
          <t>Добриво Терафлекс Пасльоновий Terraflex Т (15-8-25 + 3.5 MgO + TЕ) 2 кг SmartGrow Бельгія</t>
        </is>
      </c>
      <c r="F91" s="21" t="inlineStr">
        <is>
          <t>Добриво Terraflex T 15-8-25+3,5MgO+TE (Терафлекс), 2 кг</t>
        </is>
      </c>
      <c r="G91" s="23" t="n">
        <v>475</v>
      </c>
      <c r="H91" s="23" t="n">
        <v>377</v>
      </c>
      <c r="I91" s="21" t="inlineStr">
        <is>
          <t>назви схожі, різняться словами: smartgrow, пасльоновий</t>
        </is>
      </c>
    </row>
    <row r="92">
      <c r="A92" s="22" t="n">
        <v>87.5</v>
      </c>
      <c r="B92" s="22" t="inlineStr">
        <is>
          <t>Водоспад</t>
        </is>
      </c>
      <c r="C92" s="22" t="inlineStr">
        <is>
          <t>9809</t>
        </is>
      </c>
      <c r="D92" s="22" t="inlineStr">
        <is>
          <t>41796</t>
        </is>
      </c>
      <c r="E92" s="21" t="inlineStr">
        <is>
          <t>Чохол шкіряний Lowe (9809) Льове Німеччина</t>
        </is>
      </c>
      <c r="F92" s="21" t="inlineStr">
        <is>
          <t>Чохол шкіряний LOWE (9809)</t>
        </is>
      </c>
      <c r="G92" s="23" t="n">
        <v>2090</v>
      </c>
      <c r="H92" s="23" t="n">
        <v>2090</v>
      </c>
      <c r="I92" s="21" t="inlineStr">
        <is>
          <t>назви схожі, різняться словами: льове</t>
        </is>
      </c>
    </row>
    <row r="93">
      <c r="A93" s="22" t="n">
        <v>87.40000000000001</v>
      </c>
      <c r="B93" s="22" t="inlineStr">
        <is>
          <t>Водоспад</t>
        </is>
      </c>
      <c r="C93" s="22" t="inlineStr">
        <is>
          <t>7.107</t>
        </is>
      </c>
      <c r="D93" s="22" t="inlineStr">
        <is>
          <t>32928</t>
        </is>
      </c>
      <c r="E93" s="21" t="inlineStr">
        <is>
          <t>LOWE Original 7.107 Садовий секатор з наковаленкою Німеччина</t>
        </is>
      </c>
      <c r="F93" s="21" t="inlineStr">
        <is>
          <t>Секатор садовий LOWE Original 15.107 (Німеччина)</t>
        </is>
      </c>
      <c r="G93" s="23" t="n">
        <v>2850</v>
      </c>
      <c r="H93" s="23" t="n">
        <v>1850</v>
      </c>
      <c r="I93" s="21" t="inlineStr">
        <is>
          <t>назви схожі, різняться словами: наковаленкою</t>
        </is>
      </c>
    </row>
    <row r="94">
      <c r="A94" s="22" t="n">
        <v>87.40000000000001</v>
      </c>
      <c r="B94" s="22" t="inlineStr">
        <is>
          <t>Клуб Рослин</t>
        </is>
      </c>
      <c r="C94" s="22" t="inlineStr">
        <is>
          <t>UVR-32PRO</t>
        </is>
      </c>
      <c r="D94" s="22" t="inlineStr">
        <is>
          <t>11200</t>
        </is>
      </c>
      <c r="E94" s="21" t="inlineStr">
        <is>
          <t>Пила АРС Супер Турбокат / ARS Super Turbocut (UVR-32PRO) з кобурою Японія</t>
        </is>
      </c>
      <c r="F94" s="21" t="inlineStr">
        <is>
          <t>Пила з кобурою ARS UVR-32PRO Super Turbocut (АРС UVR-32PRO)</t>
        </is>
      </c>
      <c r="G94" s="23" t="n">
        <v>3590</v>
      </c>
      <c r="H94" s="23" t="n">
        <v>3590</v>
      </c>
      <c r="I94" s="21" t="inlineStr">
        <is>
          <t>назви схожі, але різні коди виробника</t>
        </is>
      </c>
    </row>
    <row r="95">
      <c r="A95" s="22" t="n">
        <v>87.3</v>
      </c>
      <c r="B95" s="22" t="inlineStr">
        <is>
          <t>Водоспад</t>
        </is>
      </c>
      <c r="C95" s="22" t="inlineStr">
        <is>
          <t>202P</t>
        </is>
      </c>
      <c r="D95" s="22" t="inlineStr">
        <is>
          <t>33170</t>
        </is>
      </c>
      <c r="E95" s="21" t="inlineStr">
        <is>
          <t>Щеплювальний ніж Італія Due Buoi 202P</t>
        </is>
      </c>
      <c r="F95" s="21" t="inlineStr">
        <is>
          <t>Прищепний ніж Due Buoi 202P (Італія)</t>
        </is>
      </c>
      <c r="G95" s="23" t="n">
        <v>1990</v>
      </c>
      <c r="H95" s="23" t="n">
        <v>1990</v>
      </c>
      <c r="I95" s="21" t="inlineStr">
        <is>
          <t>назви схожі, різняться словами: прищепний, щеплювальний</t>
        </is>
      </c>
    </row>
    <row r="96">
      <c r="A96" s="22" t="n">
        <v>87.3</v>
      </c>
      <c r="B96" s="22" t="inlineStr">
        <is>
          <t>Водоспад</t>
        </is>
      </c>
      <c r="C96" s="22" t="inlineStr">
        <is>
          <t>990</t>
        </is>
      </c>
      <c r="D96" s="22" t="inlineStr">
        <is>
          <t>32584</t>
        </is>
      </c>
      <c r="E96" s="21" t="inlineStr">
        <is>
          <t>Мастило для секаторів FELCO 990</t>
        </is>
      </c>
      <c r="F96" s="21" t="inlineStr">
        <is>
          <t>Мастило-смазка для секаторів FELCO 990-1 (30 мл)</t>
        </is>
      </c>
      <c r="G96" s="23" t="n">
        <v>529</v>
      </c>
      <c r="H96" s="23" t="n">
        <v>499</v>
      </c>
      <c r="I96" s="21" t="inlineStr">
        <is>
          <t>назви схожі, різняться словами: смазка</t>
        </is>
      </c>
    </row>
    <row r="97">
      <c r="A97" s="22" t="n">
        <v>87.2</v>
      </c>
      <c r="B97" s="22" t="inlineStr">
        <is>
          <t>Водоспад</t>
        </is>
      </c>
      <c r="C97" s="22" t="inlineStr">
        <is>
          <t>135/20</t>
        </is>
      </c>
      <c r="D97" s="22" t="inlineStr">
        <is>
          <t>33212</t>
        </is>
      </c>
      <c r="E97" s="21" t="inlineStr">
        <is>
          <t>Секатор Due Buoi 135/20 Італія</t>
        </is>
      </c>
      <c r="F97" s="21" t="inlineStr">
        <is>
          <t>Секатор для обрізання дерев Due Buoi 135/20 (Італія)</t>
        </is>
      </c>
      <c r="G97" s="23" t="n">
        <v>2550</v>
      </c>
      <c r="H97" s="23" t="n">
        <v>2550</v>
      </c>
      <c r="I97" s="21" t="inlineStr">
        <is>
          <t>назви схожі, різняться словами: дерев, обрізання</t>
        </is>
      </c>
    </row>
    <row r="98">
      <c r="A98" s="22" t="n">
        <v>87.2</v>
      </c>
      <c r="B98" s="22" t="inlineStr">
        <is>
          <t>Клуб Рослин</t>
        </is>
      </c>
      <c r="C98" s="22" t="inlineStr">
        <is>
          <t>ddd10bb3-abba-11ee-bf43-c87f546feb15</t>
        </is>
      </c>
      <c r="D98" s="22" t="inlineStr">
        <is>
          <t>11039</t>
        </is>
      </c>
      <c r="E98" s="21" t="inlineStr">
        <is>
          <t>Ножиці для трави</t>
        </is>
      </c>
      <c r="F98" s="21" t="inlineStr">
        <is>
          <t>Ножиці для трави Bahco GS-76</t>
        </is>
      </c>
      <c r="G98" s="23" t="n"/>
      <c r="H98" s="23" t="n">
        <v>990</v>
      </c>
      <c r="I98" s="21" t="inlineStr">
        <is>
          <t>назви схожі, різняться словами: bahco</t>
        </is>
      </c>
    </row>
    <row r="99">
      <c r="A99" s="22" t="n">
        <v>87.09999999999999</v>
      </c>
      <c r="B99" s="22" t="inlineStr">
        <is>
          <t>Клуб Рослин</t>
        </is>
      </c>
      <c r="C99" s="22" t="inlineStr">
        <is>
          <t>С 013</t>
        </is>
      </c>
      <c r="D99" s="22" t="inlineStr">
        <is>
          <t>16108</t>
        </is>
      </c>
      <c r="E99" s="21" t="inlineStr">
        <is>
          <t>Держак металевий для садового інструменту Смарт Рейн / Smart Rain (С 013) Україна</t>
        </is>
      </c>
      <c r="F99" s="21" t="inlineStr">
        <is>
          <t>Держак Smart Rain металевий трисекційний для садового інструменту 215 см С 014 (Смарт Рейн С 014)</t>
        </is>
      </c>
      <c r="G99" s="23" t="n">
        <v>745</v>
      </c>
      <c r="H99" s="23" t="n">
        <v>745</v>
      </c>
      <c r="I99" s="21" t="inlineStr">
        <is>
          <t>назви схожі, різняться словами: трисекційний</t>
        </is>
      </c>
    </row>
    <row r="100">
      <c r="A100" s="22" t="n">
        <v>87</v>
      </c>
      <c r="B100" s="22" t="inlineStr">
        <is>
          <t>Клуб Рослин</t>
        </is>
      </c>
      <c r="C100" s="22" t="inlineStr">
        <is>
          <t>MF20ММ</t>
        </is>
      </c>
      <c r="D100" s="22" t="inlineStr">
        <is>
          <t>10972</t>
        </is>
      </c>
      <c r="E100" s="21" t="inlineStr">
        <is>
          <t>Ніж-кільце для обрізки кембрика металевий IMF 20 мм Італія</t>
        </is>
      </c>
      <c r="F100" s="21" t="inlineStr">
        <is>
          <t>Ніж для обрізки кембрика металевий</t>
        </is>
      </c>
      <c r="G100" s="23" t="n">
        <v>290</v>
      </c>
      <c r="H100" s="23" t="n">
        <v>150</v>
      </c>
      <c r="I100" s="21" t="inlineStr">
        <is>
          <t>назви схожі, різняться словами: imf, кільце</t>
        </is>
      </c>
    </row>
    <row r="101">
      <c r="A101" s="22" t="n">
        <v>86.90000000000001</v>
      </c>
      <c r="B101" s="22" t="inlineStr">
        <is>
          <t>Клуб Рослин</t>
        </is>
      </c>
      <c r="C101" s="22" t="inlineStr">
        <is>
          <t>1-500</t>
        </is>
      </c>
      <c r="D101" s="22" t="inlineStr">
        <is>
          <t>14962</t>
        </is>
      </c>
      <c r="E101" s="21" t="inlineStr">
        <is>
          <t>Садова замазка Balsam Pro / Бальзам Про 500 г Royal Mix</t>
        </is>
      </c>
      <c r="F101" s="21" t="inlineStr">
        <is>
          <t>Садова замазка Balsam Pro Royal Mix 500 г (Роял Мікс)</t>
        </is>
      </c>
      <c r="G101" s="23" t="n">
        <v>539</v>
      </c>
      <c r="H101" s="23" t="n">
        <v>550</v>
      </c>
      <c r="I101" s="21" t="inlineStr">
        <is>
          <t>назви схожі, різняться словами: бальзам, мікс, роял</t>
        </is>
      </c>
    </row>
    <row r="102">
      <c r="A102" s="22" t="n">
        <v>86.90000000000001</v>
      </c>
      <c r="B102" s="22" t="inlineStr">
        <is>
          <t>Клуб Рослин</t>
        </is>
      </c>
      <c r="C102" s="22" t="inlineStr">
        <is>
          <t>1-250</t>
        </is>
      </c>
      <c r="D102" s="22" t="inlineStr">
        <is>
          <t>14961</t>
        </is>
      </c>
      <c r="E102" s="21" t="inlineStr">
        <is>
          <t>Садова замазка Balsam Pro / Бальзам Про 250 г Royal Mix</t>
        </is>
      </c>
      <c r="F102" s="21" t="inlineStr">
        <is>
          <t>Садова замазка Balsam Pro Royal Mix 250 г (Роял Мікс)</t>
        </is>
      </c>
      <c r="G102" s="23" t="n">
        <v>250</v>
      </c>
      <c r="H102" s="23" t="n">
        <v>345</v>
      </c>
      <c r="I102" s="21" t="inlineStr">
        <is>
          <t>назви схожі, різняться словами: бальзам, мікс, роял</t>
        </is>
      </c>
    </row>
    <row r="103">
      <c r="A103" s="22" t="n">
        <v>86.8</v>
      </c>
      <c r="B103" s="22" t="inlineStr">
        <is>
          <t>Водоспад</t>
        </is>
      </c>
      <c r="C103" s="22" t="inlineStr">
        <is>
          <t>202AP</t>
        </is>
      </c>
      <c r="D103" s="22" t="inlineStr">
        <is>
          <t>33187</t>
        </is>
      </c>
      <c r="E103" s="21" t="inlineStr">
        <is>
          <t>Ніж Due Buoi 202AP для щеплення універсальний Італія</t>
        </is>
      </c>
      <c r="F103" s="21" t="inlineStr">
        <is>
          <t>Ніж для щеплення Due Buoi 224P (Італія)</t>
        </is>
      </c>
      <c r="G103" s="23" t="n">
        <v>1990</v>
      </c>
      <c r="H103" s="23" t="n">
        <v>890</v>
      </c>
      <c r="I103" s="21" t="inlineStr">
        <is>
          <t>назви схожі, різняться словами: універсальний</t>
        </is>
      </c>
    </row>
    <row r="104">
      <c r="A104" s="22" t="n">
        <v>86.8</v>
      </c>
      <c r="B104" s="22" t="inlineStr">
        <is>
          <t>Водоспад</t>
        </is>
      </c>
      <c r="C104" s="22" t="inlineStr">
        <is>
          <t>12ANTAPL</t>
        </is>
      </c>
      <c r="D104" s="22" t="inlineStr">
        <is>
          <t>40555</t>
        </is>
      </c>
      <c r="E104" s="21" t="inlineStr">
        <is>
          <t>Ніж-кільце пластиковий на палець 20 / 24мм (12ANTAPL) Італія</t>
        </is>
      </c>
      <c r="F104" s="21" t="inlineStr">
        <is>
          <t>Ніж-кільце на палець пластиковий 20/24мм cod.502 (12ANTAPL)</t>
        </is>
      </c>
      <c r="G104" s="23" t="n">
        <v>195</v>
      </c>
      <c r="H104" s="23" t="n">
        <v>195</v>
      </c>
      <c r="I104" s="21" t="inlineStr">
        <is>
          <t>код збігся, але різні об'єми або розміри</t>
        </is>
      </c>
    </row>
    <row r="105">
      <c r="A105" s="22" t="n">
        <v>86.8</v>
      </c>
      <c r="B105" s="22" t="inlineStr">
        <is>
          <t>Клуб Рослин</t>
        </is>
      </c>
      <c r="C105" s="22" t="inlineStr">
        <is>
          <t>3076.B</t>
        </is>
      </c>
      <c r="D105" s="22" t="inlineStr">
        <is>
          <t>14024</t>
        </is>
      </c>
      <c r="E105" s="21" t="inlineStr">
        <is>
          <t>Набір садових інструментів з алюмінію 3 предмети Bellota (3076.B) Іспанія</t>
        </is>
      </c>
      <c r="F105" s="21" t="inlineStr">
        <is>
          <t>Набір садових інструментів (3 од.) Bellota, 3076.B</t>
        </is>
      </c>
      <c r="G105" s="23" t="n">
        <v>1579</v>
      </c>
      <c r="H105" s="23" t="n">
        <v>1579</v>
      </c>
      <c r="I105" s="21" t="inlineStr">
        <is>
          <t>назви схожі, різняться словами: алюмінію, предмети</t>
        </is>
      </c>
    </row>
    <row r="106">
      <c r="A106" s="22" t="n">
        <v>86.8</v>
      </c>
      <c r="B106" s="22" t="inlineStr">
        <is>
          <t>Клуб Рослин</t>
        </is>
      </c>
      <c r="C106" s="22" t="inlineStr">
        <is>
          <t>2C_387/20</t>
        </is>
      </c>
      <c r="D106" s="22" t="inlineStr">
        <is>
          <t>11904</t>
        </is>
      </c>
      <c r="E106" s="21" t="inlineStr">
        <is>
          <t>Секатор з храповим механізмом Due Cigni 200 мм (2C_387/20) Італія</t>
        </is>
      </c>
      <c r="F106" s="21" t="inlineStr">
        <is>
          <t>Секатор Due Cigni 387/20 з храповим механізмом (Дуе Чіні)</t>
        </is>
      </c>
      <c r="G106" s="23" t="n">
        <v>900</v>
      </c>
      <c r="H106" s="23" t="n">
        <v>900</v>
      </c>
      <c r="I106" s="21" t="inlineStr">
        <is>
          <t>назви схожі, різняться словами: чіні</t>
        </is>
      </c>
    </row>
    <row r="107">
      <c r="A107" s="22" t="n">
        <v>86.7</v>
      </c>
      <c r="B107" s="22" t="inlineStr">
        <is>
          <t>Клуб Рослин</t>
        </is>
      </c>
      <c r="C107" s="22" t="inlineStr">
        <is>
          <t>2260</t>
        </is>
      </c>
      <c r="D107" s="22" t="inlineStr">
        <is>
          <t>14076</t>
        </is>
      </c>
      <c r="E107" s="21" t="inlineStr">
        <is>
          <t>Інсектицид Синерид 100 мл Сімейний Сад Україна</t>
        </is>
      </c>
      <c r="F107" s="21" t="inlineStr">
        <is>
          <t>Інсектицид Синерид М.Д. (тіаклоприд) 100 мл Сімейний Сад</t>
        </is>
      </c>
      <c r="G107" s="23" t="n">
        <v>248</v>
      </c>
      <c r="H107" s="23" t="n">
        <v>309</v>
      </c>
      <c r="I107" s="21" t="inlineStr">
        <is>
          <t>назви схожі, різняться словами: тіаклоприд</t>
        </is>
      </c>
    </row>
    <row r="108">
      <c r="A108" s="22" t="n">
        <v>86.59999999999999</v>
      </c>
      <c r="B108" s="22" t="inlineStr">
        <is>
          <t>Водоспад</t>
        </is>
      </c>
      <c r="C108" s="22" t="inlineStr">
        <is>
          <t>FAL00902</t>
        </is>
      </c>
      <c r="D108" s="22" t="inlineStr">
        <is>
          <t>41178</t>
        </is>
      </c>
      <c r="E108" s="21" t="inlineStr">
        <is>
          <t>Камінь точильний штучний 200х20х10 мм 240 Grit Falket / Фалкет (FAL00902) Італія</t>
        </is>
      </c>
      <c r="F108" s="21" t="inlineStr">
        <is>
          <t>Камінь точильний штучний, 200х20х10 мм, 240 GRIT, FALKET (00902)</t>
        </is>
      </c>
      <c r="G108" s="23" t="n">
        <v>480</v>
      </c>
      <c r="H108" s="23" t="n">
        <v>480</v>
      </c>
      <c r="I108" s="21" t="inlineStr">
        <is>
          <t>назви схожі, але різні коди виробника</t>
        </is>
      </c>
    </row>
    <row r="109">
      <c r="A109" s="22" t="n">
        <v>86.59999999999999</v>
      </c>
      <c r="B109" s="22" t="inlineStr">
        <is>
          <t>Клуб Рослин</t>
        </is>
      </c>
      <c r="C109" s="22" t="inlineStr">
        <is>
          <t>150</t>
        </is>
      </c>
      <c r="D109" s="22" t="inlineStr">
        <is>
          <t>14600</t>
        </is>
      </c>
      <c r="E109" s="21" t="inlineStr">
        <is>
          <t>Садовий секатор обвідний Альпен / Alpen Gelbhorn 207 мм (150) Швейцарія</t>
        </is>
      </c>
      <c r="F109" s="21" t="inlineStr">
        <is>
          <t>Садовий секатор Alpen Gelbhorn 150 обвідний (Альпен Гелбхорн 150)</t>
        </is>
      </c>
      <c r="G109" s="23" t="n">
        <v>1299</v>
      </c>
      <c r="H109" s="23" t="n">
        <v>1299</v>
      </c>
      <c r="I109" s="21" t="inlineStr">
        <is>
          <t>назви схожі, різняться словами: гелбхорн</t>
        </is>
      </c>
    </row>
    <row r="110">
      <c r="A110" s="22" t="n">
        <v>86.59999999999999</v>
      </c>
      <c r="B110" s="22" t="inlineStr">
        <is>
          <t>Клуб Рослин</t>
        </is>
      </c>
      <c r="C110" s="22" t="inlineStr">
        <is>
          <t>140</t>
        </is>
      </c>
      <c r="D110" s="22" t="inlineStr">
        <is>
          <t>14599</t>
        </is>
      </c>
      <c r="E110" s="21" t="inlineStr">
        <is>
          <t>Садовий секатор обвідний Альпен / Alpen Gelbhorn 193 мм (140) Швейцарія</t>
        </is>
      </c>
      <c r="F110" s="21" t="inlineStr">
        <is>
          <t>Садовий секатор Alpen Gelbhorn 140 обвідний (Альпен Гелбхорн 140)</t>
        </is>
      </c>
      <c r="G110" s="23" t="n">
        <v>780</v>
      </c>
      <c r="H110" s="23" t="n">
        <v>780</v>
      </c>
      <c r="I110" s="21" t="inlineStr">
        <is>
          <t>назви схожі, різняться словами: гелбхорн</t>
        </is>
      </c>
    </row>
    <row r="111">
      <c r="A111" s="22" t="n">
        <v>86.5</v>
      </c>
      <c r="B111" s="22" t="inlineStr">
        <is>
          <t>Водоспад</t>
        </is>
      </c>
      <c r="C111" s="22" t="inlineStr">
        <is>
          <t>202L</t>
        </is>
      </c>
      <c r="D111" s="22" t="inlineStr">
        <is>
          <t>33171</t>
        </is>
      </c>
      <c r="E111" s="21" t="inlineStr">
        <is>
          <t>Щеплювальний ніж Due Buoi 202L Італія</t>
        </is>
      </c>
      <c r="F111" s="21" t="inlineStr">
        <is>
          <t>Прищепний ніж Due Buoi 1202L (Італія)</t>
        </is>
      </c>
      <c r="G111" s="23" t="n">
        <v>2190</v>
      </c>
      <c r="H111" s="23" t="n">
        <v>2190</v>
      </c>
      <c r="I111" s="21" t="inlineStr">
        <is>
          <t>назви схожі, але різні об'єми або розміри</t>
        </is>
      </c>
    </row>
    <row r="112">
      <c r="A112" s="22" t="n">
        <v>86.5</v>
      </c>
      <c r="B112" s="22" t="inlineStr">
        <is>
          <t>Клуб Рослин</t>
        </is>
      </c>
      <c r="C112" s="22" t="inlineStr">
        <is>
          <t>UV-32E</t>
        </is>
      </c>
      <c r="D112" s="22" t="inlineStr">
        <is>
          <t>11180</t>
        </is>
      </c>
      <c r="E112" s="21" t="inlineStr">
        <is>
          <t>Пила АРС / ARS (UV-32E) серповидна з кобурою Японія</t>
        </is>
      </c>
      <c r="F112" s="21" t="inlineStr">
        <is>
          <t>Пила ARS CT-32E серповидна з кобурою (АРС CT-32E)</t>
        </is>
      </c>
      <c r="G112" s="23" t="n">
        <v>1690</v>
      </c>
      <c r="H112" s="23" t="n">
        <v>1690</v>
      </c>
      <c r="I112" s="21" t="inlineStr">
        <is>
          <t>назви схожі, але різні коди виробника</t>
        </is>
      </c>
    </row>
    <row r="113">
      <c r="A113" s="22" t="n">
        <v>86.5</v>
      </c>
      <c r="B113" s="22" t="inlineStr">
        <is>
          <t>Клуб Рослин</t>
        </is>
      </c>
      <c r="C113" s="22" t="inlineStr">
        <is>
          <t>UV-32Е</t>
        </is>
      </c>
      <c r="D113" s="22" t="inlineStr">
        <is>
          <t>11180</t>
        </is>
      </c>
      <c r="E113" s="21" t="inlineStr">
        <is>
          <t>Пила АРС / ARS (UV-32E) серповидна з кобурою Японія</t>
        </is>
      </c>
      <c r="F113" s="21" t="inlineStr">
        <is>
          <t>Пила ARS CT-32E серповидна з кобурою (АРС CT-32E)</t>
        </is>
      </c>
      <c r="G113" s="23" t="n">
        <v>1549</v>
      </c>
      <c r="H113" s="23" t="n">
        <v>1690</v>
      </c>
      <c r="I113" s="21" t="inlineStr">
        <is>
          <t>назви схожі, але різні коди виробника</t>
        </is>
      </c>
    </row>
    <row r="114">
      <c r="A114" s="22" t="n">
        <v>86.3</v>
      </c>
      <c r="B114" s="22" t="inlineStr">
        <is>
          <t>Клуб Рослин</t>
        </is>
      </c>
      <c r="C114" s="22" t="inlineStr">
        <is>
          <t>7237</t>
        </is>
      </c>
      <c r="D114" s="22" t="inlineStr">
        <is>
          <t>9236</t>
        </is>
      </c>
      <c r="E114" s="21" t="inlineStr">
        <is>
          <t>Добриво Терафлекс Пасльоновий Terraflex Т (15-8-25 + 3.5 MgO + TЕ) 25 кг SmartGrow Бельгія</t>
        </is>
      </c>
      <c r="F114" s="21" t="inlineStr">
        <is>
          <t>Добриво Terraflex T 15-8-25+3,5MgO+TE (Терафлекс), 2 кг</t>
        </is>
      </c>
      <c r="G114" s="23" t="n">
        <v>4320</v>
      </c>
      <c r="H114" s="23" t="n">
        <v>377</v>
      </c>
      <c r="I114" s="21" t="inlineStr">
        <is>
          <t>назви схожі, але різні об'єми або розміри</t>
        </is>
      </c>
    </row>
    <row r="115">
      <c r="A115" s="22" t="n">
        <v>86.3</v>
      </c>
      <c r="B115" s="22" t="inlineStr">
        <is>
          <t>Клуб Рослин</t>
        </is>
      </c>
      <c r="C115" s="22" t="inlineStr">
        <is>
          <t>SR-L-800</t>
        </is>
      </c>
      <c r="D115" s="22" t="inlineStr">
        <is>
          <t>16113</t>
        </is>
      </c>
      <c r="E115" s="21" t="inlineStr">
        <is>
          <t>Планувальник грунту ручний без держака Смарт Рейн / Smart Rain (SR-L-800) Україна</t>
        </is>
      </c>
      <c r="F115" s="21" t="inlineStr">
        <is>
          <t>Планувальник грунту Smart Rain ручний 890х390 мм без держака SR-L-890 (Смарт Рейн SR-L-890)</t>
        </is>
      </c>
      <c r="G115" s="23" t="n">
        <v>1695</v>
      </c>
      <c r="H115" s="23" t="n">
        <v>2650</v>
      </c>
      <c r="I115" s="21" t="inlineStr">
        <is>
          <t>назви схожі, але різні коди виробника</t>
        </is>
      </c>
    </row>
    <row r="116">
      <c r="A116" s="22" t="n">
        <v>86.2</v>
      </c>
      <c r="B116" s="22" t="inlineStr">
        <is>
          <t>Водоспад</t>
        </is>
      </c>
      <c r="C116" s="22" t="inlineStr">
        <is>
          <t>BCL23</t>
        </is>
      </c>
      <c r="D116" s="22" t="inlineStr">
        <is>
          <t>39101</t>
        </is>
      </c>
      <c r="E116" s="21" t="inlineStr">
        <is>
          <t>Секатор акумуляторний Bahco BCL23 Швеція</t>
        </is>
      </c>
      <c r="F116" s="21" t="inlineStr">
        <is>
          <t>Акумуляторний секатор Bahco (BCL20IB)</t>
        </is>
      </c>
      <c r="G116" s="23" t="n">
        <v>49500</v>
      </c>
      <c r="H116" s="23" t="n">
        <v>16999</v>
      </c>
      <c r="I116" s="21" t="inlineStr">
        <is>
          <t>назви схожі, перевірте</t>
        </is>
      </c>
    </row>
    <row r="117">
      <c r="A117" s="22" t="n">
        <v>86.2</v>
      </c>
      <c r="B117" s="22" t="inlineStr">
        <is>
          <t>Водоспад</t>
        </is>
      </c>
      <c r="C117" s="22" t="inlineStr">
        <is>
          <t>B 180</t>
        </is>
      </c>
      <c r="D117" s="22" t="inlineStr">
        <is>
          <t>37597</t>
        </is>
      </c>
      <c r="E117" s="21" t="inlineStr">
        <is>
          <t>Секатор 180 мм Type B Ханакумагава / Hanakumagawa (B 180) Японія</t>
        </is>
      </c>
      <c r="F117" s="21" t="inlineStr">
        <is>
          <t>Секатор TYPE B 180 мм Hanakumagawa</t>
        </is>
      </c>
      <c r="G117" s="23" t="n">
        <v>4090</v>
      </c>
      <c r="H117" s="23" t="n">
        <v>4090</v>
      </c>
      <c r="I117" s="21" t="inlineStr">
        <is>
          <t>назви схожі, різняться словами: ханакумагава</t>
        </is>
      </c>
    </row>
    <row r="118">
      <c r="A118" s="22" t="n">
        <v>86.2</v>
      </c>
      <c r="B118" s="22" t="inlineStr">
        <is>
          <t>Водоспад</t>
        </is>
      </c>
      <c r="C118" s="22" t="inlineStr">
        <is>
          <t>6.104</t>
        </is>
      </c>
      <c r="D118" s="22" t="inlineStr">
        <is>
          <t>32739</t>
        </is>
      </c>
      <c r="E118" s="21" t="inlineStr">
        <is>
          <t>Lowe Original 6.104 Секатор з наковаленкою Німеччина</t>
        </is>
      </c>
      <c r="F118" s="21" t="inlineStr">
        <is>
          <t>Секатор з наковаленкою LOWE Original 1.102 (1.102)</t>
        </is>
      </c>
      <c r="G118" s="23" t="n">
        <v>2950</v>
      </c>
      <c r="H118" s="23" t="n">
        <v>1045</v>
      </c>
      <c r="I118" s="21" t="inlineStr">
        <is>
          <t>назви схожі, перевірте</t>
        </is>
      </c>
    </row>
    <row r="119">
      <c r="A119" s="22" t="n">
        <v>86.2</v>
      </c>
      <c r="B119" s="22" t="inlineStr">
        <is>
          <t>Водоспад</t>
        </is>
      </c>
      <c r="C119" s="22" t="inlineStr">
        <is>
          <t>1100</t>
        </is>
      </c>
      <c r="D119" s="22" t="inlineStr">
        <is>
          <t>33322</t>
        </is>
      </c>
      <c r="E119" s="21" t="inlineStr">
        <is>
          <t>Камінь точильний штучний Due Buoi (1100) Італія</t>
        </is>
      </c>
      <c r="F119" s="21" t="inlineStr">
        <is>
          <t>Натуральний, точильний камінь Due Buoi 1101 (Італія)</t>
        </is>
      </c>
      <c r="G119" s="23" t="n">
        <v>579</v>
      </c>
      <c r="H119" s="23" t="n">
        <v>548</v>
      </c>
      <c r="I119" s="21" t="inlineStr">
        <is>
          <t>назви схожі, різняться словами: натуральний, штучний</t>
        </is>
      </c>
    </row>
    <row r="120">
      <c r="A120" s="22" t="n">
        <v>86.2</v>
      </c>
      <c r="B120" s="22" t="inlineStr">
        <is>
          <t>Клуб Рослин</t>
        </is>
      </c>
      <c r="C120" s="22" t="inlineStr">
        <is>
          <t>9F-10</t>
        </is>
      </c>
      <c r="D120" s="22" t="inlineStr">
        <is>
          <t>10781</t>
        </is>
      </c>
      <c r="E120" s="21" t="inlineStr">
        <is>
          <t>Напилок для пилок ARS / АРС (9F-10) Японія</t>
        </is>
      </c>
      <c r="F120" s="21" t="inlineStr">
        <is>
          <t>Напилок для пил ARS 9F-10 (АРС 9F-10)</t>
        </is>
      </c>
      <c r="G120" s="23" t="n">
        <v>820</v>
      </c>
      <c r="H120" s="23" t="n">
        <v>820</v>
      </c>
      <c r="I120" s="21" t="inlineStr">
        <is>
          <t>назви схожі, різняться словами: пилок</t>
        </is>
      </c>
    </row>
    <row r="121">
      <c r="A121" s="22" t="n">
        <v>86.2</v>
      </c>
      <c r="B121" s="22" t="inlineStr">
        <is>
          <t>Клуб Рослин</t>
        </is>
      </c>
      <c r="C121" s="22" t="inlineStr">
        <is>
          <t>С14</t>
        </is>
      </c>
      <c r="D121" s="22" t="inlineStr">
        <is>
          <t>16108</t>
        </is>
      </c>
      <c r="E121" s="21" t="inlineStr">
        <is>
          <t>Держак металевий для садового інструменту Смарт Рейн / Smart Rain (С14) Україна</t>
        </is>
      </c>
      <c r="F121" s="21" t="inlineStr">
        <is>
          <t>Держак Smart Rain металевий трисекційний для садового інструменту 215 см С 014 (Смарт Рейн С 014)</t>
        </is>
      </c>
      <c r="G121" s="23" t="n">
        <v>445</v>
      </c>
      <c r="H121" s="23" t="n">
        <v>745</v>
      </c>
      <c r="I121" s="21" t="inlineStr">
        <is>
          <t>назви схожі, різняться словами: трисекційний</t>
        </is>
      </c>
    </row>
    <row r="122">
      <c r="A122" s="22" t="n">
        <v>86.2</v>
      </c>
      <c r="B122" s="22" t="inlineStr">
        <is>
          <t>Клуб Рослин</t>
        </is>
      </c>
      <c r="C122" s="22" t="inlineStr">
        <is>
          <t>3426</t>
        </is>
      </c>
      <c r="D122" s="22" t="inlineStr">
        <is>
          <t>16080</t>
        </is>
      </c>
      <c r="E122" s="21" t="inlineStr">
        <is>
          <t>Фунгіцид Мідний купорос (сульфат міді) 1 кг Садівник Україна</t>
        </is>
      </c>
      <c r="F122" s="21" t="inlineStr">
        <is>
          <t>Фунгіцид Мідний купорос (мідь сірчанокисла, сульфат міді) Садівник, 100 г</t>
        </is>
      </c>
      <c r="G122" s="23" t="n">
        <v>298</v>
      </c>
      <c r="H122" s="23" t="n">
        <v>39</v>
      </c>
      <c r="I122" s="21" t="inlineStr">
        <is>
          <t>назви схожі, але різні об'єми або розміри</t>
        </is>
      </c>
    </row>
    <row r="123">
      <c r="A123" s="22" t="n">
        <v>86.09999999999999</v>
      </c>
      <c r="B123" s="22" t="inlineStr">
        <is>
          <t>Водоспад</t>
        </is>
      </c>
      <c r="C123" s="22" t="inlineStr">
        <is>
          <t>641/10</t>
        </is>
      </c>
      <c r="D123" s="22" t="inlineStr">
        <is>
          <t>32808</t>
        </is>
      </c>
      <c r="E123" s="21" t="inlineStr">
        <is>
          <t>Щеплювальний ніж Тіна / Tina (641/10) Німеччина</t>
        </is>
      </c>
      <c r="F123" s="21" t="inlineStr">
        <is>
          <t>Ніж окулювальний TINA 641/10 (Німеччина)</t>
        </is>
      </c>
      <c r="G123" s="23" t="n">
        <v>5999</v>
      </c>
      <c r="H123" s="23" t="n">
        <v>5999</v>
      </c>
      <c r="I123" s="21" t="inlineStr">
        <is>
          <t>назви схожі, різняться словами: окулювальний, тіна, щеплювальний</t>
        </is>
      </c>
    </row>
    <row r="124">
      <c r="A124" s="22" t="n">
        <v>86</v>
      </c>
      <c r="B124" s="22" t="inlineStr">
        <is>
          <t>Водоспад</t>
        </is>
      </c>
      <c r="C124" s="22" t="inlineStr">
        <is>
          <t>gta-GY</t>
        </is>
      </c>
      <c r="D124" s="22" t="inlineStr">
        <is>
          <t>43388</t>
        </is>
      </c>
      <c r="E124" s="21" t="inlineStr">
        <is>
          <t>Фартух садовий для збору врожаю та кишенями для інструментів (gta-GY) Україна</t>
        </is>
      </c>
      <c r="F124" s="21" t="inlineStr">
        <is>
          <t>Фартух садовий з кишенями для інструментів і збору врожаю, зелений, арт. gta-GY</t>
        </is>
      </c>
      <c r="G124" s="23" t="n">
        <v>1299</v>
      </c>
      <c r="H124" s="23" t="n">
        <v>1299</v>
      </c>
      <c r="I124" s="21" t="inlineStr">
        <is>
          <t>назви схожі, різняться словами: зелений</t>
        </is>
      </c>
    </row>
    <row r="125">
      <c r="A125" s="22" t="n">
        <v>86</v>
      </c>
      <c r="B125" s="22" t="inlineStr">
        <is>
          <t>Водоспад</t>
        </is>
      </c>
      <c r="C125" s="22" t="inlineStr">
        <is>
          <t>gta-GR</t>
        </is>
      </c>
      <c r="D125" s="22" t="inlineStr">
        <is>
          <t>43338</t>
        </is>
      </c>
      <c r="E125" s="21" t="inlineStr">
        <is>
          <t>Фартух садовий для збору врожаю та кишенями для інструментів (gta-GR) Україна</t>
        </is>
      </c>
      <c r="F125" s="21" t="inlineStr">
        <is>
          <t>Фартух садовий з кишенями для інструментів і збору врожаю, зелений, арт. GTA-GR</t>
        </is>
      </c>
      <c r="G125" s="23" t="n">
        <v>1299</v>
      </c>
      <c r="H125" s="23" t="n">
        <v>1299</v>
      </c>
      <c r="I125" s="21" t="inlineStr">
        <is>
          <t>назви схожі, різняться словами: зелений</t>
        </is>
      </c>
    </row>
    <row r="126">
      <c r="A126" s="22" t="n">
        <v>86</v>
      </c>
      <c r="B126" s="22" t="inlineStr">
        <is>
          <t>Водоспад</t>
        </is>
      </c>
      <c r="C126" s="22" t="inlineStr">
        <is>
          <t>8002</t>
        </is>
      </c>
      <c r="D126" s="22" t="inlineStr">
        <is>
          <t>41169</t>
        </is>
      </c>
      <c r="E126" s="21" t="inlineStr">
        <is>
          <t>Змінне ковадло для секаторів Löwe 8 (8002)</t>
        </is>
      </c>
      <c r="F126" s="21" t="inlineStr">
        <is>
          <t>Змінна ковадло для секаторів Löwe 10.107 (10002)</t>
        </is>
      </c>
      <c r="G126" s="23" t="n">
        <v>150</v>
      </c>
      <c r="H126" s="23" t="n">
        <v>155</v>
      </c>
      <c r="I126" s="21" t="inlineStr">
        <is>
          <t>назви схожі, різняться словами: змінна, змінне</t>
        </is>
      </c>
    </row>
    <row r="127">
      <c r="A127" s="22" t="n">
        <v>86</v>
      </c>
      <c r="B127" s="22" t="inlineStr">
        <is>
          <t>Клуб Рослин</t>
        </is>
      </c>
      <c r="C127" s="22" t="inlineStr">
        <is>
          <t>12.109</t>
        </is>
      </c>
      <c r="D127" s="22" t="inlineStr">
        <is>
          <t>11956</t>
        </is>
      </c>
      <c r="E127" s="21" t="inlineStr">
        <is>
          <t>Секатор обвідний з поворотною ручкою Льове / Lowe Original (12.109) Німеччина</t>
        </is>
      </c>
      <c r="F127" s="21" t="inlineStr">
        <is>
          <t>Секатор LOWE 12.109 з поворотною ручкою (Льове 12.109)</t>
        </is>
      </c>
      <c r="G127" s="23" t="n">
        <v>3190</v>
      </c>
      <c r="H127" s="23" t="n">
        <v>3190</v>
      </c>
      <c r="I127" s="21" t="inlineStr">
        <is>
          <t>назви схожі, але різні коди виробника</t>
        </is>
      </c>
    </row>
    <row r="128">
      <c r="A128" s="22" t="n">
        <v>85.90000000000001</v>
      </c>
      <c r="B128" s="22" t="inlineStr">
        <is>
          <t>Клуб Рослин</t>
        </is>
      </c>
      <c r="C128" s="22" t="inlineStr">
        <is>
          <t>180ZR-3.0-5</t>
        </is>
      </c>
      <c r="D128" s="22" t="inlineStr">
        <is>
          <t>11813</t>
        </is>
      </c>
      <c r="E128" s="21" t="inlineStr">
        <is>
          <t>Секатор АРС / ARS (180ZR-3.0-5) телескопічний на штанзі 1.8–3 м поворотна голова Японія</t>
        </is>
      </c>
      <c r="F128" s="21" t="inlineStr">
        <is>
          <t>Секатор ARS 180 ZR-3.0-5 телескопічний на штанзі 1,8 - 3 м поворотна голова (висоторіз АРС 180 ZR-3.0-5)</t>
        </is>
      </c>
      <c r="G128" s="23" t="n">
        <v>4945</v>
      </c>
      <c r="H128" s="23" t="n">
        <v>4949</v>
      </c>
      <c r="I128" s="21" t="inlineStr">
        <is>
          <t>назви схожі, різняться словами: висоторіз</t>
        </is>
      </c>
    </row>
    <row r="129">
      <c r="A129" s="22" t="n">
        <v>85.90000000000001</v>
      </c>
      <c r="B129" s="22" t="inlineStr">
        <is>
          <t>Клуб Рослин</t>
        </is>
      </c>
      <c r="C129" s="22" t="inlineStr">
        <is>
          <t>4006</t>
        </is>
      </c>
      <c r="D129" s="22" t="inlineStr">
        <is>
          <t>16167</t>
        </is>
      </c>
      <c r="E129" s="21" t="inlineStr">
        <is>
          <t>Родентицид Капкан (парафінові брикети) 6 кг Ukravit Укравіт Україна</t>
        </is>
      </c>
      <c r="F129" s="21" t="inlineStr">
        <is>
          <t>Родентицид Капкан парафінові брикети 300 г, Укравіт</t>
        </is>
      </c>
      <c r="G129" s="23" t="n">
        <v>998</v>
      </c>
      <c r="H129" s="23" t="n">
        <v>117</v>
      </c>
      <c r="I129" s="21" t="inlineStr">
        <is>
          <t>назви схожі, але різні об'єми або розміри</t>
        </is>
      </c>
    </row>
    <row r="130">
      <c r="A130" s="22" t="n">
        <v>85.90000000000001</v>
      </c>
      <c r="B130" s="22" t="inlineStr">
        <is>
          <t>Клуб Рослин</t>
        </is>
      </c>
      <c r="C130" s="22" t="inlineStr">
        <is>
          <t>720D</t>
        </is>
      </c>
      <c r="D130" s="22" t="inlineStr">
        <is>
          <t>15816</t>
        </is>
      </c>
      <c r="E130" s="21" t="inlineStr">
        <is>
          <t>Секатор типу ножиці Камакі / Kamaki (720D) Японія</t>
        </is>
      </c>
      <c r="F130" s="21" t="inlineStr">
        <is>
          <t>Секатор Kamaki 710S японський типу ножиці (Камакі 710S)</t>
        </is>
      </c>
      <c r="G130" s="23" t="n">
        <v>590</v>
      </c>
      <c r="H130" s="23" t="n">
        <v>549</v>
      </c>
      <c r="I130" s="21" t="inlineStr">
        <is>
          <t>назви схожі, різняться словами: японський</t>
        </is>
      </c>
    </row>
    <row r="131">
      <c r="A131" s="22" t="n">
        <v>85.8</v>
      </c>
      <c r="B131" s="22" t="inlineStr">
        <is>
          <t>Водоспад</t>
        </is>
      </c>
      <c r="C131" s="22" t="inlineStr">
        <is>
          <t>T-16</t>
        </is>
      </c>
      <c r="D131" s="22" t="inlineStr">
        <is>
          <t>42633</t>
        </is>
      </c>
      <c r="E131" s="21" t="inlineStr">
        <is>
          <t>Ножиці для топіарної стрижки 270 мм Hidehisa Toyama Hamono (T-16) Японія</t>
        </is>
      </c>
      <c r="F131" s="21" t="inlineStr">
        <is>
          <t>Ножиці для топіарної стрижки 270 мм, модель T-16 (леза 130 мм, YCS-3 61HRC) HIDEHISA Toyama Hamono</t>
        </is>
      </c>
      <c r="G131" s="23" t="n">
        <v>10990</v>
      </c>
      <c r="H131" s="23" t="n">
        <v>10990</v>
      </c>
      <c r="I131" s="21" t="inlineStr">
        <is>
          <t>назви схожі, різняться словами: леза, модель</t>
        </is>
      </c>
    </row>
    <row r="132">
      <c r="A132" s="22" t="n">
        <v>85.8</v>
      </c>
      <c r="B132" s="22" t="inlineStr">
        <is>
          <t>Водоспад</t>
        </is>
      </c>
      <c r="C132" s="22" t="inlineStr">
        <is>
          <t>149/AB</t>
        </is>
      </c>
      <c r="D132" s="22" t="inlineStr">
        <is>
          <t>40821</t>
        </is>
      </c>
      <c r="E132" s="21" t="inlineStr">
        <is>
          <t>Секатор обвідний 220 см Due Buoi (149/AB) Італія</t>
        </is>
      </c>
      <c r="F132" s="21" t="inlineStr">
        <is>
          <t>Секатор обвідний Due Buoi 22 см (149/22)</t>
        </is>
      </c>
      <c r="G132" s="23" t="n">
        <v>890</v>
      </c>
      <c r="H132" s="23" t="n">
        <v>890</v>
      </c>
      <c r="I132" s="21" t="inlineStr">
        <is>
          <t>назви схожі, але різні об'єми або розміри</t>
        </is>
      </c>
    </row>
    <row r="133">
      <c r="A133" s="22" t="n">
        <v>85.8</v>
      </c>
      <c r="B133" s="22" t="inlineStr">
        <is>
          <t>Клуб Рослин</t>
        </is>
      </c>
      <c r="C133" s="22" t="inlineStr">
        <is>
          <t>SR-SH</t>
        </is>
      </c>
      <c r="D133" s="22" t="inlineStr">
        <is>
          <t>16109</t>
        </is>
      </c>
      <c r="E133" s="21" t="inlineStr">
        <is>
          <t>Лопата для газону (пробовідбірник ґрунту) Смарт Рейн / Smart Rain (SR-SH) Україна</t>
        </is>
      </c>
      <c r="F133" s="21" t="inlineStr">
        <is>
          <t>Лопата Smart Rain для газону SR-SH (Смарт Рейн SR-SH)</t>
        </is>
      </c>
      <c r="G133" s="23" t="n">
        <v>3950</v>
      </c>
      <c r="H133" s="23" t="n">
        <v>3950</v>
      </c>
      <c r="I133" s="21" t="inlineStr">
        <is>
          <t>назви схожі, різняться словами: пробовідбірник, ґрунту</t>
        </is>
      </c>
    </row>
    <row r="134">
      <c r="A134" s="22" t="n">
        <v>85.8</v>
      </c>
      <c r="B134" s="22" t="inlineStr">
        <is>
          <t>Клуб Рослин</t>
        </is>
      </c>
      <c r="C134" s="22" t="inlineStr">
        <is>
          <t>MAX_blade</t>
        </is>
      </c>
      <c r="D134" s="22" t="inlineStr">
        <is>
          <t>10979</t>
        </is>
      </c>
      <c r="E134" s="21" t="inlineStr">
        <is>
          <t>Ніж для степлера HT-B MAX (комплект) (MAX_blades) Японія</t>
        </is>
      </c>
      <c r="F134" s="21" t="inlineStr">
        <is>
          <t>Ніж для степлера HT-B MAX (комплект 3шт)</t>
        </is>
      </c>
      <c r="G134" s="23" t="n">
        <v>289</v>
      </c>
      <c r="H134" s="23" t="n">
        <v>289</v>
      </c>
      <c r="I134" s="21" t="inlineStr">
        <is>
          <t>назви схожі, різняться словами: blades</t>
        </is>
      </c>
    </row>
    <row r="135">
      <c r="A135" s="22" t="n">
        <v>85.7</v>
      </c>
      <c r="B135" s="22" t="inlineStr">
        <is>
          <t>Водоспад</t>
        </is>
      </c>
      <c r="C135" s="22" t="inlineStr">
        <is>
          <t>BCL235</t>
        </is>
      </c>
      <c r="D135" s="22" t="inlineStr">
        <is>
          <t>39101</t>
        </is>
      </c>
      <c r="E135" s="21" t="inlineStr">
        <is>
          <t>Секатор акумуляторний Bahco​​​​​​​ BCL235 Швеція</t>
        </is>
      </c>
      <c r="F135" s="21" t="inlineStr">
        <is>
          <t>Акумуляторний секатор Bahco (BCL20IB)</t>
        </is>
      </c>
      <c r="G135" s="23" t="n">
        <v>15975</v>
      </c>
      <c r="H135" s="23" t="n">
        <v>16999</v>
      </c>
      <c r="I135" s="21" t="inlineStr">
        <is>
          <t>назви схожі, але різні коди виробника</t>
        </is>
      </c>
    </row>
    <row r="136">
      <c r="A136" s="22" t="n">
        <v>85.7</v>
      </c>
      <c r="B136" s="22" t="inlineStr">
        <is>
          <t>Водоспад</t>
        </is>
      </c>
      <c r="C136" s="22" t="inlineStr">
        <is>
          <t>BCL226</t>
        </is>
      </c>
      <c r="D136" s="22" t="inlineStr">
        <is>
          <t>39101</t>
        </is>
      </c>
      <c r="E136" s="21" t="inlineStr">
        <is>
          <t>Секатор акумуляторний Bahco BCL226 Швеція</t>
        </is>
      </c>
      <c r="F136" s="21" t="inlineStr">
        <is>
          <t>Акумуляторний секатор Bahco (BCL20IB)</t>
        </is>
      </c>
      <c r="G136" s="23" t="n">
        <v>11250</v>
      </c>
      <c r="H136" s="23" t="n">
        <v>16999</v>
      </c>
      <c r="I136" s="21" t="inlineStr">
        <is>
          <t>назви схожі, але різні коди виробника</t>
        </is>
      </c>
    </row>
    <row r="137">
      <c r="A137" s="22" t="n">
        <v>85.7</v>
      </c>
      <c r="B137" s="22" t="inlineStr">
        <is>
          <t>Водоспад</t>
        </is>
      </c>
      <c r="C137" s="22" t="inlineStr">
        <is>
          <t>201AP</t>
        </is>
      </c>
      <c r="D137" s="22" t="inlineStr">
        <is>
          <t>36462</t>
        </is>
      </c>
      <c r="E137" s="21" t="inlineStr">
        <is>
          <t>Ніж Due Buoi 201AP для щеплення універсальний Італія</t>
        </is>
      </c>
      <c r="F137" s="21" t="inlineStr">
        <is>
          <t>Ніж для щеплення Due Buoi 247P (Італія)</t>
        </is>
      </c>
      <c r="G137" s="23" t="n">
        <v>1990</v>
      </c>
      <c r="H137" s="23" t="n">
        <v>1990</v>
      </c>
      <c r="I137" s="21" t="inlineStr">
        <is>
          <t>назви схожі, різняться словами: універсальний</t>
        </is>
      </c>
    </row>
    <row r="138">
      <c r="A138" s="22" t="n">
        <v>85.7</v>
      </c>
      <c r="B138" s="22" t="inlineStr">
        <is>
          <t>Водоспад</t>
        </is>
      </c>
      <c r="C138" s="22" t="inlineStr">
        <is>
          <t>200AP</t>
        </is>
      </c>
      <c r="D138" s="22" t="inlineStr">
        <is>
          <t>36462</t>
        </is>
      </c>
      <c r="E138" s="21" t="inlineStr">
        <is>
          <t>Ніж Due Buoi 200AP для щеплення універсальний Італія</t>
        </is>
      </c>
      <c r="F138" s="21" t="inlineStr">
        <is>
          <t>Ніж для щеплення Due Buoi 247P (Італія)</t>
        </is>
      </c>
      <c r="G138" s="23" t="n">
        <v>1790</v>
      </c>
      <c r="H138" s="23" t="n">
        <v>1990</v>
      </c>
      <c r="I138" s="21" t="inlineStr">
        <is>
          <t>назви схожі, різняться словами: універсальний</t>
        </is>
      </c>
    </row>
    <row r="139">
      <c r="A139" s="22" t="n">
        <v>85.7</v>
      </c>
      <c r="B139" s="22" t="inlineStr">
        <is>
          <t>Водоспад</t>
        </is>
      </c>
      <c r="C139" s="22" t="inlineStr">
        <is>
          <t>120EU</t>
        </is>
      </c>
      <c r="D139" s="22" t="inlineStr">
        <is>
          <t>33890</t>
        </is>
      </c>
      <c r="E139" s="21" t="inlineStr">
        <is>
          <t>Секатор АРС / ARS (120EU) садовий обвідний Японія</t>
        </is>
      </c>
      <c r="F139" s="21" t="inlineStr">
        <is>
          <t>Садовий секатор ARS (120EU)</t>
        </is>
      </c>
      <c r="G139" s="23" t="n">
        <v>1176</v>
      </c>
      <c r="H139" s="23" t="n">
        <v>1179</v>
      </c>
      <c r="I139" s="21" t="inlineStr">
        <is>
          <t>назви схожі, різняться словами: обвідний</t>
        </is>
      </c>
    </row>
    <row r="140">
      <c r="A140" s="22" t="n">
        <v>85.7</v>
      </c>
      <c r="B140" s="22" t="inlineStr">
        <is>
          <t>Клуб Рослин</t>
        </is>
      </c>
      <c r="C140" s="22" t="inlineStr">
        <is>
          <t>133/20</t>
        </is>
      </c>
      <c r="D140" s="22" t="inlineStr">
        <is>
          <t>11887</t>
        </is>
      </c>
      <c r="E140" s="21" t="inlineStr">
        <is>
          <t>Секатор кований Due Buoi 133/20 Італія</t>
        </is>
      </c>
      <c r="F140" s="21" t="inlineStr">
        <is>
          <t>Секатор Due Buoi 133/20 італійський кований (Дуе Буоі)</t>
        </is>
      </c>
      <c r="G140" s="23" t="n">
        <v>2550</v>
      </c>
      <c r="H140" s="23" t="n">
        <v>2550</v>
      </c>
      <c r="I140" s="21" t="inlineStr">
        <is>
          <t>назви схожі, різняться словами: італійський, буоі</t>
        </is>
      </c>
    </row>
    <row r="141">
      <c r="A141" s="22" t="n">
        <v>85.7</v>
      </c>
      <c r="B141" s="22" t="inlineStr">
        <is>
          <t>Клуб Рослин</t>
        </is>
      </c>
      <c r="C141" s="22" t="inlineStr">
        <is>
          <t>3001.B</t>
        </is>
      </c>
      <c r="D141" s="22" t="inlineStr">
        <is>
          <t>12295</t>
        </is>
      </c>
      <c r="E141" s="21" t="inlineStr">
        <is>
          <t>Совок для пересадки 80 мм Bellota (3001.B) Іспанія</t>
        </is>
      </c>
      <c r="F141" s="21" t="inlineStr">
        <is>
          <t>Совок садовий Bellota 3001 (80 мм) для пересадки</t>
        </is>
      </c>
      <c r="G141" s="23" t="n">
        <v>459</v>
      </c>
      <c r="H141" s="23" t="n">
        <v>455</v>
      </c>
      <c r="I141" s="21" t="inlineStr">
        <is>
          <t>назви схожі, різняться словами: садовий</t>
        </is>
      </c>
    </row>
    <row r="142">
      <c r="A142" s="22" t="n">
        <v>85.7</v>
      </c>
      <c r="B142" s="22" t="inlineStr">
        <is>
          <t>Клуб Рослин</t>
        </is>
      </c>
      <c r="C142" s="22" t="inlineStr">
        <is>
          <t>3000.B</t>
        </is>
      </c>
      <c r="D142" s="22" t="inlineStr">
        <is>
          <t>12297</t>
        </is>
      </c>
      <c r="E142" s="21" t="inlineStr">
        <is>
          <t>Совок для пересадки 60 мм Bellota (3000.B) Іспанія</t>
        </is>
      </c>
      <c r="F142" s="21" t="inlineStr">
        <is>
          <t>Совок для пересадки вузький Bellota 3000 (60 мм)</t>
        </is>
      </c>
      <c r="G142" s="23" t="n">
        <v>459</v>
      </c>
      <c r="H142" s="23" t="n">
        <v>455</v>
      </c>
      <c r="I142" s="21" t="inlineStr">
        <is>
          <t>назви схожі, різняться словами: вузький</t>
        </is>
      </c>
    </row>
    <row r="143">
      <c r="A143" s="22" t="n">
        <v>85.7</v>
      </c>
      <c r="B143" s="22" t="inlineStr">
        <is>
          <t>Клуб Рослин</t>
        </is>
      </c>
      <c r="C143" s="22" t="inlineStr">
        <is>
          <t>6d0ae69e-75b2-11ef-803e-e89c257d8b8f</t>
        </is>
      </c>
      <c r="D143" s="22" t="inlineStr">
        <is>
          <t>12295</t>
        </is>
      </c>
      <c r="E143" s="21" t="inlineStr">
        <is>
          <t>Совок для пересадки 80 мм Bellota (3001.B) Іспанія</t>
        </is>
      </c>
      <c r="F143" s="21" t="inlineStr">
        <is>
          <t>Совок садовий Bellota 3001 (80 мм) для пересадки</t>
        </is>
      </c>
      <c r="G143" s="23" t="n">
        <v>429</v>
      </c>
      <c r="H143" s="23" t="n">
        <v>455</v>
      </c>
      <c r="I143" s="21" t="inlineStr">
        <is>
          <t>назви схожі, різняться словами: садовий</t>
        </is>
      </c>
    </row>
    <row r="144">
      <c r="A144" s="22" t="n">
        <v>85.7</v>
      </c>
      <c r="B144" s="22" t="inlineStr">
        <is>
          <t>Клуб Рослин</t>
        </is>
      </c>
      <c r="C144" s="22" t="inlineStr">
        <is>
          <t>3001.В</t>
        </is>
      </c>
      <c r="D144" s="22" t="inlineStr">
        <is>
          <t>12295</t>
        </is>
      </c>
      <c r="E144" s="21" t="inlineStr">
        <is>
          <t>Совок для пересадки 80 мм Bellota 3001.В. Іспанія</t>
        </is>
      </c>
      <c r="F144" s="21" t="inlineStr">
        <is>
          <t>Совок садовий Bellota 3001 (80 мм) для пересадки</t>
        </is>
      </c>
      <c r="G144" s="23" t="n">
        <v>375</v>
      </c>
      <c r="H144" s="23" t="n">
        <v>455</v>
      </c>
      <c r="I144" s="21" t="inlineStr">
        <is>
          <t>назви схожі, різняться словами: садовий</t>
        </is>
      </c>
    </row>
    <row r="145">
      <c r="A145" s="22" t="n">
        <v>85.59999999999999</v>
      </c>
      <c r="B145" s="22" t="inlineStr">
        <is>
          <t>Водоспад</t>
        </is>
      </c>
      <c r="C145" s="22" t="inlineStr">
        <is>
          <t>M-TRIM</t>
        </is>
      </c>
      <c r="D145" s="22" t="inlineStr">
        <is>
          <t>43328</t>
        </is>
      </c>
      <c r="E145" s="21" t="inlineStr">
        <is>
          <t>Килимок для стрижки рослин на затяжках та липучках​​​​​​​ 150×150 см Oxford 85D (M-TRIM) Україна</t>
        </is>
      </c>
      <c r="F145" s="21" t="inlineStr">
        <is>
          <t>Килимок для стрижки рослин 150×150 см з полієстеру Oxford 85D на затяжках та липучках (зелений)</t>
        </is>
      </c>
      <c r="G145" s="23" t="n">
        <v>999</v>
      </c>
      <c r="H145" s="23" t="n">
        <v>999</v>
      </c>
      <c r="I145" s="21" t="inlineStr">
        <is>
          <t>назви схожі, різняться словами: mtrim, зелений, полієстеру</t>
        </is>
      </c>
    </row>
    <row r="146">
      <c r="A146" s="22" t="n">
        <v>85.5</v>
      </c>
      <c r="B146" s="22" t="inlineStr">
        <is>
          <t>Водоспад</t>
        </is>
      </c>
      <c r="C146" s="22" t="inlineStr">
        <is>
          <t>3408.B.</t>
        </is>
      </c>
      <c r="D146" s="22" t="inlineStr">
        <is>
          <t>42277</t>
        </is>
      </c>
      <c r="E146" s="21" t="inlineStr">
        <is>
          <t>Секатор 195 мм Bellota (3408.B.) Іспанія</t>
        </is>
      </c>
      <c r="F146" s="21" t="inlineStr">
        <is>
          <t>Секатор 195 мм, Bellota (3409)</t>
        </is>
      </c>
      <c r="G146" s="23" t="n">
        <v>729</v>
      </c>
      <c r="H146" s="23" t="n">
        <v>625</v>
      </c>
      <c r="I146" s="21" t="inlineStr">
        <is>
          <t>назви схожі, перевірте</t>
        </is>
      </c>
    </row>
    <row r="147">
      <c r="A147" s="22" t="n">
        <v>85.5</v>
      </c>
      <c r="B147" s="22" t="inlineStr">
        <is>
          <t>Водоспад</t>
        </is>
      </c>
      <c r="C147" s="22" t="inlineStr">
        <is>
          <t>75106-9/L.B.</t>
        </is>
      </c>
      <c r="D147" s="22" t="inlineStr">
        <is>
          <t>39927</t>
        </is>
      </c>
      <c r="E147" s="21" t="inlineStr">
        <is>
          <t>Рукавички садові Protect Bellota розмір L (75106-9/L.B.) Іспанія</t>
        </is>
      </c>
      <c r="F147" s="21" t="inlineStr">
        <is>
          <t>Рукавички садові Bellota (75106-9/L)</t>
        </is>
      </c>
      <c r="G147" s="23" t="n">
        <v>529</v>
      </c>
      <c r="H147" s="23" t="n">
        <v>529</v>
      </c>
      <c r="I147" s="21" t="inlineStr">
        <is>
          <t>назви схожі, але різні коди виробника</t>
        </is>
      </c>
    </row>
    <row r="148">
      <c r="A148" s="22" t="n">
        <v>85.5</v>
      </c>
      <c r="B148" s="22" t="inlineStr">
        <is>
          <t>Водоспад</t>
        </is>
      </c>
      <c r="C148" s="22" t="inlineStr">
        <is>
          <t>75106-8/M.B.</t>
        </is>
      </c>
      <c r="D148" s="22" t="inlineStr">
        <is>
          <t>39926</t>
        </is>
      </c>
      <c r="E148" s="21" t="inlineStr">
        <is>
          <t>Рукавички садові Protect Bellota розмір М (75106-8/M.B.) Іспанія</t>
        </is>
      </c>
      <c r="F148" s="21" t="inlineStr">
        <is>
          <t>Рукавички садові Bellota (75106-8/M)</t>
        </is>
      </c>
      <c r="G148" s="23" t="n">
        <v>529</v>
      </c>
      <c r="H148" s="23" t="n">
        <v>529</v>
      </c>
      <c r="I148" s="21" t="inlineStr">
        <is>
          <t>назви схожі, але різні коди виробника</t>
        </is>
      </c>
    </row>
    <row r="149">
      <c r="A149" s="22" t="n">
        <v>85.5</v>
      </c>
      <c r="B149" s="22" t="inlineStr">
        <is>
          <t>Клуб Рослин</t>
        </is>
      </c>
      <c r="C149" s="22" t="inlineStr">
        <is>
          <t>2994.B</t>
        </is>
      </c>
      <c r="D149" s="22" t="inlineStr">
        <is>
          <t>14023</t>
        </is>
      </c>
      <c r="E149" s="21" t="inlineStr">
        <is>
          <t>Набір садових інструментів із скловолокна 3 предмета Bellota (2994.B) Іспанія</t>
        </is>
      </c>
      <c r="F149" s="21" t="inlineStr">
        <is>
          <t>Набір садових інструментів (3 од.) Bellota, 2994.B</t>
        </is>
      </c>
      <c r="G149" s="23" t="n">
        <v>799</v>
      </c>
      <c r="H149" s="23" t="n">
        <v>799</v>
      </c>
      <c r="I149" s="21" t="inlineStr">
        <is>
          <t>назви схожі, різняться словами: предмета, скловолокна</t>
        </is>
      </c>
    </row>
    <row r="150">
      <c r="A150" s="22" t="n">
        <v>85.40000000000001</v>
      </c>
      <c r="B150" s="22" t="inlineStr">
        <is>
          <t>Водоспад</t>
        </is>
      </c>
      <c r="C150" s="22" t="inlineStr">
        <is>
          <t>75106-10/XL.B.</t>
        </is>
      </c>
      <c r="D150" s="22" t="inlineStr">
        <is>
          <t>39928</t>
        </is>
      </c>
      <c r="E150" s="21" t="inlineStr">
        <is>
          <t>Рукавички садові Protect Bellota розмір XL (75106-10/XL.B.) Іспанія</t>
        </is>
      </c>
      <c r="F150" s="21" t="inlineStr">
        <is>
          <t>Рукавички садові Bellota (75106-10/XL)</t>
        </is>
      </c>
      <c r="G150" s="23" t="n">
        <v>529</v>
      </c>
      <c r="H150" s="23" t="n">
        <v>529</v>
      </c>
      <c r="I150" s="21" t="inlineStr">
        <is>
          <t>назви схожі, але різні коди виробника</t>
        </is>
      </c>
    </row>
    <row r="151">
      <c r="A151" s="22" t="n">
        <v>85.3</v>
      </c>
      <c r="B151" s="22" t="inlineStr">
        <is>
          <t>Водоспад</t>
        </is>
      </c>
      <c r="C151" s="22" t="inlineStr">
        <is>
          <t>CB-9Z</t>
        </is>
      </c>
      <c r="D151" s="22" t="inlineStr">
        <is>
          <t>38706</t>
        </is>
      </c>
      <c r="E151" s="21" t="inlineStr">
        <is>
          <t>Секатор АРС / ARS (CB-9Z) садовий обвідний Японія</t>
        </is>
      </c>
      <c r="F151" s="21" t="inlineStr">
        <is>
          <t>Садовий секатор ARS (CB-9Z)</t>
        </is>
      </c>
      <c r="G151" s="23" t="n">
        <v>1880</v>
      </c>
      <c r="H151" s="23" t="n">
        <v>1880</v>
      </c>
      <c r="I151" s="21" t="inlineStr">
        <is>
          <t>назви схожі, різняться словами: обвідний</t>
        </is>
      </c>
    </row>
    <row r="152">
      <c r="A152" s="22" t="n">
        <v>85.3</v>
      </c>
      <c r="B152" s="22" t="inlineStr">
        <is>
          <t>Водоспад</t>
        </is>
      </c>
      <c r="C152" s="22" t="inlineStr">
        <is>
          <t>CB-8Z</t>
        </is>
      </c>
      <c r="D152" s="22" t="inlineStr">
        <is>
          <t>38704</t>
        </is>
      </c>
      <c r="E152" s="21" t="inlineStr">
        <is>
          <t>Секатор АРС / ARS (CB-8Z ) садовий обвідний Японія</t>
        </is>
      </c>
      <c r="F152" s="21" t="inlineStr">
        <is>
          <t>Садовий секатор ARS (CB-8Z)</t>
        </is>
      </c>
      <c r="G152" s="23" t="n">
        <v>1730</v>
      </c>
      <c r="H152" s="23" t="n">
        <v>1730</v>
      </c>
      <c r="I152" s="21" t="inlineStr">
        <is>
          <t>назви схожі, різняться словами: обвідний</t>
        </is>
      </c>
    </row>
    <row r="153">
      <c r="A153" s="22" t="n">
        <v>85.3</v>
      </c>
      <c r="B153" s="22" t="inlineStr">
        <is>
          <t>Клуб Рослин</t>
        </is>
      </c>
      <c r="C153" s="22" t="inlineStr">
        <is>
          <t>1000685</t>
        </is>
      </c>
      <c r="D153" s="22" t="inlineStr">
        <is>
          <t>10364</t>
        </is>
      </c>
      <c r="E153" s="21" t="inlineStr">
        <is>
          <t>Ручний культиватор Fiskars QuikFit 136517 (1000685) Фінляндія</t>
        </is>
      </c>
      <c r="F153" s="21" t="inlineStr">
        <is>
          <t>Культиватор Fiskars QuikFit 136511 ручний</t>
        </is>
      </c>
      <c r="G153" s="23" t="n">
        <v>1049</v>
      </c>
      <c r="H153" s="23" t="n">
        <v>480</v>
      </c>
      <c r="I153" s="21" t="inlineStr">
        <is>
          <t>назви схожі, але різні коди виробника</t>
        </is>
      </c>
    </row>
    <row r="154">
      <c r="A154" s="22" t="n">
        <v>85.3</v>
      </c>
      <c r="B154" s="22" t="inlineStr">
        <is>
          <t>Клуб Рослин</t>
        </is>
      </c>
      <c r="C154" s="22" t="inlineStr">
        <is>
          <t>1-3000</t>
        </is>
      </c>
      <c r="D154" s="22" t="inlineStr">
        <is>
          <t>16398</t>
        </is>
      </c>
      <c r="E154" s="21" t="inlineStr">
        <is>
          <t>Садова замазка з фунгіцидом Арбосан / Arbosan 350 г Bio Plantella Словенія</t>
        </is>
      </c>
      <c r="F154" s="21" t="inlineStr">
        <is>
          <t>Лак-бальзам Bio Plantella Arbosan з фунгіцидом садова замазка з пензликом, 350 г (Арбосан Біо)</t>
        </is>
      </c>
      <c r="G154" s="23" t="n">
        <v>349</v>
      </c>
      <c r="H154" s="23" t="n">
        <v>349</v>
      </c>
      <c r="I154" s="21" t="inlineStr">
        <is>
          <t>назви схожі, різняться словами: бальзам, пензликом, словенія</t>
        </is>
      </c>
    </row>
    <row r="155">
      <c r="A155" s="22" t="n">
        <v>85.2</v>
      </c>
      <c r="B155" s="22" t="inlineStr">
        <is>
          <t>Клуб Рослин</t>
        </is>
      </c>
      <c r="C155" s="22" t="inlineStr">
        <is>
          <t>m0007</t>
        </is>
      </c>
      <c r="D155" s="22" t="inlineStr">
        <is>
          <t>14752</t>
        </is>
      </c>
      <c r="E155" s="21" t="inlineStr">
        <is>
          <t>Фунгіцид Тіовіт Джет 80 в.г. 40г</t>
        </is>
      </c>
      <c r="F155" s="21" t="inlineStr">
        <is>
          <t>Фунгіцид Тіовіт Джет 80 (сірка 800 г/кг) WG в.г. 40 г, Syngenta</t>
        </is>
      </c>
      <c r="G155" s="23" t="n">
        <v>28</v>
      </c>
      <c r="H155" s="23" t="n">
        <v>39</v>
      </c>
      <c r="I155" s="21" t="inlineStr">
        <is>
          <t>назви схожі, різняться словами: syngenta, wg, сірка</t>
        </is>
      </c>
    </row>
    <row r="156">
      <c r="A156" s="22" t="n">
        <v>85.09999999999999</v>
      </c>
      <c r="B156" s="22" t="inlineStr">
        <is>
          <t>Водоспад</t>
        </is>
      </c>
      <c r="C156" s="22" t="inlineStr">
        <is>
          <t>VA-8Z</t>
        </is>
      </c>
      <c r="D156" s="22" t="inlineStr">
        <is>
          <t>41100</t>
        </is>
      </c>
      <c r="E156" s="21" t="inlineStr">
        <is>
          <t>Секатор АРС / ARS (VA-8Z) професійний з коваделком Японія</t>
        </is>
      </c>
      <c r="F156" s="21" t="inlineStr">
        <is>
          <t>Секатор ARS VA-8Z професійний з ковадлом (VA-8Z)</t>
        </is>
      </c>
      <c r="G156" s="23" t="n">
        <v>2299</v>
      </c>
      <c r="H156" s="23" t="n">
        <v>2299</v>
      </c>
      <c r="I156" s="21" t="inlineStr">
        <is>
          <t>назви схожі, різняться словами: коваделком, ковадлом</t>
        </is>
      </c>
    </row>
    <row r="157">
      <c r="A157" s="22" t="n">
        <v>85.09999999999999</v>
      </c>
      <c r="B157" s="22" t="inlineStr">
        <is>
          <t>Водоспад</t>
        </is>
      </c>
      <c r="C157" s="22" t="inlineStr">
        <is>
          <t>VA-7Z</t>
        </is>
      </c>
      <c r="D157" s="22" t="inlineStr">
        <is>
          <t>41099</t>
        </is>
      </c>
      <c r="E157" s="21" t="inlineStr">
        <is>
          <t>Секатор АРС / ARS (VA-7Z) професійний з коваделком Японія</t>
        </is>
      </c>
      <c r="F157" s="21" t="inlineStr">
        <is>
          <t>Секатор ARS VA-7Z професійний з ковадлом (VA-7Z)</t>
        </is>
      </c>
      <c r="G157" s="23" t="n">
        <v>2195</v>
      </c>
      <c r="H157" s="23" t="n">
        <v>2195</v>
      </c>
      <c r="I157" s="21" t="inlineStr">
        <is>
          <t>назви схожі, різняться словами: коваделком, ковадлом</t>
        </is>
      </c>
    </row>
    <row r="158">
      <c r="A158" s="22" t="n">
        <v>85.09999999999999</v>
      </c>
      <c r="B158" s="22" t="inlineStr">
        <is>
          <t>Клуб Рослин</t>
        </is>
      </c>
      <c r="C158" s="22" t="inlineStr">
        <is>
          <t>3234</t>
        </is>
      </c>
      <c r="D158" s="22" t="inlineStr">
        <is>
          <t>15606</t>
        </is>
      </c>
      <c r="E158" s="21" t="inlineStr">
        <is>
          <t>Фунгіцид Мідний купорос сульфат міді 25 кг Україна</t>
        </is>
      </c>
      <c r="F158" s="21" t="inlineStr">
        <is>
          <t>Фунгіцид Мідний купорос (мідь сірчанокисла, сульфат міді), 1 кг</t>
        </is>
      </c>
      <c r="G158" s="23" t="n">
        <v>5248</v>
      </c>
      <c r="H158" s="23" t="n">
        <v>240</v>
      </c>
      <c r="I158" s="21" t="inlineStr">
        <is>
          <t>назви схожі, але різні об'єми або розміри</t>
        </is>
      </c>
    </row>
    <row r="159">
      <c r="A159" s="22" t="n">
        <v>85.09999999999999</v>
      </c>
      <c r="B159" s="22" t="inlineStr">
        <is>
          <t>Клуб Рослин</t>
        </is>
      </c>
      <c r="C159" s="22" t="inlineStr">
        <is>
          <t>2262</t>
        </is>
      </c>
      <c r="D159" s="22" t="inlineStr">
        <is>
          <t>9824</t>
        </is>
      </c>
      <c r="E159" s="21" t="inlineStr">
        <is>
          <t>Інсектицид Альфа-Супер 500 мл Сімейний Сад Україна</t>
        </is>
      </c>
      <c r="F159" s="21" t="inlineStr">
        <is>
          <t>Інсектицид Альфа Супер К.Е. (альфа-циперметрин) 500 мл Сімейний Сад</t>
        </is>
      </c>
      <c r="G159" s="23" t="n">
        <v>410</v>
      </c>
      <c r="H159" s="23" t="n">
        <v>475</v>
      </c>
      <c r="I159" s="21" t="inlineStr">
        <is>
          <t>назви схожі, різняться словами: циперметрин</t>
        </is>
      </c>
    </row>
    <row r="160">
      <c r="A160" s="22" t="n">
        <v>84.90000000000001</v>
      </c>
      <c r="B160" s="22" t="inlineStr">
        <is>
          <t>Клуб Рослин</t>
        </is>
      </c>
      <c r="C160" s="22" t="inlineStr">
        <is>
          <t>7244</t>
        </is>
      </c>
      <c r="D160" s="22" t="inlineStr">
        <is>
          <t>9234</t>
        </is>
      </c>
      <c r="E160" s="21" t="inlineStr">
        <is>
          <t>Добриво Терафлекс Квітковий Terraflex F (18-6-19 + 3 MgO + TЕ) 2 кг SmartGrow Бельгія</t>
        </is>
      </c>
      <c r="F160" s="21" t="inlineStr">
        <is>
          <t>Добриво Terraflex F 18-6-19+3MgO+TE (Терафлекс), 2 кг</t>
        </is>
      </c>
      <c r="G160" s="23" t="n">
        <v>475</v>
      </c>
      <c r="H160" s="23" t="n">
        <v>374</v>
      </c>
      <c r="I160" s="21" t="inlineStr">
        <is>
          <t>назви схожі, різняться словами: mgo, smartgrow, квітковий</t>
        </is>
      </c>
    </row>
    <row r="161">
      <c r="A161" s="22" t="n">
        <v>84.90000000000001</v>
      </c>
      <c r="B161" s="22" t="inlineStr">
        <is>
          <t>Клуб Рослин</t>
        </is>
      </c>
      <c r="C161" s="22" t="inlineStr">
        <is>
          <t>8091</t>
        </is>
      </c>
      <c r="D161" s="22" t="inlineStr">
        <is>
          <t>13641</t>
        </is>
      </c>
      <c r="E161" s="21" t="inlineStr">
        <is>
          <t>Добриво Osmocote / Хобі Осмокот для квітучих рослин 12-7-18 (2-3 М) ICL 1 кг Ізраїль</t>
        </is>
      </c>
      <c r="F161" s="21" t="inlineStr">
        <is>
          <t>Добриво тривалої дії Хобі Осмокот для квітучих рослин 12-7-18+Te (2-3 місяця), 1 кг - Osmocote</t>
        </is>
      </c>
      <c r="G161" s="23" t="n">
        <v>459</v>
      </c>
      <c r="H161" s="23" t="n">
        <v>280</v>
      </c>
      <c r="I161" s="21" t="inlineStr">
        <is>
          <t>назви схожі, різняться словами: icl, місяця, тривалої</t>
        </is>
      </c>
    </row>
    <row r="162">
      <c r="A162" s="22" t="n">
        <v>84.8</v>
      </c>
      <c r="B162" s="22" t="inlineStr">
        <is>
          <t>Водоспад</t>
        </is>
      </c>
      <c r="C162" s="22" t="inlineStr">
        <is>
          <t>ddd10bb3-abba-11ee-bf43-c87f546feb15</t>
        </is>
      </c>
      <c r="D162" s="22" t="inlineStr">
        <is>
          <t>39929</t>
        </is>
      </c>
      <c r="E162" s="21" t="inlineStr">
        <is>
          <t>Ножиці для трави</t>
        </is>
      </c>
      <c r="F162" s="21" t="inlineStr">
        <is>
          <t>Ножиці для трави Bellota (3555/B)</t>
        </is>
      </c>
      <c r="G162" s="23" t="n"/>
      <c r="H162" s="23" t="n">
        <v>1029</v>
      </c>
      <c r="I162" s="21" t="inlineStr">
        <is>
          <t>назви схожі, різняться словами: bellota</t>
        </is>
      </c>
    </row>
    <row r="163">
      <c r="A163" s="22" t="n">
        <v>84.8</v>
      </c>
      <c r="B163" s="22" t="inlineStr">
        <is>
          <t>Клуб Рослин</t>
        </is>
      </c>
      <c r="C163" s="22" t="inlineStr">
        <is>
          <t>260</t>
        </is>
      </c>
      <c r="D163" s="22" t="inlineStr">
        <is>
          <t>14602</t>
        </is>
      </c>
      <c r="E163" s="21" t="inlineStr">
        <is>
          <t>Гілкоріз обвідний Альпен Вейссхорн / Alpen Weisshorn (260) Швейцарія</t>
        </is>
      </c>
      <c r="F163" s="21" t="inlineStr">
        <is>
          <t>Сучкоріз Alpen Weisshorn 260 обвідний (Альпен Вейссхорн 260)</t>
        </is>
      </c>
      <c r="G163" s="23" t="n">
        <v>2075</v>
      </c>
      <c r="H163" s="23" t="n">
        <v>2075</v>
      </c>
      <c r="I163" s="21" t="inlineStr">
        <is>
          <t>назви схожі, різняться словами: гілкоріз, сучкоріз</t>
        </is>
      </c>
    </row>
    <row r="164">
      <c r="A164" s="22" t="n">
        <v>84.7</v>
      </c>
      <c r="B164" s="22" t="inlineStr">
        <is>
          <t>Клуб Рослин</t>
        </is>
      </c>
      <c r="C164" s="22" t="inlineStr">
        <is>
          <t>630/11</t>
        </is>
      </c>
      <c r="D164" s="22" t="inlineStr">
        <is>
          <t>10941</t>
        </is>
      </c>
      <c r="E164" s="21" t="inlineStr">
        <is>
          <t>Ніж садовий для обрізки Тіна / Tina (630/11) Німеччина</t>
        </is>
      </c>
      <c r="F164" s="21" t="inlineStr">
        <is>
          <t>Ніж Tina 630/11 для обрізки</t>
        </is>
      </c>
      <c r="G164" s="23" t="n">
        <v>6999</v>
      </c>
      <c r="H164" s="23" t="n">
        <v>6999</v>
      </c>
      <c r="I164" s="21" t="inlineStr">
        <is>
          <t>назви схожі, різняться словами: садовий, тіна</t>
        </is>
      </c>
    </row>
    <row r="165">
      <c r="A165" s="22" t="n">
        <v>84.7</v>
      </c>
      <c r="B165" s="22" t="inlineStr">
        <is>
          <t>Клуб Рослин</t>
        </is>
      </c>
      <c r="C165" s="22" t="inlineStr">
        <is>
          <t>626/11</t>
        </is>
      </c>
      <c r="D165" s="22" t="inlineStr">
        <is>
          <t>10940</t>
        </is>
      </c>
      <c r="E165" s="21" t="inlineStr">
        <is>
          <t>Ніж садовий для обрізки Тіна / Tina (626/11) Німеччина</t>
        </is>
      </c>
      <c r="F165" s="21" t="inlineStr">
        <is>
          <t>Ніж Tina 626/11 для обрізки</t>
        </is>
      </c>
      <c r="G165" s="23" t="n">
        <v>6599</v>
      </c>
      <c r="H165" s="23" t="n">
        <v>6599</v>
      </c>
      <c r="I165" s="21" t="inlineStr">
        <is>
          <t>назви схожі, різняться словами: садовий, тіна</t>
        </is>
      </c>
    </row>
    <row r="166">
      <c r="A166" s="22" t="n">
        <v>84.7</v>
      </c>
      <c r="B166" s="22" t="inlineStr">
        <is>
          <t>Клуб Рослин</t>
        </is>
      </c>
      <c r="C166" s="22" t="inlineStr">
        <is>
          <t>K-900Z</t>
        </is>
      </c>
      <c r="D166" s="22" t="inlineStr">
        <is>
          <t>11015</t>
        </is>
      </c>
      <c r="E166" s="21" t="inlineStr">
        <is>
          <t>Ножиці для кущів АРС / ARS (К-900Z) Японія</t>
        </is>
      </c>
      <c r="F166" s="21" t="inlineStr">
        <is>
          <t>Ножиці для кущів ARS K-800 (АРС K-800)</t>
        </is>
      </c>
      <c r="G166" s="23" t="n">
        <v>3690</v>
      </c>
      <c r="H166" s="23" t="n">
        <v>2389</v>
      </c>
      <c r="I166" s="21" t="inlineStr">
        <is>
          <t>назви схожі, але різні коди виробника</t>
        </is>
      </c>
    </row>
    <row r="167">
      <c r="A167" s="22" t="n">
        <v>84.7</v>
      </c>
      <c r="B167" s="22" t="inlineStr">
        <is>
          <t>Клуб Рослин</t>
        </is>
      </c>
      <c r="C167" s="22" t="inlineStr">
        <is>
          <t>3612.B</t>
        </is>
      </c>
      <c r="D167" s="22" t="inlineStr">
        <is>
          <t>11877</t>
        </is>
      </c>
      <c r="E167" s="21" t="inlineStr">
        <is>
          <t>Секатор довгомірний телескопічний 1500 мм Bellota (3612.B) Іспанія</t>
        </is>
      </c>
      <c r="F167" s="21" t="inlineStr">
        <is>
          <t>Секатор Bellota 3612 телескопічний</t>
        </is>
      </c>
      <c r="G167" s="23" t="n">
        <v>3429</v>
      </c>
      <c r="H167" s="23" t="n">
        <v>3429</v>
      </c>
      <c r="I167" s="21" t="inlineStr">
        <is>
          <t>назви схожі, різняться словами: довгомірний</t>
        </is>
      </c>
    </row>
    <row r="168">
      <c r="A168" s="22" t="n">
        <v>84.7</v>
      </c>
      <c r="B168" s="22" t="inlineStr">
        <is>
          <t>Клуб Рослин</t>
        </is>
      </c>
      <c r="C168" s="22" t="inlineStr">
        <is>
          <t>613/20</t>
        </is>
      </c>
      <c r="D168" s="22" t="inlineStr">
        <is>
          <t>11022</t>
        </is>
      </c>
      <c r="E168" s="21" t="inlineStr">
        <is>
          <t>Ножиці для кущів Due Buoi 613/20 Італія</t>
        </is>
      </c>
      <c r="F168" s="21" t="inlineStr">
        <is>
          <t>Ножиці для кущів Due Buoi 613/20 (Дюе Буаі)</t>
        </is>
      </c>
      <c r="G168" s="23" t="n">
        <v>1990</v>
      </c>
      <c r="H168" s="23" t="n">
        <v>1990</v>
      </c>
      <c r="I168" s="21" t="inlineStr">
        <is>
          <t>назви схожі, різняться словами: буаі</t>
        </is>
      </c>
    </row>
    <row r="169">
      <c r="A169" s="22" t="n">
        <v>84.7</v>
      </c>
      <c r="B169" s="22" t="inlineStr">
        <is>
          <t>Клуб Рослин</t>
        </is>
      </c>
      <c r="C169" s="22" t="inlineStr">
        <is>
          <t>2021</t>
        </is>
      </c>
      <c r="D169" s="22" t="inlineStr">
        <is>
          <t>14086</t>
        </is>
      </c>
      <c r="E169" s="21" t="inlineStr">
        <is>
          <t>Інсектицид Турбо Престо 500 мл Сімейний Сад</t>
        </is>
      </c>
      <c r="F169" s="21" t="inlineStr">
        <is>
          <t>Інсектицид Турбо Престо М.Д. (клотіанідін + лямбда-цигалотрин + ПЕГ) 500 мл Сімейний Сад</t>
        </is>
      </c>
      <c r="G169" s="23" t="n">
        <v>775</v>
      </c>
      <c r="H169" s="23" t="n">
        <v>856</v>
      </c>
      <c r="I169" s="21" t="inlineStr">
        <is>
          <t>назви схожі, різняться словами: клотіанідін, лямбда, цигалотрин</t>
        </is>
      </c>
    </row>
    <row r="170">
      <c r="A170" s="22" t="n">
        <v>84.59999999999999</v>
      </c>
      <c r="B170" s="22" t="inlineStr">
        <is>
          <t>Водоспад</t>
        </is>
      </c>
      <c r="C170" s="22" t="inlineStr">
        <is>
          <t>247P</t>
        </is>
      </c>
      <c r="D170" s="22" t="inlineStr">
        <is>
          <t>33174</t>
        </is>
      </c>
      <c r="E170" s="21" t="inlineStr">
        <is>
          <t>Щеплювальний ніж Due Buoi 247P Італія</t>
        </is>
      </c>
      <c r="F170" s="21" t="inlineStr">
        <is>
          <t>Окулювальний ніж Due Buoi 214P-SP-OT (Італія)</t>
        </is>
      </c>
      <c r="G170" s="23" t="n">
        <v>1990</v>
      </c>
      <c r="H170" s="23" t="n">
        <v>870</v>
      </c>
      <c r="I170" s="21" t="inlineStr">
        <is>
          <t>назви схожі, різняться словами: окулювальний, щеплювальний</t>
        </is>
      </c>
    </row>
    <row r="171">
      <c r="A171" s="22" t="n">
        <v>84.59999999999999</v>
      </c>
      <c r="B171" s="22" t="inlineStr">
        <is>
          <t>Клуб Рослин</t>
        </is>
      </c>
      <c r="C171" s="22" t="inlineStr">
        <is>
          <t>980</t>
        </is>
      </c>
      <c r="D171" s="22" t="inlineStr">
        <is>
          <t>12362</t>
        </is>
      </c>
      <c r="E171" s="21" t="inlineStr">
        <is>
          <t>Спрей для очищення і захисту​​​​​​​ Фелко / Felco 980 Швейцарія</t>
        </is>
      </c>
      <c r="F171" s="21" t="inlineStr">
        <is>
          <t>Спрей для очищування і захисту Felco 980 (Фелко 980)</t>
        </is>
      </c>
      <c r="G171" s="23" t="n">
        <v>669</v>
      </c>
      <c r="H171" s="23" t="n">
        <v>669</v>
      </c>
      <c r="I171" s="21" t="inlineStr">
        <is>
          <t>назви схожі, різняться словами: очищення, очищування</t>
        </is>
      </c>
    </row>
    <row r="172">
      <c r="A172" s="22" t="n">
        <v>84.59999999999999</v>
      </c>
      <c r="B172" s="22" t="inlineStr">
        <is>
          <t>Клуб Рослин</t>
        </is>
      </c>
      <c r="C172" s="22" t="inlineStr">
        <is>
          <t>1-200</t>
        </is>
      </c>
      <c r="D172" s="22" t="inlineStr">
        <is>
          <t>14962</t>
        </is>
      </c>
      <c r="E172" s="21" t="inlineStr">
        <is>
          <t>Садова замазка Balsam Pro / Бальзам Про 200 г Royal Mix</t>
        </is>
      </c>
      <c r="F172" s="21" t="inlineStr">
        <is>
          <t>Садова замазка Balsam Pro Royal Mix 500 г (Роял Мікс)</t>
        </is>
      </c>
      <c r="G172" s="23" t="n">
        <v>329</v>
      </c>
      <c r="H172" s="23" t="n">
        <v>550</v>
      </c>
      <c r="I172" s="21" t="inlineStr">
        <is>
          <t>назви схожі, але різні об'єми або розміри</t>
        </is>
      </c>
    </row>
    <row r="173">
      <c r="A173" s="22" t="n">
        <v>84.5</v>
      </c>
      <c r="B173" s="22" t="inlineStr">
        <is>
          <t>Водоспад</t>
        </is>
      </c>
      <c r="C173" s="22" t="inlineStr">
        <is>
          <t>1.107</t>
        </is>
      </c>
      <c r="D173" s="22" t="inlineStr">
        <is>
          <t>32335</t>
        </is>
      </c>
      <c r="E173" s="21" t="inlineStr">
        <is>
          <t>Секатор з ковадлом Льове / Lowe Original (1.107) Німеччина</t>
        </is>
      </c>
      <c r="F173" s="21" t="inlineStr">
        <is>
          <t>Секатор з ковадлом LOWE Original 2.107 (2.107)</t>
        </is>
      </c>
      <c r="G173" s="23" t="n">
        <v>2220</v>
      </c>
      <c r="H173" s="23" t="n">
        <v>2440</v>
      </c>
      <c r="I173" s="21" t="inlineStr">
        <is>
          <t>назви схожі, різняться словами: льове</t>
        </is>
      </c>
    </row>
    <row r="174">
      <c r="A174" s="22" t="n">
        <v>84.40000000000001</v>
      </c>
      <c r="B174" s="22" t="inlineStr">
        <is>
          <t>Клуб Рослин</t>
        </is>
      </c>
      <c r="C174" s="22" t="inlineStr">
        <is>
          <t>2182</t>
        </is>
      </c>
      <c r="D174" s="22" t="inlineStr">
        <is>
          <t>14082</t>
        </is>
      </c>
      <c r="E174" s="21" t="inlineStr">
        <is>
          <t>Інсектицид Турбо Престо 3 Active (Актив) 500 мл Сімейний Сад</t>
        </is>
      </c>
      <c r="F174" s="21" t="inlineStr">
        <is>
          <t>Інсектицид Турбо Престо 3 Active К.С. (клотіанідін + лямбда-цигалотрин + ППБ) 500 мл Сімейний Сад</t>
        </is>
      </c>
      <c r="G174" s="23" t="n">
        <v>1142</v>
      </c>
      <c r="H174" s="23" t="n">
        <v>1569</v>
      </c>
      <c r="I174" s="21" t="inlineStr">
        <is>
          <t>назви схожі, різняться словами: актив, клотіанідін, лямбда та ще 1</t>
        </is>
      </c>
    </row>
    <row r="175">
      <c r="A175" s="22" t="n">
        <v>84.40000000000001</v>
      </c>
      <c r="B175" s="22" t="inlineStr">
        <is>
          <t>Клуб Рослин</t>
        </is>
      </c>
      <c r="C175" s="22" t="inlineStr">
        <is>
          <t>m20002</t>
        </is>
      </c>
      <c r="D175" s="22" t="inlineStr">
        <is>
          <t>14714</t>
        </is>
      </c>
      <c r="E175" s="21" t="inlineStr">
        <is>
          <t>Інсектицид Актара 25 WG в.г. 1,4г.</t>
        </is>
      </c>
      <c r="F175" s="21" t="inlineStr">
        <is>
          <t>Інсектицид Актара 25 (тіаметоксам 250 г/кг) WG в.г. 1,4 г, Syngenta</t>
        </is>
      </c>
      <c r="G175" s="23" t="n">
        <v>14</v>
      </c>
      <c r="H175" s="23" t="n">
        <v>19</v>
      </c>
      <c r="I175" s="21" t="inlineStr">
        <is>
          <t>назви схожі, різняться словами: syngenta, тіаметоксам</t>
        </is>
      </c>
    </row>
    <row r="176">
      <c r="A176" s="22" t="n">
        <v>84.3</v>
      </c>
      <c r="B176" s="22" t="inlineStr">
        <is>
          <t>Клуб Рослин</t>
        </is>
      </c>
      <c r="C176" s="22" t="inlineStr">
        <is>
          <t>930</t>
        </is>
      </c>
      <c r="D176" s="22" t="inlineStr">
        <is>
          <t>14624</t>
        </is>
      </c>
      <c r="E176" s="21" t="inlineStr">
        <is>
          <t>Набір для догляду за інструментом Felco / Фелко 930 Швейцарія</t>
        </is>
      </c>
      <c r="F176" s="21" t="inlineStr">
        <is>
          <t>Набір Felco 930 для догляду за інструментом (Фелко 903 + 980 + 990 + ключі)</t>
        </is>
      </c>
      <c r="G176" s="23" t="n">
        <v>3560</v>
      </c>
      <c r="H176" s="23" t="n">
        <v>3560</v>
      </c>
      <c r="I176" s="21" t="inlineStr">
        <is>
          <t>назви схожі, різняться словами: ключі</t>
        </is>
      </c>
    </row>
    <row r="177">
      <c r="A177" s="22" t="n">
        <v>84.3</v>
      </c>
      <c r="B177" s="22" t="inlineStr">
        <is>
          <t>Клуб Рослин</t>
        </is>
      </c>
      <c r="C177" s="22" t="inlineStr">
        <is>
          <t>2286</t>
        </is>
      </c>
      <c r="D177" s="22" t="inlineStr">
        <is>
          <t>14078</t>
        </is>
      </c>
      <c r="E177" s="21" t="inlineStr">
        <is>
          <t>Грунтовий інсектицид Твікс 100 мл Сімейний Сад Україна</t>
        </is>
      </c>
      <c r="F177" s="21" t="inlineStr">
        <is>
          <t>Інсектицид Твікс К.Е. (хлорпирифос + циперметрин) грунтовий 100 мл Сімейний Сад</t>
        </is>
      </c>
      <c r="G177" s="23" t="n">
        <v>148</v>
      </c>
      <c r="H177" s="23" t="n">
        <v>147</v>
      </c>
      <c r="I177" s="21" t="inlineStr">
        <is>
          <t>назви схожі, різняться словами: хлорпирифос, циперметрин</t>
        </is>
      </c>
    </row>
    <row r="178">
      <c r="A178" s="22" t="n">
        <v>84.2</v>
      </c>
      <c r="B178" s="22" t="inlineStr">
        <is>
          <t>Клуб Рослин</t>
        </is>
      </c>
      <c r="C178" s="22" t="inlineStr">
        <is>
          <t>210/30</t>
        </is>
      </c>
      <c r="D178" s="22" t="inlineStr">
        <is>
          <t>11292</t>
        </is>
      </c>
      <c r="E178" s="21" t="inlineStr">
        <is>
          <t>Пила пряма в кобурі Due Buoi RS 210/30 Італія</t>
        </is>
      </c>
      <c r="F178" s="21" t="inlineStr">
        <is>
          <t>Пила пряма в кобурі Due Buoi RS 210/30 (Дуе Буаі 210/30)</t>
        </is>
      </c>
      <c r="G178" s="23" t="n">
        <v>1190</v>
      </c>
      <c r="H178" s="23" t="n">
        <v>1190</v>
      </c>
      <c r="I178" s="21" t="inlineStr">
        <is>
          <t>назви схожі, різняться словами: буаі</t>
        </is>
      </c>
    </row>
    <row r="179">
      <c r="A179" s="22" t="n">
        <v>84.09999999999999</v>
      </c>
      <c r="B179" s="22" t="inlineStr">
        <is>
          <t>Водоспад</t>
        </is>
      </c>
      <c r="C179" s="22" t="inlineStr">
        <is>
          <t>ddd10be1-abba-11ee-bf43-c87f546feb15</t>
        </is>
      </c>
      <c r="D179" s="22" t="inlineStr">
        <is>
          <t>32509</t>
        </is>
      </c>
      <c r="E179" s="21" t="inlineStr">
        <is>
          <t>Окуляри захисні</t>
        </is>
      </c>
      <c r="F179" s="21" t="inlineStr">
        <is>
          <t>Окуляри захисні Estwing N6 (N6)</t>
        </is>
      </c>
      <c r="G179" s="23" t="n"/>
      <c r="H179" s="23" t="n">
        <v>275</v>
      </c>
      <c r="I179" s="21" t="inlineStr">
        <is>
          <t>назви схожі, різняться словами: estwing</t>
        </is>
      </c>
    </row>
    <row r="180">
      <c r="A180" s="22" t="n">
        <v>84.09999999999999</v>
      </c>
      <c r="B180" s="22" t="inlineStr">
        <is>
          <t>Клуб Рослин</t>
        </is>
      </c>
      <c r="C180" s="22" t="inlineStr">
        <is>
          <t>266L</t>
        </is>
      </c>
      <c r="D180" s="22" t="inlineStr">
        <is>
          <t>9841</t>
        </is>
      </c>
      <c r="E180" s="21" t="inlineStr">
        <is>
          <t>Ніж для щеплення горіха Due Buoi 266L Італія</t>
        </is>
      </c>
      <c r="F180" s="21" t="inlineStr">
        <is>
          <t>Інструмент Due Buoi 266L для щеплення горіха</t>
        </is>
      </c>
      <c r="G180" s="23" t="n">
        <v>1725</v>
      </c>
      <c r="H180" s="23" t="n">
        <v>1725</v>
      </c>
      <c r="I180" s="21" t="inlineStr">
        <is>
          <t>назви схожі, різняться словами: інструмент</t>
        </is>
      </c>
    </row>
    <row r="181">
      <c r="A181" s="22" t="n">
        <v>84.09999999999999</v>
      </c>
      <c r="B181" s="22" t="inlineStr">
        <is>
          <t>Клуб Рослин</t>
        </is>
      </c>
      <c r="C181" s="22" t="inlineStr">
        <is>
          <t>3170</t>
        </is>
      </c>
      <c r="D181" s="22" t="inlineStr">
        <is>
          <t>14107</t>
        </is>
      </c>
      <c r="E181" s="21" t="inlineStr">
        <is>
          <t>Фунгіцид Фундазол 200 г Сімейний Сад Україна</t>
        </is>
      </c>
      <c r="F181" s="21" t="inlineStr">
        <is>
          <t>Фунгіцид Фундазол З.П. (беноміл) 200 г Сімейний Сад</t>
        </is>
      </c>
      <c r="G181" s="23" t="n">
        <v>338</v>
      </c>
      <c r="H181" s="23" t="n">
        <v>350</v>
      </c>
      <c r="I181" s="21" t="inlineStr">
        <is>
          <t>назви схожі, різняться словами: беноміл</t>
        </is>
      </c>
    </row>
    <row r="182">
      <c r="A182" s="22" t="n">
        <v>84.09999999999999</v>
      </c>
      <c r="B182" s="22" t="inlineStr">
        <is>
          <t>Клуб Рослин</t>
        </is>
      </c>
      <c r="C182" s="22" t="inlineStr">
        <is>
          <t>88832</t>
        </is>
      </c>
      <c r="D182" s="22" t="inlineStr">
        <is>
          <t>12283</t>
        </is>
      </c>
      <c r="E182" s="21" t="inlineStr">
        <is>
          <t>Скоби для садового степлера (10000 шт) Flo (88832)</t>
        </is>
      </c>
      <c r="F182" s="21" t="inlineStr">
        <is>
          <t>Скоби до степлера садового TITAN (10000 шт)</t>
        </is>
      </c>
      <c r="G182" s="23" t="n">
        <v>100</v>
      </c>
      <c r="H182" s="23" t="n">
        <v>99</v>
      </c>
      <c r="I182" s="21" t="inlineStr">
        <is>
          <t>назви схожі, але різні бренди</t>
        </is>
      </c>
    </row>
    <row r="183">
      <c r="A183" s="22" t="n">
        <v>84</v>
      </c>
      <c r="B183" s="22" t="inlineStr">
        <is>
          <t>Водоспад</t>
        </is>
      </c>
      <c r="C183" s="22" t="inlineStr">
        <is>
          <t>M-TRIM-ROW</t>
        </is>
      </c>
      <c r="D183" s="22" t="inlineStr">
        <is>
          <t>43346</t>
        </is>
      </c>
      <c r="E183" s="21" t="inlineStr">
        <is>
          <t>Килимок для стрижки рослин в ряд з сумкою 135+140×500 см з полієстеру Oxford 350D (M-TRIM-ROW) Україна</t>
        </is>
      </c>
      <c r="F183" s="21" t="inlineStr">
        <is>
          <t>Килимок для стрижки рослин в ряд 135+140×500 см з полієстеру Oxford 350D на затяжках та кнопках (темно-зелений) з сумкою</t>
        </is>
      </c>
      <c r="G183" s="23" t="n">
        <v>3849</v>
      </c>
      <c r="H183" s="23" t="n">
        <v>3849</v>
      </c>
      <c r="I183" s="21" t="inlineStr">
        <is>
          <t>назви схожі, різняться словами: mtrimrow, затяжках, зелений та ще 2</t>
        </is>
      </c>
    </row>
    <row r="184">
      <c r="A184" s="22" t="n">
        <v>84</v>
      </c>
      <c r="B184" s="22" t="inlineStr">
        <is>
          <t>Водоспад</t>
        </is>
      </c>
      <c r="C184" s="22" t="inlineStr">
        <is>
          <t>5.107</t>
        </is>
      </c>
      <c r="D184" s="22" t="inlineStr">
        <is>
          <t>32337</t>
        </is>
      </c>
      <c r="E184" s="21" t="inlineStr">
        <is>
          <t>Секатор з ковадлом Льове / Lowe Original (5.107) Німеччина</t>
        </is>
      </c>
      <c r="F184" s="21" t="inlineStr">
        <is>
          <t>Маленький секатор з ковадлом LOWE Original 5.107 (5.107)</t>
        </is>
      </c>
      <c r="G184" s="23" t="n">
        <v>1900</v>
      </c>
      <c r="H184" s="23" t="n">
        <v>1900</v>
      </c>
      <c r="I184" s="21" t="inlineStr">
        <is>
          <t>назви схожі, різняться словами: льове, маленький</t>
        </is>
      </c>
    </row>
    <row r="185">
      <c r="A185" s="22" t="n">
        <v>84</v>
      </c>
      <c r="B185" s="22" t="inlineStr">
        <is>
          <t>Клуб Рослин</t>
        </is>
      </c>
      <c r="C185" s="22" t="inlineStr">
        <is>
          <t>16.104</t>
        </is>
      </c>
      <c r="D185" s="22" t="inlineStr">
        <is>
          <t>11961</t>
        </is>
      </c>
      <c r="E185" s="21" t="inlineStr">
        <is>
          <t>Секатор садовий для троянд Льове / Lowe Original (16.104) Німеччина</t>
        </is>
      </c>
      <c r="F185" s="21" t="inlineStr">
        <is>
          <t>Секатор Lowe 16.104 для троянд (Льове 16.104)</t>
        </is>
      </c>
      <c r="G185" s="23" t="n">
        <v>2390</v>
      </c>
      <c r="H185" s="23" t="n">
        <v>2390</v>
      </c>
      <c r="I185" s="21" t="inlineStr">
        <is>
          <t>назви схожі, але різні коди виробника</t>
        </is>
      </c>
    </row>
    <row r="186">
      <c r="A186" s="22" t="n">
        <v>84</v>
      </c>
      <c r="B186" s="22" t="inlineStr">
        <is>
          <t>Клуб Рослин</t>
        </is>
      </c>
      <c r="C186" s="22" t="inlineStr">
        <is>
          <t>16.107</t>
        </is>
      </c>
      <c r="D186" s="22" t="inlineStr">
        <is>
          <t>11962</t>
        </is>
      </c>
      <c r="E186" s="21" t="inlineStr">
        <is>
          <t>Секатор садовий для троянд Льове / Lowe Original (16.107) Німеччина</t>
        </is>
      </c>
      <c r="F186" s="21" t="inlineStr">
        <is>
          <t>Секатор Lowe 16.107 для троянд (Льове 16.107)</t>
        </is>
      </c>
      <c r="G186" s="23" t="n">
        <v>2390</v>
      </c>
      <c r="H186" s="23" t="n">
        <v>2390</v>
      </c>
      <c r="I186" s="21" t="inlineStr">
        <is>
          <t>назви схожі, але різні коди виробника</t>
        </is>
      </c>
    </row>
    <row r="187">
      <c r="A187" s="22" t="n">
        <v>84</v>
      </c>
      <c r="B187" s="22" t="inlineStr">
        <is>
          <t>Клуб Рослин</t>
        </is>
      </c>
      <c r="C187" s="22" t="inlineStr">
        <is>
          <t>41-041</t>
        </is>
      </c>
      <c r="D187" s="22" t="inlineStr">
        <is>
          <t>13915</t>
        </is>
      </c>
      <c r="E187" s="21" t="inlineStr">
        <is>
          <t>Пила садова складна Целлфаст / Cellfast ERGO 25 см 300 г (41-041) Польща</t>
        </is>
      </c>
      <c r="F187" s="21" t="inlineStr">
        <is>
          <t>Пила складна садова Cellfast Ergo 41-041 (Целфаст Ерго)</t>
        </is>
      </c>
      <c r="G187" s="23" t="n">
        <v>990</v>
      </c>
      <c r="H187" s="23" t="n">
        <v>1645</v>
      </c>
      <c r="I187" s="21" t="inlineStr">
        <is>
          <t>назви схожі, різняться словами: ерго, целлфаст, целфаст</t>
        </is>
      </c>
    </row>
    <row r="188">
      <c r="A188" s="22" t="n">
        <v>84</v>
      </c>
      <c r="B188" s="22" t="inlineStr">
        <is>
          <t>Клуб Рослин</t>
        </is>
      </c>
      <c r="C188" s="22" t="inlineStr">
        <is>
          <t>3410.B</t>
        </is>
      </c>
      <c r="D188" s="22" t="inlineStr">
        <is>
          <t>16154</t>
        </is>
      </c>
      <c r="E188" s="21" t="inlineStr">
        <is>
          <t>Секатор 195 мм з коваделком Bellota Smart (3410.B) Іспанія</t>
        </is>
      </c>
      <c r="F188" s="21" t="inlineStr">
        <is>
          <t>Секатор Bellota 3410 з коваделком 195 мм (Беллота 3410)</t>
        </is>
      </c>
      <c r="G188" s="23" t="n">
        <v>685</v>
      </c>
      <c r="H188" s="23" t="n">
        <v>685</v>
      </c>
      <c r="I188" s="21" t="inlineStr">
        <is>
          <t>назви схожі, але різні коди виробника</t>
        </is>
      </c>
    </row>
    <row r="189">
      <c r="A189" s="22" t="n">
        <v>84</v>
      </c>
      <c r="B189" s="22" t="inlineStr">
        <is>
          <t>Клуб Рослин</t>
        </is>
      </c>
      <c r="C189" s="22" t="inlineStr">
        <is>
          <t>8118</t>
        </is>
      </c>
      <c r="D189" s="22" t="inlineStr">
        <is>
          <t>14772</t>
        </is>
      </c>
      <c r="E189" s="21" t="inlineStr">
        <is>
          <t>Добриво Агрeкол / Agrecol осіннє універсальне 0-16-20 1.2 кг Польща</t>
        </is>
      </c>
      <c r="F189" s="21" t="inlineStr">
        <is>
          <t>Добриво універсальне осіннє 3-12-24 Польща, 1 кг</t>
        </is>
      </c>
      <c r="G189" s="23" t="n">
        <v>352</v>
      </c>
      <c r="H189" s="23" t="n">
        <v>75</v>
      </c>
      <c r="I189" s="21" t="inlineStr">
        <is>
          <t>назви схожі, але різні об'єми або розміри</t>
        </is>
      </c>
    </row>
    <row r="190">
      <c r="A190" s="22" t="n">
        <v>83.90000000000001</v>
      </c>
      <c r="B190" s="22" t="inlineStr">
        <is>
          <t>Клуб Рослин</t>
        </is>
      </c>
      <c r="C190" s="22" t="inlineStr">
        <is>
          <t>SR-Light</t>
        </is>
      </c>
      <c r="D190" s="22" t="inlineStr">
        <is>
          <t>16113</t>
        </is>
      </c>
      <c r="E190" s="21" t="inlineStr">
        <is>
          <t>Планувальник грунту ручний без держака Смарт Рейн / Smart Rain (SR-Light) Україна</t>
        </is>
      </c>
      <c r="F190" s="21" t="inlineStr">
        <is>
          <t>Планувальник грунту Smart Rain ручний 890х390 мм без держака SR-L-890 (Смарт Рейн SR-L-890)</t>
        </is>
      </c>
      <c r="G190" s="23" t="n">
        <v>1695</v>
      </c>
      <c r="H190" s="23" t="n">
        <v>2650</v>
      </c>
      <c r="I190" s="21" t="inlineStr">
        <is>
          <t>назви схожі, різняться словами: srlight</t>
        </is>
      </c>
    </row>
    <row r="191">
      <c r="A191" s="22" t="n">
        <v>83.8</v>
      </c>
      <c r="B191" s="22" t="inlineStr">
        <is>
          <t>Водоспад</t>
        </is>
      </c>
      <c r="C191" s="22" t="inlineStr">
        <is>
          <t>615/12</t>
        </is>
      </c>
      <c r="D191" s="22" t="inlineStr">
        <is>
          <t>32811</t>
        </is>
      </c>
      <c r="E191" s="21" t="inlineStr">
        <is>
          <t>Щеплювальнй садовий ніж Тіна / Tina (615/12 ) Німеччина</t>
        </is>
      </c>
      <c r="F191" s="21" t="inlineStr">
        <is>
          <t>Ніж середній садовий TINA 615/12 (Німеччина)</t>
        </is>
      </c>
      <c r="G191" s="23" t="n">
        <v>5899</v>
      </c>
      <c r="H191" s="23" t="n">
        <v>5899</v>
      </c>
      <c r="I191" s="21" t="inlineStr">
        <is>
          <t>назви схожі, різняться словами: середній, тіна, щеплювальнй</t>
        </is>
      </c>
    </row>
    <row r="192">
      <c r="A192" s="22" t="n">
        <v>83.8</v>
      </c>
      <c r="B192" s="22" t="inlineStr">
        <is>
          <t>Водоспад</t>
        </is>
      </c>
      <c r="C192" s="22" t="inlineStr">
        <is>
          <t>5.104</t>
        </is>
      </c>
      <c r="D192" s="22" t="inlineStr">
        <is>
          <t>32336</t>
        </is>
      </c>
      <c r="E192" s="21" t="inlineStr">
        <is>
          <t>Секатор із наковаленкою Льове / Lowe Original (5.104) Німеччина</t>
        </is>
      </c>
      <c r="F192" s="21" t="inlineStr">
        <is>
          <t>Маленький секатор із наковаленкою LOWE Original 5.104 (5.104)</t>
        </is>
      </c>
      <c r="G192" s="23" t="n">
        <v>1900</v>
      </c>
      <c r="H192" s="23" t="n">
        <v>1900</v>
      </c>
      <c r="I192" s="21" t="inlineStr">
        <is>
          <t>назви схожі, різняться словами: льове, маленький</t>
        </is>
      </c>
    </row>
    <row r="193">
      <c r="A193" s="22" t="n">
        <v>83.8</v>
      </c>
      <c r="B193" s="22" t="inlineStr">
        <is>
          <t>Клуб Рослин</t>
        </is>
      </c>
      <c r="C193" s="22" t="inlineStr">
        <is>
          <t>180-2.4</t>
        </is>
      </c>
      <c r="D193" s="22" t="inlineStr">
        <is>
          <t>11815</t>
        </is>
      </c>
      <c r="E193" s="21" t="inlineStr">
        <is>
          <t>Секатор АРС / ARS (180-2.4) на штанзі 2.4 м Японія</t>
        </is>
      </c>
      <c r="F193" s="21" t="inlineStr">
        <is>
          <t>Секатор ARS 180-2.4, на штанзі 2,4 м (висоторіз АРС 180-2.4)</t>
        </is>
      </c>
      <c r="G193" s="23" t="n">
        <v>4680</v>
      </c>
      <c r="H193" s="23" t="n">
        <v>4680</v>
      </c>
      <c r="I193" s="21" t="inlineStr">
        <is>
          <t>назви схожі, різняться словами: висоторіз</t>
        </is>
      </c>
    </row>
    <row r="194">
      <c r="A194" s="22" t="n">
        <v>83.8</v>
      </c>
      <c r="B194" s="22" t="inlineStr">
        <is>
          <t>Клуб Рослин</t>
        </is>
      </c>
      <c r="C194" s="22" t="inlineStr">
        <is>
          <t>180-1.8</t>
        </is>
      </c>
      <c r="D194" s="22" t="inlineStr">
        <is>
          <t>11814</t>
        </is>
      </c>
      <c r="E194" s="21" t="inlineStr">
        <is>
          <t>Секатор АРС / ARS (180-1.8) на штанзі 1.8м Японія</t>
        </is>
      </c>
      <c r="F194" s="21" t="inlineStr">
        <is>
          <t>Секатор ARS 180-1.8 на штанзі 1,8 м (висоторіз АРС 180-1.8)</t>
        </is>
      </c>
      <c r="G194" s="23" t="n">
        <v>3990</v>
      </c>
      <c r="H194" s="23" t="n">
        <v>3990</v>
      </c>
      <c r="I194" s="21" t="inlineStr">
        <is>
          <t>назви схожі, різняться словами: висоторіз</t>
        </is>
      </c>
    </row>
    <row r="195">
      <c r="A195" s="22" t="n">
        <v>83.7</v>
      </c>
      <c r="B195" s="22" t="inlineStr">
        <is>
          <t>Клуб Рослин</t>
        </is>
      </c>
      <c r="C195" s="22" t="inlineStr">
        <is>
          <t>3504-23.B</t>
        </is>
      </c>
      <c r="D195" s="22" t="inlineStr">
        <is>
          <t>11869</t>
        </is>
      </c>
      <c r="E195" s="21" t="inlineStr">
        <is>
          <t>Секатор 230 мм кований професійний Bellota (3504-23.B) Іспанія</t>
        </is>
      </c>
      <c r="F195" s="21" t="inlineStr">
        <is>
          <t>Секатор Bellota 3504-23 кований</t>
        </is>
      </c>
      <c r="G195" s="23" t="n">
        <v>2179</v>
      </c>
      <c r="H195" s="23" t="n">
        <v>2179</v>
      </c>
      <c r="I195" s="21" t="inlineStr">
        <is>
          <t>назви схожі, але різні коди виробника</t>
        </is>
      </c>
    </row>
    <row r="196">
      <c r="A196" s="22" t="n">
        <v>83.7</v>
      </c>
      <c r="B196" s="22" t="inlineStr">
        <is>
          <t>Клуб Рослин</t>
        </is>
      </c>
      <c r="C196" s="22" t="inlineStr">
        <is>
          <t>7240</t>
        </is>
      </c>
      <c r="D196" s="22" t="inlineStr">
        <is>
          <t>9230</t>
        </is>
      </c>
      <c r="E196" s="21" t="inlineStr">
        <is>
          <t>Добриво Терафлекс Баштанний Terraflex С (17-7-21 + 3 MgO + TЕ) 2 кг SmartGrow Бельгія</t>
        </is>
      </c>
      <c r="F196" s="21" t="inlineStr">
        <is>
          <t>Добриво Terraflex - C 17-7-21+3MgO+TE (Терафлекс), 2 кг</t>
        </is>
      </c>
      <c r="G196" s="23" t="n">
        <v>475</v>
      </c>
      <c r="H196" s="23" t="n">
        <v>371</v>
      </c>
      <c r="I196" s="21" t="inlineStr">
        <is>
          <t>назви схожі, різняться словами: mgo, smartgrow, баштанний</t>
        </is>
      </c>
    </row>
    <row r="197">
      <c r="A197" s="22" t="n">
        <v>83.7</v>
      </c>
      <c r="B197" s="22" t="inlineStr">
        <is>
          <t>Клуб Рослин</t>
        </is>
      </c>
      <c r="C197" s="22" t="inlineStr">
        <is>
          <t>m20014</t>
        </is>
      </c>
      <c r="D197" s="22" t="inlineStr">
        <is>
          <t>14715</t>
        </is>
      </c>
      <c r="E197" s="21" t="inlineStr">
        <is>
          <t>Інсектицид Актара 25 WG в.г. 6 г</t>
        </is>
      </c>
      <c r="F197" s="21" t="inlineStr">
        <is>
          <t>Інсектицид Актара 25 (тіаметоксам 250 г/кг) WG в.г. 6 г, Syngenta</t>
        </is>
      </c>
      <c r="G197" s="23" t="n"/>
      <c r="H197" s="23" t="n">
        <v>66</v>
      </c>
      <c r="I197" s="21" t="inlineStr">
        <is>
          <t>назви схожі, різняться словами: syngenta, тіаметоксам</t>
        </is>
      </c>
    </row>
    <row r="198">
      <c r="A198" s="22" t="n">
        <v>83.59999999999999</v>
      </c>
      <c r="B198" s="22" t="inlineStr">
        <is>
          <t>Водоспад</t>
        </is>
      </c>
      <c r="C198" s="22" t="inlineStr">
        <is>
          <t>111670</t>
        </is>
      </c>
      <c r="D198" s="22" t="inlineStr">
        <is>
          <t>32132</t>
        </is>
      </c>
      <c r="E198" s="21" t="inlineStr">
        <is>
          <t>Секатор із храповим механізмом Фіскарс / Fiskars PowerStep P83 (111670) Фінляндія</t>
        </is>
      </c>
      <c r="F198" s="21" t="inlineStr">
        <is>
          <t>Секатор з храповим механізмом Fiskars PowerStep Р83 (1000575)</t>
        </is>
      </c>
      <c r="G198" s="23" t="n">
        <v>2049</v>
      </c>
      <c r="H198" s="23" t="n">
        <v>1399</v>
      </c>
      <c r="I198" s="21" t="inlineStr">
        <is>
          <t>назви схожі, але різні коди виробника</t>
        </is>
      </c>
    </row>
    <row r="199">
      <c r="A199" s="22" t="n">
        <v>83.59999999999999</v>
      </c>
      <c r="B199" s="22" t="inlineStr">
        <is>
          <t>Клуб Рослин</t>
        </is>
      </c>
      <c r="C199" s="22" t="inlineStr">
        <is>
          <t>8001/В</t>
        </is>
      </c>
      <c r="D199" s="22" t="inlineStr">
        <is>
          <t>10444</t>
        </is>
      </c>
      <c r="E199" s="21" t="inlineStr">
        <is>
          <t>Змінне лезо для секаторів LOWE 8 (8001/В)</t>
        </is>
      </c>
      <c r="F199" s="21" t="inlineStr">
        <is>
          <t>Лезо для секатора Lowe 8 (8001)</t>
        </is>
      </c>
      <c r="G199" s="23" t="n">
        <v>850</v>
      </c>
      <c r="H199" s="23" t="n">
        <v>680</v>
      </c>
      <c r="I199" s="21" t="inlineStr">
        <is>
          <t>назви схожі, різняться словами: змінне, секаторів, секатора</t>
        </is>
      </c>
    </row>
    <row r="200">
      <c r="A200" s="22" t="n">
        <v>83.59999999999999</v>
      </c>
      <c r="B200" s="22" t="inlineStr">
        <is>
          <t>Клуб Рослин</t>
        </is>
      </c>
      <c r="C200" s="22" t="inlineStr">
        <is>
          <t>1062</t>
        </is>
      </c>
      <c r="D200" s="22" t="inlineStr">
        <is>
          <t>14064</t>
        </is>
      </c>
      <c r="E200" s="21" t="inlineStr">
        <is>
          <t>Гербіцид Дабл Трай 500 мл Сімейний Сад Україна</t>
        </is>
      </c>
      <c r="F200" s="21" t="inlineStr">
        <is>
          <t>Гербіцид Дабл Трай К.Е. (метолахлор) 500 мл Сімейний Сад</t>
        </is>
      </c>
      <c r="G200" s="23" t="n">
        <v>575</v>
      </c>
      <c r="H200" s="23" t="n">
        <v>666</v>
      </c>
      <c r="I200" s="21" t="inlineStr">
        <is>
          <t>назви схожі, різняться словами: метолахлор</t>
        </is>
      </c>
    </row>
    <row r="201">
      <c r="A201" s="22" t="n">
        <v>83.59999999999999</v>
      </c>
      <c r="B201" s="22" t="inlineStr">
        <is>
          <t>Клуб Рослин</t>
        </is>
      </c>
      <c r="C201" s="22" t="inlineStr">
        <is>
          <t>m1001</t>
        </is>
      </c>
      <c r="D201" s="22" t="inlineStr">
        <is>
          <t>16415</t>
        </is>
      </c>
      <c r="E201" s="21" t="inlineStr">
        <is>
          <t>Гербіцид Ураган Форте 500 SL в.р.к. 300мл</t>
        </is>
      </c>
      <c r="F201" s="21" t="inlineStr">
        <is>
          <t>Гербіцид Ураган Форте 500 (калійна сіль гліфосату, 500 г/л) SL в.р.к. 300 мл, Syngenta</t>
        </is>
      </c>
      <c r="G201" s="23" t="n">
        <v>225</v>
      </c>
      <c r="H201" s="23" t="n">
        <v>295</v>
      </c>
      <c r="I201" s="21" t="inlineStr">
        <is>
          <t>назви схожі, різняться словами: syngenta, гліфосату, калійна та ще 1</t>
        </is>
      </c>
    </row>
    <row r="202">
      <c r="A202" s="22" t="n">
        <v>83.5</v>
      </c>
      <c r="B202" s="22" t="inlineStr">
        <is>
          <t>Водоспад</t>
        </is>
      </c>
      <c r="C202" s="22" t="inlineStr">
        <is>
          <t>640/10</t>
        </is>
      </c>
      <c r="D202" s="22" t="inlineStr">
        <is>
          <t>32808</t>
        </is>
      </c>
      <c r="E202" s="21" t="inlineStr">
        <is>
          <t>Щеплювальний ніж Тіна / Tina (640/10) Німеччина</t>
        </is>
      </c>
      <c r="F202" s="21" t="inlineStr">
        <is>
          <t>Ніж окулювальний TINA 641/10 (Німеччина)</t>
        </is>
      </c>
      <c r="G202" s="23" t="n">
        <v>5699</v>
      </c>
      <c r="H202" s="23" t="n">
        <v>5999</v>
      </c>
      <c r="I202" s="21" t="inlineStr">
        <is>
          <t>назви схожі, різняться словами: окулювальний, тіна, щеплювальний</t>
        </is>
      </c>
    </row>
    <row r="203">
      <c r="A203" s="22" t="n">
        <v>83.5</v>
      </c>
      <c r="B203" s="22" t="inlineStr">
        <is>
          <t>Водоспад</t>
        </is>
      </c>
      <c r="C203" s="22" t="inlineStr">
        <is>
          <t>5.127</t>
        </is>
      </c>
      <c r="D203" s="22" t="inlineStr">
        <is>
          <t>32335</t>
        </is>
      </c>
      <c r="E203" s="21" t="inlineStr">
        <is>
          <t>Секатор з ковадлом Льове / Lowe Original (5.127) Німеччина</t>
        </is>
      </c>
      <c r="F203" s="21" t="inlineStr">
        <is>
          <t>Секатор з ковадлом LOWE Original 2.107 (2.107)</t>
        </is>
      </c>
      <c r="G203" s="23" t="n">
        <v>1950</v>
      </c>
      <c r="H203" s="23" t="n">
        <v>2440</v>
      </c>
      <c r="I203" s="21" t="inlineStr">
        <is>
          <t>назви схожі, різняться словами: льове</t>
        </is>
      </c>
    </row>
    <row r="204">
      <c r="A204" s="22" t="n">
        <v>83.5</v>
      </c>
      <c r="B204" s="22" t="inlineStr">
        <is>
          <t>Водоспад</t>
        </is>
      </c>
      <c r="C204" s="22" t="inlineStr">
        <is>
          <t>gta-SA</t>
        </is>
      </c>
      <c r="D204" s="22" t="inlineStr">
        <is>
          <t>43389</t>
        </is>
      </c>
      <c r="E204" s="21" t="inlineStr">
        <is>
          <t>Фартух садовий для збору врожаю та кишенями для інструментів (gta-SA) Україна</t>
        </is>
      </c>
      <c r="F204" s="21" t="inlineStr">
        <is>
          <t>Фартух садовий з кишенями для інструментів і збору врожаю, пісочного кольору, арт. gta-SA</t>
        </is>
      </c>
      <c r="G204" s="23" t="n">
        <v>1299</v>
      </c>
      <c r="H204" s="23" t="n">
        <v>1299</v>
      </c>
      <c r="I204" s="21" t="inlineStr">
        <is>
          <t>назви схожі, різняться словами: кольору, пісочного</t>
        </is>
      </c>
    </row>
    <row r="205">
      <c r="A205" s="22" t="n">
        <v>83.5</v>
      </c>
      <c r="B205" s="22" t="inlineStr">
        <is>
          <t>Водоспад</t>
        </is>
      </c>
      <c r="C205" s="22" t="inlineStr">
        <is>
          <t>2446-LAP</t>
        </is>
      </c>
      <c r="D205" s="22" t="inlineStr">
        <is>
          <t>42600</t>
        </is>
      </c>
      <c r="E205" s="21" t="inlineStr">
        <is>
          <t>Ніж Bahco 220 мм INOX (2446-LAP) Бахо Швеція</t>
        </is>
      </c>
      <c r="F205" s="21" t="inlineStr">
        <is>
          <t>Ніж Bahco 220 мм INOX (2446)</t>
        </is>
      </c>
      <c r="G205" s="23" t="n">
        <v>440</v>
      </c>
      <c r="H205" s="23" t="n">
        <v>440</v>
      </c>
      <c r="I205" s="21" t="inlineStr">
        <is>
          <t>назви схожі, різняться словами: бахо</t>
        </is>
      </c>
    </row>
    <row r="206">
      <c r="A206" s="22" t="n">
        <v>83.40000000000001</v>
      </c>
      <c r="B206" s="22" t="inlineStr">
        <is>
          <t>Клуб Рослин</t>
        </is>
      </c>
      <c r="C206" s="22" t="inlineStr">
        <is>
          <t>3135</t>
        </is>
      </c>
      <c r="D206" s="22" t="inlineStr">
        <is>
          <t>15606</t>
        </is>
      </c>
      <c r="E206" s="21" t="inlineStr">
        <is>
          <t>Фунгіцид Мідний купорос сульфат міді 25 кг Туреччина</t>
        </is>
      </c>
      <c r="F206" s="21" t="inlineStr">
        <is>
          <t>Фунгіцид Мідний купорос (мідь сірчанокисла, сульфат міді), 1 кг</t>
        </is>
      </c>
      <c r="G206" s="23" t="n">
        <v>5250</v>
      </c>
      <c r="H206" s="23" t="n">
        <v>240</v>
      </c>
      <c r="I206" s="21" t="inlineStr">
        <is>
          <t>назви схожі, але різні об'єми або розміри</t>
        </is>
      </c>
    </row>
    <row r="207">
      <c r="A207" s="22" t="n">
        <v>83.40000000000001</v>
      </c>
      <c r="B207" s="22" t="inlineStr">
        <is>
          <t>Клуб Рослин</t>
        </is>
      </c>
      <c r="C207" s="22" t="inlineStr">
        <is>
          <t>7243</t>
        </is>
      </c>
      <c r="D207" s="22" t="inlineStr">
        <is>
          <t>9234</t>
        </is>
      </c>
      <c r="E207" s="21" t="inlineStr">
        <is>
          <t>Добриво Терафлекс Квітковий Terraflex F (18-6-19 + 3 MgO + TЕ) 25 кг SmartGrow Бельгія</t>
        </is>
      </c>
      <c r="F207" s="21" t="inlineStr">
        <is>
          <t>Добриво Terraflex F 18-6-19+3MgO+TE (Терафлекс), 2 кг</t>
        </is>
      </c>
      <c r="G207" s="23" t="n">
        <v>4161</v>
      </c>
      <c r="H207" s="23" t="n">
        <v>374</v>
      </c>
      <c r="I207" s="21" t="inlineStr">
        <is>
          <t>назви схожі, але різні об'єми або розміри</t>
        </is>
      </c>
    </row>
    <row r="208">
      <c r="A208" s="22" t="n">
        <v>83.2</v>
      </c>
      <c r="B208" s="22" t="inlineStr">
        <is>
          <t>Водоспад</t>
        </is>
      </c>
      <c r="C208" s="22" t="inlineStr">
        <is>
          <t>640/10.5</t>
        </is>
      </c>
      <c r="D208" s="22" t="inlineStr">
        <is>
          <t>32934</t>
        </is>
      </c>
      <c r="E208" s="21" t="inlineStr">
        <is>
          <t>Щеплювальний ніж Тіна / Tina (640/10.5 ) Німеччина</t>
        </is>
      </c>
      <c r="F208" s="21" t="inlineStr">
        <is>
          <t>Прищепний ніж TINA 640/10,5 (Німеччина)</t>
        </is>
      </c>
      <c r="G208" s="23" t="n">
        <v>5699</v>
      </c>
      <c r="H208" s="23" t="n">
        <v>5699</v>
      </c>
      <c r="I208" s="21" t="inlineStr">
        <is>
          <t>назви схожі, різняться словами: прищепний, тіна, щеплювальний</t>
        </is>
      </c>
    </row>
    <row r="209">
      <c r="A209" s="22" t="n">
        <v>83.2</v>
      </c>
      <c r="B209" s="22" t="inlineStr">
        <is>
          <t>Клуб Рослин</t>
        </is>
      </c>
      <c r="C209" s="22" t="inlineStr">
        <is>
          <t>3582.B</t>
        </is>
      </c>
      <c r="D209" s="22" t="inlineStr">
        <is>
          <t>11053</t>
        </is>
      </c>
      <c r="E209" s="21" t="inlineStr">
        <is>
          <t>Ножиці для обрізання кущів із загнутими ручками Bellota (3582.B) Іспанія</t>
        </is>
      </c>
      <c r="F209" s="21" t="inlineStr">
        <is>
          <t>Ножиці садові Bellota 3582.B для обрізки кущів із загнутими ручками професійні</t>
        </is>
      </c>
      <c r="G209" s="23" t="n">
        <v>3199</v>
      </c>
      <c r="H209" s="23" t="n">
        <v>3199</v>
      </c>
      <c r="I209" s="21" t="inlineStr">
        <is>
          <t>назви схожі, різняться словами: обрізання, обрізки, професійні та ще 1</t>
        </is>
      </c>
    </row>
    <row r="210">
      <c r="A210" s="22" t="n">
        <v>83.09999999999999</v>
      </c>
      <c r="B210" s="22" t="inlineStr">
        <is>
          <t>Водоспад</t>
        </is>
      </c>
      <c r="C210" s="22" t="inlineStr">
        <is>
          <t>3305</t>
        </is>
      </c>
      <c r="D210" s="22" t="inlineStr">
        <is>
          <t>36832</t>
        </is>
      </c>
      <c r="E210" s="21" t="inlineStr">
        <is>
          <t>Секатор з ковадлом Lowe 3305 Німеччина</t>
        </is>
      </c>
      <c r="F210" s="21" t="inlineStr">
        <is>
          <t>Секатор LÖWE 3305 з ковадлом (3305)</t>
        </is>
      </c>
      <c r="G210" s="23" t="n">
        <v>2650</v>
      </c>
      <c r="H210" s="23" t="n">
        <v>2650</v>
      </c>
      <c r="I210" s="21" t="inlineStr">
        <is>
          <t>назви схожі, перевірте</t>
        </is>
      </c>
    </row>
    <row r="211">
      <c r="A211" s="22" t="n">
        <v>83.09999999999999</v>
      </c>
      <c r="B211" s="22" t="inlineStr">
        <is>
          <t>Водоспад</t>
        </is>
      </c>
      <c r="C211" s="22" t="inlineStr">
        <is>
          <t>0022</t>
        </is>
      </c>
      <c r="D211" s="22" t="inlineStr">
        <is>
          <t>41069</t>
        </is>
      </c>
      <c r="E211" s="21" t="inlineStr">
        <is>
          <t>Точилка карбід-вольфраму LOWE (0022) Льове Німеччина</t>
        </is>
      </c>
      <c r="F211" s="21" t="inlineStr">
        <is>
          <t>Точилка карбід-вольфраму LÖWE 0022 (0022)</t>
        </is>
      </c>
      <c r="G211" s="23" t="n">
        <v>875</v>
      </c>
      <c r="H211" s="23" t="n">
        <v>875</v>
      </c>
      <c r="I211" s="21" t="inlineStr">
        <is>
          <t>назви схожі, різняться словами: льове</t>
        </is>
      </c>
    </row>
    <row r="212">
      <c r="A212" s="22" t="n">
        <v>83</v>
      </c>
      <c r="B212" s="22" t="inlineStr">
        <is>
          <t>Клуб Рослин</t>
        </is>
      </c>
      <c r="C212" s="22" t="inlineStr">
        <is>
          <t>3360</t>
        </is>
      </c>
      <c r="D212" s="22" t="inlineStr">
        <is>
          <t>14102</t>
        </is>
      </c>
      <c r="E212" s="21" t="inlineStr">
        <is>
          <t>Фунгіцид Спектр ВГ 120 г Сімейний Сад Україна</t>
        </is>
      </c>
      <c r="F212" s="21" t="inlineStr">
        <is>
          <t>Фунгіцид Скутер В.Г. (сірка) 200 г Сімейний Сад</t>
        </is>
      </c>
      <c r="G212" s="23" t="n">
        <v>498</v>
      </c>
      <c r="H212" s="23" t="n">
        <v>95</v>
      </c>
      <c r="I212" s="21" t="inlineStr">
        <is>
          <t>назви схожі, але різні об'єми або розміри</t>
        </is>
      </c>
    </row>
    <row r="213">
      <c r="A213" s="22" t="n">
        <v>82.90000000000001</v>
      </c>
      <c r="B213" s="22" t="inlineStr">
        <is>
          <t>Клуб Рослин</t>
        </is>
      </c>
      <c r="C213" s="22" t="inlineStr">
        <is>
          <t>40-100</t>
        </is>
      </c>
      <c r="D213" s="22" t="inlineStr">
        <is>
          <t>13750</t>
        </is>
      </c>
      <c r="E213" s="21" t="inlineStr">
        <is>
          <t>Граблі універсальні Целлфаст / Cellfast ERGO 152 см (40-100) Польша</t>
        </is>
      </c>
      <c r="F213" s="21" t="inlineStr">
        <is>
          <t>Граблі металеві універсальні ERGO Cellfast 40-100 (Целфаст Ерго)</t>
        </is>
      </c>
      <c r="G213" s="23" t="n">
        <v>1592</v>
      </c>
      <c r="H213" s="23" t="n">
        <v>1592</v>
      </c>
      <c r="I213" s="21" t="inlineStr">
        <is>
          <t>назви схожі, різняться словами: ерго, металеві, польша та ще 2</t>
        </is>
      </c>
    </row>
    <row r="214">
      <c r="A214" s="22" t="n">
        <v>82.90000000000001</v>
      </c>
      <c r="B214" s="22" t="inlineStr">
        <is>
          <t>Клуб Рослин</t>
        </is>
      </c>
      <c r="C214" s="22" t="inlineStr">
        <is>
          <t>m3011</t>
        </is>
      </c>
      <c r="D214" s="22" t="inlineStr">
        <is>
          <t>14765</t>
        </is>
      </c>
      <c r="E214" s="21" t="inlineStr">
        <is>
          <t>Фунгіцид Хорус 75 WG в.г. 3г.</t>
        </is>
      </c>
      <c r="F214" s="21" t="inlineStr">
        <is>
          <t>Фунгіцид Хорус 75 (ципродиніл 750 г/кг) WG в.г. 3 г, Syngenta</t>
        </is>
      </c>
      <c r="G214" s="23" t="n">
        <v>30</v>
      </c>
      <c r="H214" s="23" t="n">
        <v>49</v>
      </c>
      <c r="I214" s="21" t="inlineStr">
        <is>
          <t>назви схожі, різняться словами: syngenta, ципродиніл</t>
        </is>
      </c>
    </row>
    <row r="215">
      <c r="A215" s="22" t="n">
        <v>82.8</v>
      </c>
      <c r="B215" s="22" t="inlineStr">
        <is>
          <t>Клуб Рослин</t>
        </is>
      </c>
      <c r="C215" s="22" t="inlineStr">
        <is>
          <t>PG-M2-F</t>
        </is>
      </c>
      <c r="D215" s="22" t="inlineStr">
        <is>
          <t>11858</t>
        </is>
      </c>
      <c r="E215" s="21" t="inlineStr">
        <is>
          <t>Секатор Bahco (M) PG-M2-F для обрізки саду, винограду, троянд</t>
        </is>
      </c>
      <c r="F215" s="21" t="inlineStr">
        <is>
          <t>Секатор Bahco PX-M3 для обрізки саду</t>
        </is>
      </c>
      <c r="G215" s="23" t="n">
        <v>1875</v>
      </c>
      <c r="H215" s="23" t="n">
        <v>2950</v>
      </c>
      <c r="I215" s="21" t="inlineStr">
        <is>
          <t>назви схожі, різняться словами: винограду, троянд</t>
        </is>
      </c>
    </row>
    <row r="216">
      <c r="A216" s="22" t="n">
        <v>82.8</v>
      </c>
      <c r="B216" s="22" t="inlineStr">
        <is>
          <t>Клуб Рослин</t>
        </is>
      </c>
      <c r="C216" s="22" t="inlineStr">
        <is>
          <t>PG-L2-F</t>
        </is>
      </c>
      <c r="D216" s="22" t="inlineStr">
        <is>
          <t>11846</t>
        </is>
      </c>
      <c r="E216" s="21" t="inlineStr">
        <is>
          <t>Секатор Bahco (L) PG-L2-F для обрізки саду, винограду, троянд</t>
        </is>
      </c>
      <c r="F216" s="21" t="inlineStr">
        <is>
          <t>Секатор Bahco P1-23 для обрізки саду</t>
        </is>
      </c>
      <c r="G216" s="23" t="n">
        <v>1570</v>
      </c>
      <c r="H216" s="23" t="n">
        <v>1660</v>
      </c>
      <c r="I216" s="21" t="inlineStr">
        <is>
          <t>назви схожі, різняться словами: винограду, троянд</t>
        </is>
      </c>
    </row>
    <row r="217">
      <c r="A217" s="22" t="n">
        <v>82.7</v>
      </c>
      <c r="B217" s="22" t="inlineStr">
        <is>
          <t>Клуб Рослин</t>
        </is>
      </c>
      <c r="C217" s="22" t="inlineStr">
        <is>
          <t>2285</t>
        </is>
      </c>
      <c r="D217" s="22" t="inlineStr">
        <is>
          <t>14088</t>
        </is>
      </c>
      <c r="E217" s="21" t="inlineStr">
        <is>
          <t>Акарицид Міральд 100 мл Сімейний Сад Україна</t>
        </is>
      </c>
      <c r="F217" s="21" t="inlineStr">
        <is>
          <t>Інсекто-акарицид Міральд К.Е. (фенпіроксимат) 100 мл Сімейний Сад</t>
        </is>
      </c>
      <c r="G217" s="23" t="n">
        <v>148</v>
      </c>
      <c r="H217" s="23" t="n">
        <v>160</v>
      </c>
      <c r="I217" s="21" t="inlineStr">
        <is>
          <t>назви схожі, різняться словами: інсекто, фенпіроксимат</t>
        </is>
      </c>
    </row>
    <row r="218">
      <c r="A218" s="22" t="n">
        <v>82.59999999999999</v>
      </c>
      <c r="B218" s="22" t="inlineStr">
        <is>
          <t>Клуб Рослин</t>
        </is>
      </c>
      <c r="C218" s="22" t="inlineStr">
        <is>
          <t>P280-SL-60</t>
        </is>
      </c>
      <c r="D218" s="22" t="inlineStr">
        <is>
          <t>15795</t>
        </is>
      </c>
      <c r="E218" s="21" t="inlineStr">
        <is>
          <t>Гілкоріз Bahco P280-SL-60</t>
        </is>
      </c>
      <c r="F218" s="21" t="inlineStr">
        <is>
          <t>Сучкоріз Bahco P280-SL-80</t>
        </is>
      </c>
      <c r="G218" s="23" t="n">
        <v>2925</v>
      </c>
      <c r="H218" s="23" t="n">
        <v>3090</v>
      </c>
      <c r="I218" s="21" t="inlineStr">
        <is>
          <t>назви схожі, але різні коди виробника</t>
        </is>
      </c>
    </row>
    <row r="219">
      <c r="A219" s="22" t="n">
        <v>82.40000000000001</v>
      </c>
      <c r="B219" s="22" t="inlineStr">
        <is>
          <t>Водоспад</t>
        </is>
      </c>
      <c r="C219" s="22" t="inlineStr">
        <is>
          <t>1-200V</t>
        </is>
      </c>
      <c r="D219" s="22" t="inlineStr">
        <is>
          <t>42918</t>
        </is>
      </c>
      <c r="E219" s="21" t="inlineStr">
        <is>
          <t>Садовий бальзам Вокс / Voks 200 г Агрохімпак Україна</t>
        </is>
      </c>
      <c r="F219" s="21" t="inlineStr">
        <is>
          <t>Садовий бальзам VOKS (Вокс), 200 г в тубі</t>
        </is>
      </c>
      <c r="G219" s="23" t="n">
        <v>148</v>
      </c>
      <c r="H219" s="23" t="n">
        <v>179</v>
      </c>
      <c r="I219" s="21" t="inlineStr">
        <is>
          <t>назви схожі, різняться словами: агрохімпак, тубі</t>
        </is>
      </c>
    </row>
    <row r="220">
      <c r="A220" s="22" t="n">
        <v>82.40000000000001</v>
      </c>
      <c r="B220" s="22" t="inlineStr">
        <is>
          <t>Клуб Рослин</t>
        </is>
      </c>
      <c r="C220" s="22" t="inlineStr">
        <is>
          <t>40-020</t>
        </is>
      </c>
      <c r="D220" s="22" t="inlineStr">
        <is>
          <t>13730</t>
        </is>
      </c>
      <c r="E220" s="21" t="inlineStr">
        <is>
          <t>Вила для копання Целлфаст / Cellfast ERGO 123 см 2.1 кг (40-020) Польша</t>
        </is>
      </c>
      <c r="F220" s="21" t="inlineStr">
        <is>
          <t>Вила для копання ERGO Cellfast 40-020 (Целфаст Ерго)</t>
        </is>
      </c>
      <c r="G220" s="23" t="n">
        <v>1962</v>
      </c>
      <c r="H220" s="23" t="n">
        <v>1962</v>
      </c>
      <c r="I220" s="21" t="inlineStr">
        <is>
          <t>назви схожі, різняться словами: ерго, польша, целлфаст та ще 1</t>
        </is>
      </c>
    </row>
    <row r="221">
      <c r="A221" s="22" t="n">
        <v>82.3</v>
      </c>
      <c r="B221" s="22" t="inlineStr">
        <is>
          <t>Водоспад</t>
        </is>
      </c>
      <c r="C221" s="22" t="inlineStr">
        <is>
          <t>300/21</t>
        </is>
      </c>
      <c r="D221" s="22" t="inlineStr">
        <is>
          <t>36462</t>
        </is>
      </c>
      <c r="E221" s="21" t="inlineStr">
        <is>
          <t>Секатор для щеплення Due Buoi 300/21 Італія</t>
        </is>
      </c>
      <c r="F221" s="21" t="inlineStr">
        <is>
          <t>Ніж для щеплення Due Buoi 247P (Італія)</t>
        </is>
      </c>
      <c r="G221" s="23" t="n">
        <v>3999</v>
      </c>
      <c r="H221" s="23" t="n">
        <v>1990</v>
      </c>
      <c r="I221" s="21" t="inlineStr">
        <is>
          <t>назви схожі, різняться словами: секатор</t>
        </is>
      </c>
    </row>
    <row r="222">
      <c r="A222" s="22" t="n">
        <v>82.3</v>
      </c>
      <c r="B222" s="22" t="inlineStr">
        <is>
          <t>Водоспад</t>
        </is>
      </c>
      <c r="C222" s="22" t="inlineStr">
        <is>
          <t>133/20</t>
        </is>
      </c>
      <c r="D222" s="22" t="inlineStr">
        <is>
          <t>33213</t>
        </is>
      </c>
      <c r="E222" s="21" t="inlineStr">
        <is>
          <t>Секатор кований Due Buoi 133/20 Італія</t>
        </is>
      </c>
      <c r="F222" s="21" t="inlineStr">
        <is>
          <t>Секатор для обрізання дерев Due Buoi 133/20 (Італія)</t>
        </is>
      </c>
      <c r="G222" s="23" t="n">
        <v>2550</v>
      </c>
      <c r="H222" s="23" t="n">
        <v>2550</v>
      </c>
      <c r="I222" s="21" t="inlineStr">
        <is>
          <t>назви схожі, різняться словами: дерев, кований, обрізання</t>
        </is>
      </c>
    </row>
    <row r="223">
      <c r="A223" s="22" t="n">
        <v>82.3</v>
      </c>
      <c r="B223" s="22" t="inlineStr">
        <is>
          <t>Водоспад</t>
        </is>
      </c>
      <c r="C223" s="22" t="inlineStr">
        <is>
          <t>990-1</t>
        </is>
      </c>
      <c r="D223" s="22" t="inlineStr">
        <is>
          <t>32584</t>
        </is>
      </c>
      <c r="E223" s="21" t="inlineStr">
        <is>
          <t>Мастило для секаторів Felco (990-1) Швейцарія</t>
        </is>
      </c>
      <c r="F223" s="21" t="inlineStr">
        <is>
          <t>Мастило-смазка для секаторів FELCO 990-1 (30 мл)</t>
        </is>
      </c>
      <c r="G223" s="23" t="n">
        <v>499</v>
      </c>
      <c r="H223" s="23" t="n">
        <v>499</v>
      </c>
      <c r="I223" s="21" t="inlineStr">
        <is>
          <t>назви схожі, різняться словами: смазка</t>
        </is>
      </c>
    </row>
    <row r="224">
      <c r="A224" s="22" t="n">
        <v>82.3</v>
      </c>
      <c r="B224" s="22" t="inlineStr">
        <is>
          <t>Клуб Рослин</t>
        </is>
      </c>
      <c r="C224" s="22" t="inlineStr">
        <is>
          <t>P1-20</t>
        </is>
      </c>
      <c r="D224" s="22" t="inlineStr">
        <is>
          <t>11846</t>
        </is>
      </c>
      <c r="E224" s="21" t="inlineStr">
        <is>
          <t>Секатор Bahco P1-20 для обрізки саду, троянд, винограду, Швеція</t>
        </is>
      </c>
      <c r="F224" s="21" t="inlineStr">
        <is>
          <t>Секатор Bahco P1-23 для обрізки саду</t>
        </is>
      </c>
      <c r="G224" s="23" t="n">
        <v>1665</v>
      </c>
      <c r="H224" s="23" t="n">
        <v>1660</v>
      </c>
      <c r="I224" s="21" t="inlineStr">
        <is>
          <t>назви схожі, різняться словами: винограду, троянд</t>
        </is>
      </c>
    </row>
    <row r="225">
      <c r="A225" s="22" t="n">
        <v>82.3</v>
      </c>
      <c r="B225" s="22" t="inlineStr">
        <is>
          <t>Клуб Рослин</t>
        </is>
      </c>
      <c r="C225" s="22" t="inlineStr">
        <is>
          <t>3395</t>
        </is>
      </c>
      <c r="D225" s="22" t="inlineStr">
        <is>
          <t>15606</t>
        </is>
      </c>
      <c r="E225" s="21" t="inlineStr">
        <is>
          <t>Фунгіцид Мідний купорос сульфат міді 1 кг (розсип) Україна</t>
        </is>
      </c>
      <c r="F225" s="21" t="inlineStr">
        <is>
          <t>Фунгіцид Мідний купорос (мідь сірчанокисла, сульфат міді), 1 кг</t>
        </is>
      </c>
      <c r="G225" s="23" t="n">
        <v>298</v>
      </c>
      <c r="H225" s="23" t="n">
        <v>240</v>
      </c>
      <c r="I225" s="21" t="inlineStr">
        <is>
          <t>назви схожі, різняться словами: мідь, розсип, сірчанокисла</t>
        </is>
      </c>
    </row>
    <row r="226">
      <c r="A226" s="22" t="n">
        <v>82.2</v>
      </c>
      <c r="B226" s="22" t="inlineStr">
        <is>
          <t>Водоспад</t>
        </is>
      </c>
      <c r="C226" s="22" t="inlineStr">
        <is>
          <t>K-800</t>
        </is>
      </c>
      <c r="D226" s="22" t="inlineStr">
        <is>
          <t>41920</t>
        </is>
      </c>
      <c r="E226" s="21" t="inlineStr">
        <is>
          <t>Ножиці для кущів АРС / ARS (K-800) Японія</t>
        </is>
      </c>
      <c r="F226" s="21" t="inlineStr">
        <is>
          <t>Ножиці для кущів ARS (К-1000)</t>
        </is>
      </c>
      <c r="G226" s="23" t="n">
        <v>2389</v>
      </c>
      <c r="H226" s="23" t="n">
        <v>3566</v>
      </c>
      <c r="I226" s="21" t="inlineStr">
        <is>
          <t>назви схожі, перевірте</t>
        </is>
      </c>
    </row>
    <row r="227">
      <c r="A227" s="22" t="n">
        <v>82.2</v>
      </c>
      <c r="B227" s="22" t="inlineStr">
        <is>
          <t>Водоспад</t>
        </is>
      </c>
      <c r="C227" s="22" t="inlineStr">
        <is>
          <t>PROF-SEC</t>
        </is>
      </c>
      <c r="D227" s="22" t="inlineStr">
        <is>
          <t>33876</t>
        </is>
      </c>
      <c r="E227" s="21" t="inlineStr">
        <is>
          <t>Чохол Bahco PROF-SEC</t>
        </is>
      </c>
      <c r="F227" s="21" t="inlineStr">
        <is>
          <t>Чохол для секатора BAHCO PROF-SEC (PROF-SEC)</t>
        </is>
      </c>
      <c r="G227" s="23" t="n">
        <v>1202</v>
      </c>
      <c r="H227" s="23" t="n">
        <v>990</v>
      </c>
      <c r="I227" s="21" t="inlineStr">
        <is>
          <t>назви схожі, різняться словами: секатора</t>
        </is>
      </c>
    </row>
    <row r="228">
      <c r="A228" s="22" t="n">
        <v>82.09999999999999</v>
      </c>
      <c r="B228" s="22" t="inlineStr">
        <is>
          <t>Водоспад</t>
        </is>
      </c>
      <c r="C228" s="22" t="inlineStr">
        <is>
          <t>7.104</t>
        </is>
      </c>
      <c r="D228" s="22" t="inlineStr">
        <is>
          <t>32330</t>
        </is>
      </c>
      <c r="E228" s="21" t="inlineStr">
        <is>
          <t>Секатор із наковаленкою Льове / Lowe Original (7.104) Німеччина</t>
        </is>
      </c>
      <c r="F228" s="21" t="inlineStr">
        <is>
          <t>Секатор з наковаленкою LOWE Original 1.107 (1.107)</t>
        </is>
      </c>
      <c r="G228" s="23" t="n">
        <v>2850</v>
      </c>
      <c r="H228" s="23" t="n">
        <v>2220</v>
      </c>
      <c r="I228" s="21" t="inlineStr">
        <is>
          <t>назви схожі, різняться словами: льове</t>
        </is>
      </c>
    </row>
    <row r="229">
      <c r="A229" s="22" t="n">
        <v>82.09999999999999</v>
      </c>
      <c r="B229" s="22" t="inlineStr">
        <is>
          <t>Клуб Рослин</t>
        </is>
      </c>
      <c r="C229" s="22" t="inlineStr">
        <is>
          <t>7239</t>
        </is>
      </c>
      <c r="D229" s="22" t="inlineStr">
        <is>
          <t>9230</t>
        </is>
      </c>
      <c r="E229" s="21" t="inlineStr">
        <is>
          <t>Добриво Терафлекс Баштанний Terraflex С (17-7-21 + 3 MgO + TЕ) 25 кг SmartGrow Бельгія</t>
        </is>
      </c>
      <c r="F229" s="21" t="inlineStr">
        <is>
          <t>Добриво Terraflex - C 17-7-21+3MgO+TE (Терафлекс), 2 кг</t>
        </is>
      </c>
      <c r="G229" s="23" t="n">
        <v>4063</v>
      </c>
      <c r="H229" s="23" t="n">
        <v>371</v>
      </c>
      <c r="I229" s="21" t="inlineStr">
        <is>
          <t>назви схожі, але різні об'єми або розміри</t>
        </is>
      </c>
    </row>
    <row r="230">
      <c r="A230" s="22" t="n">
        <v>82.09999999999999</v>
      </c>
      <c r="B230" s="22" t="inlineStr">
        <is>
          <t>Клуб Рослин</t>
        </is>
      </c>
      <c r="C230" s="22" t="inlineStr">
        <is>
          <t>11.109</t>
        </is>
      </c>
      <c r="D230" s="22" t="inlineStr">
        <is>
          <t>11956</t>
        </is>
      </c>
      <c r="E230" s="21" t="inlineStr">
        <is>
          <t>Секатор садовий з поворотною ручкою Льове / Lowe Original (11.109) Німеччина</t>
        </is>
      </c>
      <c r="F230" s="21" t="inlineStr">
        <is>
          <t>Секатор LOWE 12.109 з поворотною ручкою (Льове 12.109)</t>
        </is>
      </c>
      <c r="G230" s="23" t="n">
        <v>3495</v>
      </c>
      <c r="H230" s="23" t="n">
        <v>3190</v>
      </c>
      <c r="I230" s="21" t="inlineStr">
        <is>
          <t>назви схожі, але різні коди виробника</t>
        </is>
      </c>
    </row>
    <row r="231">
      <c r="A231" s="22" t="n">
        <v>82.09999999999999</v>
      </c>
      <c r="B231" s="22" t="inlineStr">
        <is>
          <t>Клуб Рослин</t>
        </is>
      </c>
      <c r="C231" s="22" t="inlineStr">
        <is>
          <t>3217</t>
        </is>
      </c>
      <c r="D231" s="22" t="inlineStr">
        <is>
          <t>14097</t>
        </is>
      </c>
      <c r="E231" s="21" t="inlineStr">
        <is>
          <t>Фунгіцид Мобіль 300 г Сімейний Сад Україна</t>
        </is>
      </c>
      <c r="F231" s="21" t="inlineStr">
        <is>
          <t>Фунгіцид Мобіль В.Г. (ципродиніл) 300 г Сімейний Сад</t>
        </is>
      </c>
      <c r="G231" s="23" t="n">
        <v>848</v>
      </c>
      <c r="H231" s="23" t="n">
        <v>1426</v>
      </c>
      <c r="I231" s="21" t="inlineStr">
        <is>
          <t>назви схожі, різняться словами: ципродиніл</t>
        </is>
      </c>
    </row>
    <row r="232">
      <c r="A232" s="22" t="n">
        <v>82.09999999999999</v>
      </c>
      <c r="B232" s="22" t="inlineStr">
        <is>
          <t>Клуб Рослин</t>
        </is>
      </c>
      <c r="C232" s="22" t="inlineStr">
        <is>
          <t>1161</t>
        </is>
      </c>
      <c r="D232" s="22" t="inlineStr">
        <is>
          <t>8876</t>
        </is>
      </c>
      <c r="E232" s="21" t="inlineStr">
        <is>
          <t>Гербіцид Напалм Форте 1 л Сімейний Сад Україна</t>
        </is>
      </c>
      <c r="F232" s="21" t="inlineStr">
        <is>
          <t>Гербіцид Напалм Форте (гліфосат) 100 мл Сімейний Сад</t>
        </is>
      </c>
      <c r="G232" s="23" t="n">
        <v>548</v>
      </c>
      <c r="H232" s="23" t="n">
        <v>108</v>
      </c>
      <c r="I232" s="21" t="inlineStr">
        <is>
          <t>назви схожі, але різні об'єми або розміри</t>
        </is>
      </c>
    </row>
    <row r="233">
      <c r="A233" s="22" t="n">
        <v>82</v>
      </c>
      <c r="B233" s="22" t="inlineStr">
        <is>
          <t>Водоспад</t>
        </is>
      </c>
      <c r="C233" s="22" t="inlineStr">
        <is>
          <t>1070679</t>
        </is>
      </c>
      <c r="D233" s="22" t="inlineStr">
        <is>
          <t>39646</t>
        </is>
      </c>
      <c r="E233" s="21" t="inlineStr">
        <is>
          <t>Вила садові Фіскарс / Fiskars Ergonomic (1070679) Фінляндія</t>
        </is>
      </c>
      <c r="F233" s="21" t="inlineStr">
        <is>
          <t>Садові вила Fiskars Ergonomic (1001695)</t>
        </is>
      </c>
      <c r="G233" s="23" t="n">
        <v>2699</v>
      </c>
      <c r="H233" s="23" t="n">
        <v>1499</v>
      </c>
      <c r="I233" s="21" t="inlineStr">
        <is>
          <t>назви схожі, але різні коди виробника</t>
        </is>
      </c>
    </row>
    <row r="234">
      <c r="A234" s="22" t="n">
        <v>82</v>
      </c>
      <c r="B234" s="22" t="inlineStr">
        <is>
          <t>Водоспад</t>
        </is>
      </c>
      <c r="C234" s="22" t="inlineStr">
        <is>
          <t>3622 INOX.B</t>
        </is>
      </c>
      <c r="D234" s="22" t="inlineStr">
        <is>
          <t>42219</t>
        </is>
      </c>
      <c r="E234" s="21" t="inlineStr">
        <is>
          <t>Секатор для збирання винограду Bellota (3622 INOX.B) Іспанія</t>
        </is>
      </c>
      <c r="F234" s="21" t="inlineStr">
        <is>
          <t>Секатор Bellota для збирання врожаю Bellota (3622)</t>
        </is>
      </c>
      <c r="G234" s="23" t="n">
        <v>585</v>
      </c>
      <c r="H234" s="23" t="n">
        <v>585</v>
      </c>
      <c r="I234" s="21" t="inlineStr">
        <is>
          <t>назви схожі, різняться словами: inox, винограду, врожаю</t>
        </is>
      </c>
    </row>
    <row r="235">
      <c r="A235" s="22" t="n">
        <v>82</v>
      </c>
      <c r="B235" s="22" t="inlineStr">
        <is>
          <t>Клуб Рослин</t>
        </is>
      </c>
      <c r="C235" s="22" t="inlineStr">
        <is>
          <t>1015619</t>
        </is>
      </c>
      <c r="D235" s="22" t="inlineStr">
        <is>
          <t>12315</t>
        </is>
      </c>
      <c r="E235" s="21" t="inlineStr">
        <is>
          <t>Універсальна сокира Фіскарс Fiskars S X10 121443 (1015619) Фінляндія</t>
        </is>
      </c>
      <c r="F235" s="21" t="inlineStr">
        <is>
          <t>Сокира Fiskars Х10 універсальна</t>
        </is>
      </c>
      <c r="G235" s="23" t="n">
        <v>2399</v>
      </c>
      <c r="H235" s="23" t="n">
        <v>1407</v>
      </c>
      <c r="I235" s="21" t="inlineStr">
        <is>
          <t>назви схожі, різняться словами: фінляндія, фіскарс</t>
        </is>
      </c>
    </row>
    <row r="236">
      <c r="A236" s="22" t="n">
        <v>81.90000000000001</v>
      </c>
      <c r="B236" s="22" t="inlineStr">
        <is>
          <t>Водоспад</t>
        </is>
      </c>
      <c r="C236" s="22" t="inlineStr">
        <is>
          <t>613/10.5</t>
        </is>
      </c>
      <c r="D236" s="22" t="inlineStr">
        <is>
          <t>32810</t>
        </is>
      </c>
      <c r="E236" s="21" t="inlineStr">
        <is>
          <t>Щеплювальний садовий ніж Тіна / Tina (613/10.5) Німеччина</t>
        </is>
      </c>
      <c r="F236" s="21" t="inlineStr">
        <is>
          <t>Ніж легкий садовий TINA 613/10,5 (Німеччина)</t>
        </is>
      </c>
      <c r="G236" s="23" t="n">
        <v>5099</v>
      </c>
      <c r="H236" s="23" t="n">
        <v>5099</v>
      </c>
      <c r="I236" s="21" t="inlineStr">
        <is>
          <t>назви схожі, різняться словами: легкий, тіна, щеплювальний</t>
        </is>
      </c>
    </row>
    <row r="237">
      <c r="A237" s="22" t="n">
        <v>81.90000000000001</v>
      </c>
      <c r="B237" s="22" t="inlineStr">
        <is>
          <t>Клуб Рослин</t>
        </is>
      </c>
      <c r="C237" s="22" t="inlineStr">
        <is>
          <t>BCL240</t>
        </is>
      </c>
      <c r="D237" s="22" t="inlineStr">
        <is>
          <t>12033</t>
        </is>
      </c>
      <c r="E237" s="21" t="inlineStr">
        <is>
          <t>Секатор акумуляторний Bahco BCL240</t>
        </is>
      </c>
      <c r="F237" s="21" t="inlineStr">
        <is>
          <t>Секатор акумуляторний з електроприводом Bahco BCL21</t>
        </is>
      </c>
      <c r="G237" s="23" t="n">
        <v>20025</v>
      </c>
      <c r="H237" s="23" t="n">
        <v>49900</v>
      </c>
      <c r="I237" s="21" t="inlineStr">
        <is>
          <t>назви схожі, різняться словами: електроприводом</t>
        </is>
      </c>
    </row>
    <row r="238">
      <c r="A238" s="22" t="n">
        <v>81.90000000000001</v>
      </c>
      <c r="B238" s="22" t="inlineStr">
        <is>
          <t>Клуб Рослин</t>
        </is>
      </c>
      <c r="C238" s="22" t="inlineStr">
        <is>
          <t>R160A</t>
        </is>
      </c>
      <c r="D238" s="22" t="inlineStr">
        <is>
          <t>10270</t>
        </is>
      </c>
      <c r="E238" s="21" t="inlineStr">
        <is>
          <t>Запасне лезо для сучкоріза Bahco P-160 R160A</t>
        </is>
      </c>
      <c r="F238" s="21" t="inlineStr">
        <is>
          <t>Контр-лезо до сучкоріза Bahco P160 (R260A)</t>
        </is>
      </c>
      <c r="G238" s="23" t="n">
        <v>1160</v>
      </c>
      <c r="H238" s="23" t="n">
        <v>1090</v>
      </c>
      <c r="I238" s="21" t="inlineStr">
        <is>
          <t>назви схожі, різняться словами: запасне, контр</t>
        </is>
      </c>
    </row>
    <row r="239">
      <c r="A239" s="22" t="n">
        <v>81.90000000000001</v>
      </c>
      <c r="B239" s="22" t="inlineStr">
        <is>
          <t>Клуб Рослин</t>
        </is>
      </c>
      <c r="C239" s="22" t="inlineStr">
        <is>
          <t>3345</t>
        </is>
      </c>
      <c r="D239" s="22" t="inlineStr">
        <is>
          <t>14106</t>
        </is>
      </c>
      <c r="E239" s="21" t="inlineStr">
        <is>
          <t>Фунгіцид Фрідом 100 мл Сімейний Сад Україна</t>
        </is>
      </c>
      <c r="F239" s="21" t="inlineStr">
        <is>
          <t>Фунгіцид Фрідом Sano К.С. (флуазинам + диметоморф) 100 мл Сімейний Сад</t>
        </is>
      </c>
      <c r="G239" s="23" t="n">
        <v>298</v>
      </c>
      <c r="H239" s="23" t="n">
        <v>310</v>
      </c>
      <c r="I239" s="21" t="inlineStr">
        <is>
          <t>назви схожі, різняться словами: sano, диметоморф, флуазинам</t>
        </is>
      </c>
    </row>
    <row r="240">
      <c r="A240" s="22" t="n">
        <v>81.8</v>
      </c>
      <c r="B240" s="22" t="inlineStr">
        <is>
          <t>Клуб Рослин</t>
        </is>
      </c>
      <c r="C240" s="22" t="inlineStr">
        <is>
          <t>5010003N</t>
        </is>
      </c>
      <c r="D240" s="22" t="inlineStr">
        <is>
          <t>10610</t>
        </is>
      </c>
      <c r="E240" s="21" t="inlineStr">
        <is>
          <t>Мастика Арборін / Arborinn 1 кг для холодного щеплення (5010003N) AgriChem Італія</t>
        </is>
      </c>
      <c r="F240" s="21" t="inlineStr">
        <is>
          <t>Мастика для холодного щеплення (лак-бальзам) Arborinn, 1 кг / Арборін, 1 кг</t>
        </is>
      </c>
      <c r="G240" s="23" t="n">
        <v>760</v>
      </c>
      <c r="H240" s="23" t="n">
        <v>750</v>
      </c>
      <c r="I240" s="21" t="inlineStr">
        <is>
          <t>назви схожі, різняться словами: agrichem, бальзам</t>
        </is>
      </c>
    </row>
    <row r="241">
      <c r="A241" s="22" t="n">
        <v>81.7</v>
      </c>
      <c r="B241" s="22" t="inlineStr">
        <is>
          <t>Водоспад</t>
        </is>
      </c>
      <c r="C241" s="22" t="inlineStr">
        <is>
          <t>PS-23</t>
        </is>
      </c>
      <c r="D241" s="22" t="inlineStr">
        <is>
          <t>42784</t>
        </is>
      </c>
      <c r="E241" s="21" t="inlineStr">
        <is>
          <t>Секатор-ножиці 200 мм Тобішо / Tobisho (PS-23) Японія</t>
        </is>
      </c>
      <c r="F241" s="21" t="inlineStr">
        <is>
          <t>Секатор-ножиці TOBISHO PS-23, 200 мм, сталь YCS-3</t>
        </is>
      </c>
      <c r="G241" s="23" t="n">
        <v>5999</v>
      </c>
      <c r="H241" s="23" t="n">
        <v>5999</v>
      </c>
      <c r="I241" s="21" t="inlineStr">
        <is>
          <t>назви схожі, різняться словами: сталь, тобішо</t>
        </is>
      </c>
    </row>
    <row r="242">
      <c r="A242" s="22" t="n">
        <v>81.7</v>
      </c>
      <c r="B242" s="22" t="inlineStr">
        <is>
          <t>Клуб Рослин</t>
        </is>
      </c>
      <c r="C242" s="22" t="inlineStr">
        <is>
          <t>396-HP</t>
        </is>
      </c>
      <c r="D242" s="22" t="inlineStr">
        <is>
          <t>12276</t>
        </is>
      </c>
      <c r="E242" s="21" t="inlineStr">
        <is>
          <t>Пила складна обрізна Bahco 396-HP</t>
        </is>
      </c>
      <c r="F242" s="21" t="inlineStr">
        <is>
          <t>Складна садова пила закалена Bahco 396-HP</t>
        </is>
      </c>
      <c r="G242" s="23" t="n">
        <v>1530</v>
      </c>
      <c r="H242" s="23" t="n">
        <v>1187.5</v>
      </c>
      <c r="I242" s="21" t="inlineStr">
        <is>
          <t>назви схожі, різняться словами: закалена, обрізна, садова</t>
        </is>
      </c>
    </row>
    <row r="243">
      <c r="A243" s="22" t="n">
        <v>81.7</v>
      </c>
      <c r="B243" s="22" t="inlineStr">
        <is>
          <t>Клуб Рослин</t>
        </is>
      </c>
      <c r="C243" s="22" t="inlineStr">
        <is>
          <t>BT5/25</t>
        </is>
      </c>
      <c r="D243" s="22" t="inlineStr">
        <is>
          <t>11348</t>
        </is>
      </c>
      <c r="E243" s="21" t="inlineStr">
        <is>
          <t>Стрічка - плівка для щеплення та окулірування BuddyTape (1 рулон) (без перфорації) 5 м х 25 мм BT5/25 Aglis Японія</t>
        </is>
      </c>
      <c r="F243" s="21" t="inlineStr">
        <is>
          <t>Плівка для щеплення Buddy Tape без перфорації 25мм х 5м, 1 рулон, стрічка Баді Тейп</t>
        </is>
      </c>
      <c r="G243" s="23" t="n">
        <v>520</v>
      </c>
      <c r="H243" s="23" t="n">
        <v>550</v>
      </c>
      <c r="I243" s="21" t="inlineStr">
        <is>
          <t>назви схожі, але різні бренди</t>
        </is>
      </c>
    </row>
    <row r="244">
      <c r="A244" s="22" t="n">
        <v>81.59999999999999</v>
      </c>
      <c r="B244" s="22" t="inlineStr">
        <is>
          <t>Водоспад</t>
        </is>
      </c>
      <c r="C244" s="22" t="inlineStr">
        <is>
          <t>55-90</t>
        </is>
      </c>
      <c r="D244" s="22" t="inlineStr">
        <is>
          <t>40540</t>
        </is>
      </c>
      <c r="E244" s="21" t="inlineStr">
        <is>
          <t>Плодомір-калібратор для фруктів 55-90 мм (55-90) Eko-Plon Польща</t>
        </is>
      </c>
      <c r="F244" s="21" t="inlineStr">
        <is>
          <t>Плодомір-калібратор для фруктів 8 шт 35-70 мм (35-70)</t>
        </is>
      </c>
      <c r="G244" s="23" t="n">
        <v>359</v>
      </c>
      <c r="H244" s="23" t="n">
        <v>359</v>
      </c>
      <c r="I244" s="21" t="inlineStr">
        <is>
          <t>назви схожі, але різні об'єми або розміри</t>
        </is>
      </c>
    </row>
    <row r="245">
      <c r="A245" s="22" t="n">
        <v>81.59999999999999</v>
      </c>
      <c r="B245" s="22" t="inlineStr">
        <is>
          <t>Клуб Рослин</t>
        </is>
      </c>
      <c r="C245" s="22" t="inlineStr">
        <is>
          <t>180ZF-3.0-5</t>
        </is>
      </c>
      <c r="D245" s="22" t="inlineStr">
        <is>
          <t>11812</t>
        </is>
      </c>
      <c r="E245" s="21" t="inlineStr">
        <is>
          <t>Секатор АРС / ARS (180ZF-3.0-5) телескопічний на штанзі 1.7–3 м Японія</t>
        </is>
      </c>
      <c r="F245" s="21" t="inlineStr">
        <is>
          <t>Секатор ARS 180 ZF-3.0-5 телескопічний на штанзі 1,7-3 м (висоторіз АРС 180 ZF-3.0-5)</t>
        </is>
      </c>
      <c r="G245" s="23" t="n">
        <v>4870</v>
      </c>
      <c r="H245" s="23" t="n">
        <v>4870</v>
      </c>
      <c r="I245" s="21" t="inlineStr">
        <is>
          <t>назви схожі, але різні об'єми або розміри</t>
        </is>
      </c>
    </row>
    <row r="246">
      <c r="A246" s="22" t="n">
        <v>81.59999999999999</v>
      </c>
      <c r="B246" s="22" t="inlineStr">
        <is>
          <t>Клуб Рослин</t>
        </is>
      </c>
      <c r="C246" s="22" t="inlineStr">
        <is>
          <t>40-002</t>
        </is>
      </c>
      <c r="D246" s="22" t="inlineStr">
        <is>
          <t>13871</t>
        </is>
      </c>
      <c r="E246" s="21" t="inlineStr">
        <is>
          <t>Лопата штикова Целлфаст / Cellfast ERGO 123 см 2.1кг (40-002) Польща</t>
        </is>
      </c>
      <c r="F246" s="21" t="inlineStr">
        <is>
          <t>Лопата штикова Cellfast Ergo 40-002 (Целфаст Ерго)</t>
        </is>
      </c>
      <c r="G246" s="23" t="n">
        <v>1794</v>
      </c>
      <c r="H246" s="23" t="n">
        <v>1794</v>
      </c>
      <c r="I246" s="21" t="inlineStr">
        <is>
          <t>назви схожі, різняться словами: ерго, целлфаст, целфаст</t>
        </is>
      </c>
    </row>
    <row r="247">
      <c r="A247" s="22" t="n">
        <v>81.59999999999999</v>
      </c>
      <c r="B247" s="22" t="inlineStr">
        <is>
          <t>Клуб Рослин</t>
        </is>
      </c>
      <c r="C247" s="22" t="inlineStr">
        <is>
          <t>1-501</t>
        </is>
      </c>
      <c r="D247" s="22" t="inlineStr">
        <is>
          <t>14962</t>
        </is>
      </c>
      <c r="E247" s="21" t="inlineStr">
        <is>
          <t>Садова замазка Balsam Pro / Бальзам Про 1 кг Royal Mix</t>
        </is>
      </c>
      <c r="F247" s="21" t="inlineStr">
        <is>
          <t>Садова замазка Balsam Pro Royal Mix 500 г (Роял Мікс)</t>
        </is>
      </c>
      <c r="G247" s="23" t="n">
        <v>848</v>
      </c>
      <c r="H247" s="23" t="n">
        <v>550</v>
      </c>
      <c r="I247" s="21" t="inlineStr">
        <is>
          <t>назви схожі, але різні об'єми або розміри</t>
        </is>
      </c>
    </row>
    <row r="248">
      <c r="A248" s="22" t="n">
        <v>81.5</v>
      </c>
      <c r="B248" s="22" t="inlineStr">
        <is>
          <t>Клуб Рослин</t>
        </is>
      </c>
      <c r="C248" s="22" t="inlineStr">
        <is>
          <t>1066707</t>
        </is>
      </c>
      <c r="D248" s="22" t="inlineStr">
        <is>
          <t>10543</t>
        </is>
      </c>
      <c r="E248" s="21" t="inlineStr">
        <is>
          <t>Лопата штикова Fiskars Ergonomic Pro XL (1066707) Фінляндія</t>
        </is>
      </c>
      <c r="F248" s="21" t="inlineStr">
        <is>
          <t>Лопата Fiskars Ergonomic 131410 штикова</t>
        </is>
      </c>
      <c r="G248" s="23" t="n">
        <v>2899</v>
      </c>
      <c r="H248" s="23" t="n">
        <v>1699</v>
      </c>
      <c r="I248" s="21" t="inlineStr">
        <is>
          <t>назви схожі, але різні коди виробника</t>
        </is>
      </c>
    </row>
    <row r="249">
      <c r="A249" s="22" t="n">
        <v>81.5</v>
      </c>
      <c r="B249" s="22" t="inlineStr">
        <is>
          <t>Клуб Рослин</t>
        </is>
      </c>
      <c r="C249" s="22" t="inlineStr">
        <is>
          <t>P1-23</t>
        </is>
      </c>
      <c r="D249" s="22" t="inlineStr">
        <is>
          <t>11846</t>
        </is>
      </c>
      <c r="E249" s="21" t="inlineStr">
        <is>
          <t>Секатор Bahco P1-23 для обрізання саду, троянд, винорга</t>
        </is>
      </c>
      <c r="F249" s="21" t="inlineStr">
        <is>
          <t>Секатор Bahco P1-23 для обрізки саду</t>
        </is>
      </c>
      <c r="G249" s="23" t="n">
        <v>1660</v>
      </c>
      <c r="H249" s="23" t="n">
        <v>1660</v>
      </c>
      <c r="I249" s="21" t="inlineStr">
        <is>
          <t>назви схожі, різняться словами: винорга, обрізання, обрізки та ще 1</t>
        </is>
      </c>
    </row>
    <row r="250">
      <c r="A250" s="22" t="n">
        <v>81.2</v>
      </c>
      <c r="B250" s="22" t="inlineStr">
        <is>
          <t>Водоспад</t>
        </is>
      </c>
      <c r="C250" s="22" t="inlineStr">
        <is>
          <t>1066712</t>
        </is>
      </c>
      <c r="D250" s="22" t="inlineStr">
        <is>
          <t>37372</t>
        </is>
      </c>
      <c r="E250" s="21" t="inlineStr">
        <is>
          <t>Лопата совкова Фіскарс / Fiskars Ergonomic (1066712) Фінляндія</t>
        </is>
      </c>
      <c r="F250" s="21" t="inlineStr">
        <is>
          <t>Лопата совкова Fiskars Ergonomic (1001579)</t>
        </is>
      </c>
      <c r="G250" s="23" t="n">
        <v>2599</v>
      </c>
      <c r="H250" s="23" t="n">
        <v>1499</v>
      </c>
      <c r="I250" s="21" t="inlineStr">
        <is>
          <t>назви схожі, але різні коди виробника</t>
        </is>
      </c>
    </row>
    <row r="251">
      <c r="A251" s="22" t="n">
        <v>81.2</v>
      </c>
      <c r="B251" s="22" t="inlineStr">
        <is>
          <t>Водоспад</t>
        </is>
      </c>
      <c r="C251" s="22" t="inlineStr">
        <is>
          <t>PROF-LOPP</t>
        </is>
      </c>
      <c r="D251" s="22" t="inlineStr">
        <is>
          <t>33877</t>
        </is>
      </c>
      <c r="E251" s="21" t="inlineStr">
        <is>
          <t>Чохол Bahco PROF-LOPP</t>
        </is>
      </c>
      <c r="F251" s="21" t="inlineStr">
        <is>
          <t>Чохол для сучкорізів BAHCO PROF-LOPP (PROF-LOPP)</t>
        </is>
      </c>
      <c r="G251" s="23" t="n">
        <v>1590</v>
      </c>
      <c r="H251" s="23" t="n">
        <v>1590</v>
      </c>
      <c r="I251" s="21" t="inlineStr">
        <is>
          <t>назви схожі, різняться словами: сучкорізів</t>
        </is>
      </c>
    </row>
    <row r="252">
      <c r="A252" s="22" t="n">
        <v>81.2</v>
      </c>
      <c r="B252" s="22" t="inlineStr">
        <is>
          <t>Водоспад</t>
        </is>
      </c>
      <c r="C252" s="22" t="inlineStr">
        <is>
          <t>910</t>
        </is>
      </c>
      <c r="D252" s="22" t="inlineStr">
        <is>
          <t>33928</t>
        </is>
      </c>
      <c r="E252" s="21" t="inlineStr">
        <is>
          <t>Чохол для секатора шкіряний Фелко / Felco 910 Швейцарія</t>
        </is>
      </c>
      <c r="F252" s="21" t="inlineStr">
        <is>
          <t>Шкіряний чохол Felco (910+)</t>
        </is>
      </c>
      <c r="G252" s="23" t="n">
        <v>1399</v>
      </c>
      <c r="H252" s="23" t="n">
        <v>1399</v>
      </c>
      <c r="I252" s="21" t="inlineStr">
        <is>
          <t>назви схожі, різняться словами: секатора, фелко</t>
        </is>
      </c>
    </row>
    <row r="253">
      <c r="A253" s="22" t="n">
        <v>81.2</v>
      </c>
      <c r="B253" s="22" t="inlineStr">
        <is>
          <t>Водоспад</t>
        </is>
      </c>
      <c r="C253" s="22" t="inlineStr">
        <is>
          <t>150</t>
        </is>
      </c>
      <c r="D253" s="22" t="inlineStr">
        <is>
          <t>43382</t>
        </is>
      </c>
      <c r="E253" s="21" t="inlineStr">
        <is>
          <t>Садовий секатор обвідний Альпен / Alpen Gelbhorn 207 мм (150) Швейцарія</t>
        </is>
      </c>
      <c r="F253" s="21" t="inlineStr">
        <is>
          <t>Садовий секатор ALPEN Gelbhorn 150, обвідний, 205 мм, зріз до 20 мм</t>
        </is>
      </c>
      <c r="G253" s="23" t="n">
        <v>1299</v>
      </c>
      <c r="H253" s="23" t="n">
        <v>1299</v>
      </c>
      <c r="I253" s="21" t="inlineStr">
        <is>
          <t>назви схожі, але різні об'єми або розміри</t>
        </is>
      </c>
    </row>
    <row r="254">
      <c r="A254" s="22" t="n">
        <v>81.2</v>
      </c>
      <c r="B254" s="22" t="inlineStr">
        <is>
          <t>Клуб Рослин</t>
        </is>
      </c>
      <c r="C254" s="22" t="inlineStr">
        <is>
          <t>1000L</t>
        </is>
      </c>
      <c r="D254" s="22" t="inlineStr">
        <is>
          <t>15810</t>
        </is>
      </c>
      <c r="E254" s="21" t="inlineStr">
        <is>
          <t>Кущоріз телескопічний 68-103 см Камакі / Kamaki (1000L) Японія</t>
        </is>
      </c>
      <c r="F254" s="21" t="inlineStr">
        <is>
          <t>Садові ножиці Kamaki 1000L японські телескопічні 68-103 см (кущорізи Камакі 1000L)</t>
        </is>
      </c>
      <c r="G254" s="23" t="n">
        <v>3099</v>
      </c>
      <c r="H254" s="23" t="n">
        <v>3099</v>
      </c>
      <c r="I254" s="21" t="inlineStr">
        <is>
          <t>назви схожі, різняться словами: кущоріз, кущорізи, ножиці та ще 4</t>
        </is>
      </c>
    </row>
    <row r="255">
      <c r="A255" s="22" t="n">
        <v>81.2</v>
      </c>
      <c r="B255" s="22" t="inlineStr">
        <is>
          <t>Клуб Рослин</t>
        </is>
      </c>
      <c r="C255" s="22" t="inlineStr">
        <is>
          <t>1066712</t>
        </is>
      </c>
      <c r="D255" s="22" t="inlineStr">
        <is>
          <t>10544</t>
        </is>
      </c>
      <c r="E255" s="21" t="inlineStr">
        <is>
          <t>Лопата совкова Фіскарс / Fiskars Ergonomic (1066712) Фінляндія</t>
        </is>
      </c>
      <c r="F255" s="21" t="inlineStr">
        <is>
          <t>Лопата Fiskars Ergonomic 132400 совкова</t>
        </is>
      </c>
      <c r="G255" s="23" t="n">
        <v>2599</v>
      </c>
      <c r="H255" s="23" t="n">
        <v>958.3</v>
      </c>
      <c r="I255" s="21" t="inlineStr">
        <is>
          <t>назви схожі, але різні коди виробника</t>
        </is>
      </c>
    </row>
    <row r="256">
      <c r="A256" s="22" t="n">
        <v>81.09999999999999</v>
      </c>
      <c r="B256" s="22" t="inlineStr">
        <is>
          <t>Водоспад</t>
        </is>
      </c>
      <c r="C256" s="22" t="inlineStr">
        <is>
          <t>125/21S</t>
        </is>
      </c>
      <c r="D256" s="22" t="inlineStr">
        <is>
          <t>33232</t>
        </is>
      </c>
      <c r="E256" s="21" t="inlineStr">
        <is>
          <t>Секатор Due Buoi (125/21S) Італія</t>
        </is>
      </c>
      <c r="F256" s="21" t="inlineStr">
        <is>
          <t>Прищепний секатор Due Buoi 303/21 (Італія)</t>
        </is>
      </c>
      <c r="G256" s="23" t="n">
        <v>1960</v>
      </c>
      <c r="H256" s="23" t="n">
        <v>1999</v>
      </c>
      <c r="I256" s="21" t="inlineStr">
        <is>
          <t>назви схожі, різняться словами: прищепний</t>
        </is>
      </c>
    </row>
    <row r="257">
      <c r="A257" s="22" t="n">
        <v>81.09999999999999</v>
      </c>
      <c r="B257" s="22" t="inlineStr">
        <is>
          <t>Водоспад</t>
        </is>
      </c>
      <c r="C257" s="22" t="inlineStr">
        <is>
          <t>125/18S</t>
        </is>
      </c>
      <c r="D257" s="22" t="inlineStr">
        <is>
          <t>33232</t>
        </is>
      </c>
      <c r="E257" s="21" t="inlineStr">
        <is>
          <t>Секатор Due Buoi (125/18S) Італія</t>
        </is>
      </c>
      <c r="F257" s="21" t="inlineStr">
        <is>
          <t>Прищепний секатор Due Buoi 303/21 (Італія)</t>
        </is>
      </c>
      <c r="G257" s="23" t="n">
        <v>1949</v>
      </c>
      <c r="H257" s="23" t="n">
        <v>1999</v>
      </c>
      <c r="I257" s="21" t="inlineStr">
        <is>
          <t>назви схожі, різняться словами: прищепний</t>
        </is>
      </c>
    </row>
    <row r="258">
      <c r="A258" s="22" t="n">
        <v>81.09999999999999</v>
      </c>
      <c r="B258" s="22" t="inlineStr">
        <is>
          <t>Клуб Рослин</t>
        </is>
      </c>
      <c r="C258" s="22" t="inlineStr">
        <is>
          <t>SR-L-ECO-770</t>
        </is>
      </c>
      <c r="D258" s="22" t="inlineStr">
        <is>
          <t>16112</t>
        </is>
      </c>
      <c r="E258" s="21" t="inlineStr">
        <is>
          <t>Планувальник грунту ручний з держаком Смарт Рейн / Smart Rain (SR-L-ECO-770)</t>
        </is>
      </c>
      <c r="F258" s="21" t="inlineStr">
        <is>
          <t>Планувальник грунту Smart Rain ручний 590х230 мм без держака SR-L-590 (Смарт Рейн SR-L-590)</t>
        </is>
      </c>
      <c r="G258" s="23" t="n">
        <v>2695</v>
      </c>
      <c r="H258" s="23" t="n">
        <v>1899</v>
      </c>
      <c r="I258" s="21" t="inlineStr">
        <is>
          <t>назви схожі, але різні коди виробника</t>
        </is>
      </c>
    </row>
    <row r="259">
      <c r="A259" s="22" t="n">
        <v>81.09999999999999</v>
      </c>
      <c r="B259" s="22" t="inlineStr">
        <is>
          <t>Клуб Рослин</t>
        </is>
      </c>
      <c r="C259" s="22" t="inlineStr">
        <is>
          <t>2160</t>
        </is>
      </c>
      <c r="D259" s="22" t="inlineStr">
        <is>
          <t>9837</t>
        </is>
      </c>
      <c r="E259" s="21" t="inlineStr">
        <is>
          <t>Інсектицид Твікс 500 мл Сімейний Сад Україна</t>
        </is>
      </c>
      <c r="F259" s="21" t="inlineStr">
        <is>
          <t>Інсектицид Твікс К.Е. (хлорпирифос + циперметрин) 500 мл Сімейний Сад</t>
        </is>
      </c>
      <c r="G259" s="23" t="n">
        <v>548</v>
      </c>
      <c r="H259" s="23" t="n">
        <v>220</v>
      </c>
      <c r="I259" s="21" t="inlineStr">
        <is>
          <t>назви схожі, різняться словами: хлорпирифос, циперметрин</t>
        </is>
      </c>
    </row>
    <row r="260">
      <c r="A260" s="22" t="n">
        <v>81</v>
      </c>
      <c r="B260" s="22" t="inlineStr">
        <is>
          <t>Водоспад</t>
        </is>
      </c>
      <c r="C260" s="22" t="inlineStr">
        <is>
          <t>5796/N</t>
        </is>
      </c>
      <c r="D260" s="22" t="inlineStr">
        <is>
          <t>40625</t>
        </is>
      </c>
      <c r="E260" s="21" t="inlineStr">
        <is>
          <t>Садовий ніж для щеплення Антоніні / Antonini 17 см (5796/N) Італія</t>
        </is>
      </c>
      <c r="F260" s="21" t="inlineStr">
        <is>
          <t>Ніж садовий для щеплення Antonini, 17 см, сталь - C67 (5776/N)</t>
        </is>
      </c>
      <c r="G260" s="23" t="n">
        <v>430</v>
      </c>
      <c r="H260" s="23" t="n">
        <v>550</v>
      </c>
      <c r="I260" s="21" t="inlineStr">
        <is>
          <t>назви схожі, але різні коди виробника</t>
        </is>
      </c>
    </row>
    <row r="261">
      <c r="A261" s="22" t="n">
        <v>81</v>
      </c>
      <c r="B261" s="22" t="inlineStr">
        <is>
          <t>Клуб Рослин</t>
        </is>
      </c>
      <c r="C261" s="22" t="inlineStr">
        <is>
          <t>1082130</t>
        </is>
      </c>
      <c r="D261" s="22" t="inlineStr">
        <is>
          <t>12315</t>
        </is>
      </c>
      <c r="E261" s="21" t="inlineStr">
        <is>
          <t>Універсальна сокира Fiskars Ultra XU14 (1082130) Фінляндія</t>
        </is>
      </c>
      <c r="F261" s="21" t="inlineStr">
        <is>
          <t>Сокира Fiskars Х10 універсальна</t>
        </is>
      </c>
      <c r="G261" s="23" t="n">
        <v>4499</v>
      </c>
      <c r="H261" s="23" t="n">
        <v>1407</v>
      </c>
      <c r="I261" s="21" t="inlineStr">
        <is>
          <t>назви схожі, різняться словами: ultra, фінляндія</t>
        </is>
      </c>
    </row>
    <row r="262">
      <c r="A262" s="22" t="n">
        <v>81</v>
      </c>
      <c r="B262" s="22" t="inlineStr">
        <is>
          <t>Клуб Рослин</t>
        </is>
      </c>
      <c r="C262" s="22" t="inlineStr">
        <is>
          <t>3402.B</t>
        </is>
      </c>
      <c r="D262" s="22" t="inlineStr">
        <is>
          <t>16154</t>
        </is>
      </c>
      <c r="E262" s="21" t="inlineStr">
        <is>
          <t>Секатор 195 мм з коваделком Bellota (3402.B) Іспанія</t>
        </is>
      </c>
      <c r="F262" s="21" t="inlineStr">
        <is>
          <t>Секатор Bellota 3410 з коваделком 195 мм (Беллота 3410)</t>
        </is>
      </c>
      <c r="G262" s="23" t="n">
        <v>969</v>
      </c>
      <c r="H262" s="23" t="n">
        <v>685</v>
      </c>
      <c r="I262" s="21" t="inlineStr">
        <is>
          <t>назви схожі, але різні коди виробника</t>
        </is>
      </c>
    </row>
    <row r="263">
      <c r="A263" s="22" t="n">
        <v>81</v>
      </c>
      <c r="B263" s="22" t="inlineStr">
        <is>
          <t>Клуб Рослин</t>
        </is>
      </c>
      <c r="C263" s="22" t="inlineStr">
        <is>
          <t>Alpen-910</t>
        </is>
      </c>
      <c r="D263" s="22" t="inlineStr">
        <is>
          <t>14594</t>
        </is>
      </c>
      <c r="E263" s="21" t="inlineStr">
        <is>
          <t>Мастило Альпен Тамбо / Alpen Tambo (910) Швейцарія</t>
        </is>
      </c>
      <c r="F263" s="21" t="inlineStr">
        <is>
          <t>Мастило Alpen Tambo 910 синтетичне (Альпен Тамбо 910)</t>
        </is>
      </c>
      <c r="G263" s="23" t="n">
        <v>410</v>
      </c>
      <c r="H263" s="23" t="n">
        <v>410</v>
      </c>
      <c r="I263" s="21" t="inlineStr">
        <is>
          <t>назви схожі, різняться словами: синтетичне</t>
        </is>
      </c>
    </row>
    <row r="264">
      <c r="A264" s="22" t="n">
        <v>81</v>
      </c>
      <c r="B264" s="22" t="inlineStr">
        <is>
          <t>Клуб Рослин</t>
        </is>
      </c>
      <c r="C264" s="22" t="inlineStr">
        <is>
          <t>7252</t>
        </is>
      </c>
      <c r="D264" s="22" t="inlineStr">
        <is>
          <t>9219</t>
        </is>
      </c>
      <c r="E264" s="21" t="inlineStr">
        <is>
          <t>Добриво Плодоношення 1 л SmartGrow Україна</t>
        </is>
      </c>
      <c r="F264" s="21" t="inlineStr">
        <is>
          <t>Добриво SmartGrow ПЛОДОНОШЕННЯ, 25 мл Смарт Гроу</t>
        </is>
      </c>
      <c r="G264" s="23" t="n">
        <v>231</v>
      </c>
      <c r="H264" s="23" t="n">
        <v>20</v>
      </c>
      <c r="I264" s="21" t="inlineStr">
        <is>
          <t>назви схожі, але різні об'єми або розміри</t>
        </is>
      </c>
    </row>
    <row r="265">
      <c r="A265" s="22" t="n">
        <v>81</v>
      </c>
      <c r="B265" s="22" t="inlineStr">
        <is>
          <t>Клуб Рослин</t>
        </is>
      </c>
      <c r="C265" s="22" t="inlineStr">
        <is>
          <t>121000333202</t>
        </is>
      </c>
      <c r="D265" s="22" t="inlineStr">
        <is>
          <t>14594</t>
        </is>
      </c>
      <c r="E265" s="21" t="inlineStr">
        <is>
          <t>Мастило Альпен Тамбо / Alpen Tambo (910) Швейцарія</t>
        </is>
      </c>
      <c r="F265" s="21" t="inlineStr">
        <is>
          <t>Мастило Alpen Tambo 910 синтетичне (Альпен Тамбо 910)</t>
        </is>
      </c>
      <c r="G265" s="23" t="n"/>
      <c r="H265" s="23" t="n">
        <v>410</v>
      </c>
      <c r="I265" s="21" t="inlineStr">
        <is>
          <t>назви схожі, різняться словами: синтетичне</t>
        </is>
      </c>
    </row>
    <row r="266">
      <c r="A266" s="22" t="n">
        <v>80.90000000000001</v>
      </c>
      <c r="B266" s="22" t="inlineStr">
        <is>
          <t>Клуб Рослин</t>
        </is>
      </c>
      <c r="C266" s="22" t="inlineStr">
        <is>
          <t>1057912</t>
        </is>
      </c>
      <c r="D266" s="22" t="inlineStr">
        <is>
          <t>12314</t>
        </is>
      </c>
      <c r="E266" s="21" t="inlineStr">
        <is>
          <t>Набір для кемпінгу Fiskars Сокира XXS X5 + Ніж + Пила (1057912) Фінляндія</t>
        </is>
      </c>
      <c r="F266" s="21" t="inlineStr">
        <is>
          <t>Сокира Fiskars X5 для кемпінгу</t>
        </is>
      </c>
      <c r="G266" s="23" t="n">
        <v>4999</v>
      </c>
      <c r="H266" s="23" t="n">
        <v>1147.09</v>
      </c>
      <c r="I266" s="21" t="inlineStr">
        <is>
          <t>назви схожі, різняться словами: xxs, набір, пила та ще 1</t>
        </is>
      </c>
    </row>
    <row r="267">
      <c r="A267" s="22" t="n">
        <v>80.90000000000001</v>
      </c>
      <c r="B267" s="22" t="inlineStr">
        <is>
          <t>Клуб Рослин</t>
        </is>
      </c>
      <c r="C267" s="22" t="inlineStr">
        <is>
          <t>PX-M2</t>
        </is>
      </c>
      <c r="D267" s="22" t="inlineStr">
        <is>
          <t>11857</t>
        </is>
      </c>
      <c r="E267" s="21" t="inlineStr">
        <is>
          <t>Секатор Bahco PX-M2 Бахо</t>
        </is>
      </c>
      <c r="F267" s="21" t="inlineStr">
        <is>
          <t>Секатор Bahco PX-M2 ергономічний</t>
        </is>
      </c>
      <c r="G267" s="23" t="n">
        <v>2475</v>
      </c>
      <c r="H267" s="23" t="n">
        <v>1605</v>
      </c>
      <c r="I267" s="21" t="inlineStr">
        <is>
          <t>назви схожі, різняться словами: бахо, ергономічний</t>
        </is>
      </c>
    </row>
    <row r="268">
      <c r="A268" s="22" t="n">
        <v>80.90000000000001</v>
      </c>
      <c r="B268" s="22" t="inlineStr">
        <is>
          <t>Клуб Рослин</t>
        </is>
      </c>
      <c r="C268" s="22" t="inlineStr">
        <is>
          <t>12.104</t>
        </is>
      </c>
      <c r="D268" s="22" t="inlineStr">
        <is>
          <t>11979</t>
        </is>
      </c>
      <c r="E268" s="21" t="inlineStr">
        <is>
          <t>Секатор обвідний Льове / Lowe Original (12.104) Німеччина</t>
        </is>
      </c>
      <c r="F268" s="21" t="inlineStr">
        <is>
          <t>Секатор Lowe 9.104 обвідний (Льове 9.104)</t>
        </is>
      </c>
      <c r="G268" s="23" t="n">
        <v>2440</v>
      </c>
      <c r="H268" s="23" t="n">
        <v>3190</v>
      </c>
      <c r="I268" s="21" t="inlineStr">
        <is>
          <t>назви схожі, але різні коди виробника</t>
        </is>
      </c>
    </row>
    <row r="269">
      <c r="A269" s="22" t="n">
        <v>80.8</v>
      </c>
      <c r="B269" s="22" t="inlineStr">
        <is>
          <t>Водоспад</t>
        </is>
      </c>
      <c r="C269" s="22" t="inlineStr">
        <is>
          <t>P11</t>
        </is>
      </c>
      <c r="D269" s="22" t="inlineStr">
        <is>
          <t>32016</t>
        </is>
      </c>
      <c r="E269" s="21" t="inlineStr">
        <is>
          <t>Ніж для щеплення P11 Bahco</t>
        </is>
      </c>
      <c r="F269" s="21" t="inlineStr">
        <is>
          <t>Підрубний ніж Bahco 2448 (для щеплення</t>
        </is>
      </c>
      <c r="G269" s="23" t="n">
        <v>1559</v>
      </c>
      <c r="H269" s="23" t="n">
        <v>1450</v>
      </c>
      <c r="I269" s="21" t="inlineStr">
        <is>
          <t>назви схожі, різняться словами: підрубний</t>
        </is>
      </c>
    </row>
    <row r="270">
      <c r="A270" s="22" t="n">
        <v>80.8</v>
      </c>
      <c r="B270" s="22" t="inlineStr">
        <is>
          <t>Клуб Рослин</t>
        </is>
      </c>
      <c r="C270" s="22" t="inlineStr">
        <is>
          <t>BCL25IB</t>
        </is>
      </c>
      <c r="D270" s="22" t="inlineStr">
        <is>
          <t>12033</t>
        </is>
      </c>
      <c r="E270" s="21" t="inlineStr">
        <is>
          <t>Секатор акумуляторний Bahco BCL25IB</t>
        </is>
      </c>
      <c r="F270" s="21" t="inlineStr">
        <is>
          <t>Секатор акумуляторний з електроприводом Bahco BCL21</t>
        </is>
      </c>
      <c r="G270" s="23" t="n">
        <v>33750</v>
      </c>
      <c r="H270" s="23" t="n">
        <v>49900</v>
      </c>
      <c r="I270" s="21" t="inlineStr">
        <is>
          <t>назви схожі, різняться словами: електроприводом</t>
        </is>
      </c>
    </row>
    <row r="271">
      <c r="A271" s="22" t="n">
        <v>80.8</v>
      </c>
      <c r="B271" s="22" t="inlineStr">
        <is>
          <t>Клуб Рослин</t>
        </is>
      </c>
      <c r="C271" s="22" t="inlineStr">
        <is>
          <t>40-220</t>
        </is>
      </c>
      <c r="D271" s="22" t="inlineStr">
        <is>
          <t>13731</t>
        </is>
      </c>
      <c r="E271" s="21" t="inlineStr">
        <is>
          <t>Вила для копання Целлфаст / Cellfast IDEAL 120 см 1.8 кг (40-220) Польща</t>
        </is>
      </c>
      <c r="F271" s="21" t="inlineStr">
        <is>
          <t>Вила для копання IDEAL LINE Cellfast, 40-220</t>
        </is>
      </c>
      <c r="G271" s="23" t="n">
        <v>698</v>
      </c>
      <c r="H271" s="23" t="n">
        <v>1134.24</v>
      </c>
      <c r="I271" s="21" t="inlineStr">
        <is>
          <t>назви схожі, різняться словами: line, целлфаст</t>
        </is>
      </c>
    </row>
    <row r="272">
      <c r="A272" s="22" t="n">
        <v>80.8</v>
      </c>
      <c r="B272" s="22" t="inlineStr">
        <is>
          <t>Клуб Рослин</t>
        </is>
      </c>
      <c r="C272" s="22" t="inlineStr">
        <is>
          <t>m3004</t>
        </is>
      </c>
      <c r="D272" s="22" t="inlineStr">
        <is>
          <t>15843</t>
        </is>
      </c>
      <c r="E272" s="21" t="inlineStr">
        <is>
          <t>Фунгіцид Квадріс SC к.с. 6мл.</t>
        </is>
      </c>
      <c r="F272" s="21" t="inlineStr">
        <is>
          <t>Фунгіцид Квадріс 250 (азоксистробін 250 г/л) SC к.с. 6 мл, Syngenta</t>
        </is>
      </c>
      <c r="G272" s="23" t="n">
        <v>40</v>
      </c>
      <c r="H272" s="23" t="n">
        <v>53</v>
      </c>
      <c r="I272" s="21" t="inlineStr">
        <is>
          <t>назви схожі, різняться словами: syngenta, азоксистробін</t>
        </is>
      </c>
    </row>
    <row r="273">
      <c r="A273" s="22" t="n">
        <v>80.7</v>
      </c>
      <c r="B273" s="22" t="inlineStr">
        <is>
          <t>Водоспад</t>
        </is>
      </c>
      <c r="C273" s="22" t="inlineStr">
        <is>
          <t>904</t>
        </is>
      </c>
      <c r="D273" s="22" t="inlineStr">
        <is>
          <t>41513</t>
        </is>
      </c>
      <c r="E273" s="21" t="inlineStr">
        <is>
          <t>Точильний інструмент Фелко / Felco 904</t>
        </is>
      </c>
      <c r="F273" s="21" t="inlineStr">
        <is>
          <t>Точильний інструмент Felco (Felco905)</t>
        </is>
      </c>
      <c r="G273" s="23" t="n">
        <v>1655</v>
      </c>
      <c r="H273" s="23" t="n">
        <v>1479</v>
      </c>
      <c r="I273" s="21" t="inlineStr">
        <is>
          <t>назви схожі, різняться словами: фелко</t>
        </is>
      </c>
    </row>
    <row r="274">
      <c r="A274" s="22" t="n">
        <v>80.7</v>
      </c>
      <c r="B274" s="22" t="inlineStr">
        <is>
          <t>Клуб Рослин</t>
        </is>
      </c>
      <c r="C274" s="22" t="inlineStr">
        <is>
          <t>1071936</t>
        </is>
      </c>
      <c r="D274" s="22" t="inlineStr">
        <is>
          <t>8695</t>
        </is>
      </c>
      <c r="E274" s="21" t="inlineStr">
        <is>
          <t>Вила для компосту Фіскарс / Fiskars Solid (1071936) Фінляндія</t>
        </is>
      </c>
      <c r="F274" s="21" t="inlineStr">
        <is>
          <t>Вила Fiskars Solid (133433) для компосту</t>
        </is>
      </c>
      <c r="G274" s="23" t="n">
        <v>2549</v>
      </c>
      <c r="H274" s="23" t="n">
        <v>697</v>
      </c>
      <c r="I274" s="21" t="inlineStr">
        <is>
          <t>назви схожі, але різні коди виробника</t>
        </is>
      </c>
    </row>
    <row r="275">
      <c r="A275" s="22" t="n">
        <v>80.7</v>
      </c>
      <c r="B275" s="22" t="inlineStr">
        <is>
          <t>Клуб Рослин</t>
        </is>
      </c>
      <c r="C275" s="22" t="inlineStr">
        <is>
          <t>1070676</t>
        </is>
      </c>
      <c r="D275" s="22" t="inlineStr">
        <is>
          <t>8691</t>
        </is>
      </c>
      <c r="E275" s="21" t="inlineStr">
        <is>
          <t>Вила садові Фіскарс / Fiskars Solid (1070676) Фінляндія</t>
        </is>
      </c>
      <c r="F275" s="21" t="inlineStr">
        <is>
          <t>Вила Fiskars (133400) садові (Фіскарс)</t>
        </is>
      </c>
      <c r="G275" s="23" t="n">
        <v>1999</v>
      </c>
      <c r="H275" s="23" t="n">
        <v>958.3</v>
      </c>
      <c r="I275" s="21" t="inlineStr">
        <is>
          <t>назви схожі, але різні коди виробника</t>
        </is>
      </c>
    </row>
    <row r="276">
      <c r="A276" s="22" t="n">
        <v>80.7</v>
      </c>
      <c r="B276" s="22" t="inlineStr">
        <is>
          <t>Клуб Рослин</t>
        </is>
      </c>
      <c r="C276" s="22" t="inlineStr">
        <is>
          <t>1070673</t>
        </is>
      </c>
      <c r="D276" s="22" t="inlineStr">
        <is>
          <t>8691</t>
        </is>
      </c>
      <c r="E276" s="21" t="inlineStr">
        <is>
          <t>Вила садові Фіскарс / Fiskars Solid (1070673) Фінляндія</t>
        </is>
      </c>
      <c r="F276" s="21" t="inlineStr">
        <is>
          <t>Вила Fiskars (133400) садові (Фіскарс)</t>
        </is>
      </c>
      <c r="G276" s="23" t="n">
        <v>1899</v>
      </c>
      <c r="H276" s="23" t="n">
        <v>958.3</v>
      </c>
      <c r="I276" s="21" t="inlineStr">
        <is>
          <t>назви схожі, але різні коди виробника</t>
        </is>
      </c>
    </row>
    <row r="277">
      <c r="A277" s="22" t="n">
        <v>80.7</v>
      </c>
      <c r="B277" s="22" t="inlineStr">
        <is>
          <t>Клуб Рослин</t>
        </is>
      </c>
      <c r="C277" s="22" t="inlineStr">
        <is>
          <t>1070674</t>
        </is>
      </c>
      <c r="D277" s="22" t="inlineStr">
        <is>
          <t>8695</t>
        </is>
      </c>
      <c r="E277" s="21" t="inlineStr">
        <is>
          <t>Вила для компосту Фіскарс / Fiskars Solid (1070674) Фінляндія</t>
        </is>
      </c>
      <c r="F277" s="21" t="inlineStr">
        <is>
          <t>Вила Fiskars Solid (133433) для компосту</t>
        </is>
      </c>
      <c r="G277" s="23" t="n">
        <v>1899</v>
      </c>
      <c r="H277" s="23" t="n">
        <v>697</v>
      </c>
      <c r="I277" s="21" t="inlineStr">
        <is>
          <t>назви схожі, але різні коди виробника</t>
        </is>
      </c>
    </row>
    <row r="278">
      <c r="A278" s="22" t="n">
        <v>80.7</v>
      </c>
      <c r="B278" s="22" t="inlineStr">
        <is>
          <t>Клуб Рослин</t>
        </is>
      </c>
      <c r="C278" s="22" t="inlineStr">
        <is>
          <t>1160</t>
        </is>
      </c>
      <c r="D278" s="22" t="inlineStr">
        <is>
          <t>14067</t>
        </is>
      </c>
      <c r="E278" s="21" t="inlineStr">
        <is>
          <t>Гербіцид Напалм 1 л Сімейний Сад Україна</t>
        </is>
      </c>
      <c r="F278" s="21" t="inlineStr">
        <is>
          <t>Гербіцид Напалм (гліфосат) 20 л Сімейний Сад</t>
        </is>
      </c>
      <c r="G278" s="23" t="n">
        <v>448</v>
      </c>
      <c r="H278" s="23" t="n">
        <v>9850</v>
      </c>
      <c r="I278" s="21" t="inlineStr">
        <is>
          <t>назви схожі, але різні об'єми або розміри</t>
        </is>
      </c>
    </row>
    <row r="279">
      <c r="A279" s="22" t="n">
        <v>80.7</v>
      </c>
      <c r="B279" s="22" t="inlineStr">
        <is>
          <t>Клуб Рослин</t>
        </is>
      </c>
      <c r="C279" s="22" t="inlineStr">
        <is>
          <t>3248</t>
        </is>
      </c>
      <c r="D279" s="22" t="inlineStr">
        <is>
          <t>15606</t>
        </is>
      </c>
      <c r="E279" s="21" t="inlineStr">
        <is>
          <t>Фунгіцид Мідний купорос сульфат міді 1 кг (розсип) Туреччина</t>
        </is>
      </c>
      <c r="F279" s="21" t="inlineStr">
        <is>
          <t>Фунгіцид Мідний купорос (мідь сірчанокисла, сульфат міді), 1 кг</t>
        </is>
      </c>
      <c r="G279" s="23" t="n">
        <v>298</v>
      </c>
      <c r="H279" s="23" t="n">
        <v>240</v>
      </c>
      <c r="I279" s="21" t="inlineStr">
        <is>
          <t>назви схожі, різняться словами: мідь, розсип, сірчанокисла</t>
        </is>
      </c>
    </row>
    <row r="280">
      <c r="A280" s="22" t="n">
        <v>80.59999999999999</v>
      </c>
      <c r="B280" s="22" t="inlineStr">
        <is>
          <t>Водоспад</t>
        </is>
      </c>
      <c r="C280" s="22" t="inlineStr">
        <is>
          <t>FAL00903</t>
        </is>
      </c>
      <c r="D280" s="22" t="inlineStr">
        <is>
          <t>41192</t>
        </is>
      </c>
      <c r="E280" s="21" t="inlineStr">
        <is>
          <t>Чохол шкіряний для секатора Falket / Фалкет (FAL00903) Італія</t>
        </is>
      </c>
      <c r="F280" s="21" t="inlineStr">
        <is>
          <t>Чохол шкіряний для секаторів, FALKET (00903)</t>
        </is>
      </c>
      <c r="G280" s="23" t="n">
        <v>680</v>
      </c>
      <c r="H280" s="23" t="n">
        <v>680</v>
      </c>
      <c r="I280" s="21" t="inlineStr">
        <is>
          <t>назви схожі, але різні коди виробника</t>
        </is>
      </c>
    </row>
    <row r="281">
      <c r="A281" s="22" t="n">
        <v>80.59999999999999</v>
      </c>
      <c r="B281" s="22" t="inlineStr">
        <is>
          <t>Водоспад</t>
        </is>
      </c>
      <c r="C281" s="22" t="inlineStr">
        <is>
          <t>MS93303</t>
        </is>
      </c>
      <c r="D281" s="22" t="inlineStr">
        <is>
          <t>33291</t>
        </is>
      </c>
      <c r="E281" s="21" t="inlineStr">
        <is>
          <t>Скоби для степлера Tapener 3000 шт (MS93303) Японія</t>
        </is>
      </c>
      <c r="F281" s="21" t="inlineStr">
        <is>
          <t>Скоби для степлера Tapener Max Японія MS93305 (Оригінал)</t>
        </is>
      </c>
      <c r="G281" s="23" t="n">
        <v>140</v>
      </c>
      <c r="H281" s="23" t="n">
        <v>130</v>
      </c>
      <c r="I281" s="21" t="inlineStr">
        <is>
          <t>назви схожі, але різні коди виробника</t>
        </is>
      </c>
    </row>
    <row r="282">
      <c r="A282" s="22" t="n">
        <v>80.59999999999999</v>
      </c>
      <c r="B282" s="22" t="inlineStr">
        <is>
          <t>Клуб Рослин</t>
        </is>
      </c>
      <c r="C282" s="22" t="inlineStr">
        <is>
          <t>PG-12-F</t>
        </is>
      </c>
      <c r="D282" s="22" t="inlineStr">
        <is>
          <t>11849</t>
        </is>
      </c>
      <c r="E282" s="21" t="inlineStr">
        <is>
          <t>Секатор Bahco PG-12-F Швеція</t>
        </is>
      </c>
      <c r="F282" s="21" t="inlineStr">
        <is>
          <t>Секатор Bahco PG-01-F</t>
        </is>
      </c>
      <c r="G282" s="23" t="n">
        <v>650</v>
      </c>
      <c r="H282" s="23" t="n">
        <v>810</v>
      </c>
      <c r="I282" s="21" t="inlineStr">
        <is>
          <t>назви схожі, перевірте</t>
        </is>
      </c>
    </row>
    <row r="283">
      <c r="A283" s="22" t="n">
        <v>80.59999999999999</v>
      </c>
      <c r="B283" s="22" t="inlineStr">
        <is>
          <t>Клуб Рослин</t>
        </is>
      </c>
      <c r="C283" s="22" t="inlineStr">
        <is>
          <t>m20007</t>
        </is>
      </c>
      <c r="D283" s="22" t="inlineStr">
        <is>
          <t>14737</t>
        </is>
      </c>
      <c r="E283" s="21" t="inlineStr">
        <is>
          <t>Інсектицид Проклейм SG в.г. 4г.</t>
        </is>
      </c>
      <c r="F283" s="21" t="inlineStr">
        <is>
          <t>Інсектицид Проклейм 5 (емамектину бензоат 50 г/кг) SG в.г. 4 г, Syngenta</t>
        </is>
      </c>
      <c r="G283" s="23" t="n">
        <v>27</v>
      </c>
      <c r="H283" s="23" t="n">
        <v>38</v>
      </c>
      <c r="I283" s="21" t="inlineStr">
        <is>
          <t>назви схожі, різняться словами: syngenta, бензоат, емамектину</t>
        </is>
      </c>
    </row>
    <row r="284">
      <c r="A284" s="22" t="n">
        <v>80.5</v>
      </c>
      <c r="B284" s="22" t="inlineStr">
        <is>
          <t>Клуб Рослин</t>
        </is>
      </c>
      <c r="C284" s="22" t="inlineStr">
        <is>
          <t>m3007</t>
        </is>
      </c>
      <c r="D284" s="22" t="inlineStr">
        <is>
          <t>16170</t>
        </is>
      </c>
      <c r="E284" s="21" t="inlineStr">
        <is>
          <t>Фунгіцид Ридоміл Голд R 162 WG в.г. 50г</t>
        </is>
      </c>
      <c r="F284" s="21" t="inlineStr">
        <is>
          <t>Фунгіцид Ридоміл Голд R 162 (металаксил-М 20 г/кг + оксид міді 142 г/кг) WG в.г. 50 г, Syngenta</t>
        </is>
      </c>
      <c r="G284" s="23" t="n">
        <v>50</v>
      </c>
      <c r="H284" s="23" t="n">
        <v>65</v>
      </c>
      <c r="I284" s="21" t="inlineStr">
        <is>
          <t>назви схожі, різняться словами: syngenta, міді, металаксил та ще 1</t>
        </is>
      </c>
    </row>
    <row r="285">
      <c r="A285" s="22" t="n">
        <v>80.40000000000001</v>
      </c>
      <c r="B285" s="22" t="inlineStr">
        <is>
          <t>Водоспад</t>
        </is>
      </c>
      <c r="C285" s="22" t="inlineStr">
        <is>
          <t>140</t>
        </is>
      </c>
      <c r="D285" s="22" t="inlineStr">
        <is>
          <t>43383</t>
        </is>
      </c>
      <c r="E285" s="21" t="inlineStr">
        <is>
          <t>Садовий секатор обвідний Альпен / Alpen Gelbhorn 193 мм (140) Швейцарія</t>
        </is>
      </c>
      <c r="F285" s="21" t="inlineStr">
        <is>
          <t>Садовий секатор ALPEN Gelbhorn 140, обвідний, 200 мм, зріз до 18 мм</t>
        </is>
      </c>
      <c r="G285" s="23" t="n">
        <v>780</v>
      </c>
      <c r="H285" s="23" t="n">
        <v>789</v>
      </c>
      <c r="I285" s="21" t="inlineStr">
        <is>
          <t>назви схожі, але різні об'єми або розміри</t>
        </is>
      </c>
    </row>
    <row r="286">
      <c r="A286" s="22" t="n">
        <v>80.40000000000001</v>
      </c>
      <c r="B286" s="22" t="inlineStr">
        <is>
          <t>Водоспад</t>
        </is>
      </c>
      <c r="C286" s="22" t="inlineStr">
        <is>
          <t>ddd10ba7-abba-11ee-bf43-c87f546feb15</t>
        </is>
      </c>
      <c r="D286" s="22" t="inlineStr">
        <is>
          <t>33232</t>
        </is>
      </c>
      <c r="E286" s="21" t="inlineStr">
        <is>
          <t>Прищепний Секатор</t>
        </is>
      </c>
      <c r="F286" s="21" t="inlineStr">
        <is>
          <t>Прищепний секатор Due Buoi 303/21 (Італія)</t>
        </is>
      </c>
      <c r="G286" s="23" t="n"/>
      <c r="H286" s="23" t="n">
        <v>1999</v>
      </c>
      <c r="I286" s="21" t="inlineStr">
        <is>
          <t>назви схожі, різняться словами: buoi, due</t>
        </is>
      </c>
    </row>
    <row r="287">
      <c r="A287" s="22" t="n">
        <v>80.3</v>
      </c>
      <c r="B287" s="22" t="inlineStr">
        <is>
          <t>Водоспад</t>
        </is>
      </c>
      <c r="C287" s="22" t="inlineStr">
        <is>
          <t>3409.B</t>
        </is>
      </c>
      <c r="D287" s="22" t="inlineStr">
        <is>
          <t>42277</t>
        </is>
      </c>
      <c r="E287" s="21" t="inlineStr">
        <is>
          <t>Секатор 200 мм Bellota Smart (3409.B) Іспанія</t>
        </is>
      </c>
      <c r="F287" s="21" t="inlineStr">
        <is>
          <t>Секатор 195 мм, Bellota (3409)</t>
        </is>
      </c>
      <c r="G287" s="23" t="n">
        <v>650</v>
      </c>
      <c r="H287" s="23" t="n">
        <v>625</v>
      </c>
      <c r="I287" s="21" t="inlineStr">
        <is>
          <t>назви схожі, але різні об'єми або розміри</t>
        </is>
      </c>
    </row>
    <row r="288">
      <c r="A288" s="22" t="n">
        <v>80.3</v>
      </c>
      <c r="B288" s="22" t="inlineStr">
        <is>
          <t>Клуб Рослин</t>
        </is>
      </c>
      <c r="C288" s="22" t="inlineStr">
        <is>
          <t>Felco 2+Beanie</t>
        </is>
      </c>
      <c r="D288" s="22" t="inlineStr">
        <is>
          <t>15678</t>
        </is>
      </c>
      <c r="E288" s="21" t="inlineStr">
        <is>
          <t>Подарунковий набір Felco (Секатор Фелко 2 + Фірмова Шапка) Швейцарія</t>
        </is>
      </c>
      <c r="F288" s="21" t="inlineStr">
        <is>
          <t>FELCO 6 + (Секатор + Фірмова Шапка Фелко в подарунковій коробці)</t>
        </is>
      </c>
      <c r="G288" s="23" t="n">
        <v>3090</v>
      </c>
      <c r="H288" s="23" t="n">
        <v>2849</v>
      </c>
      <c r="I288" s="21" t="inlineStr">
        <is>
          <t>назви схожі, різняться словами: коробці, набір, подарунковій та ще 1</t>
        </is>
      </c>
    </row>
    <row r="289">
      <c r="A289" s="22" t="n">
        <v>80.3</v>
      </c>
      <c r="B289" s="22" t="inlineStr">
        <is>
          <t>Клуб Рослин</t>
        </is>
      </c>
      <c r="C289" s="22" t="inlineStr">
        <is>
          <t>1066708</t>
        </is>
      </c>
      <c r="D289" s="22" t="inlineStr">
        <is>
          <t>10543</t>
        </is>
      </c>
      <c r="E289" s="21" t="inlineStr">
        <is>
          <t>Лопата штикова Фіскарс Fiskars Ergonomic 1001568 (1066708) Фінляндія</t>
        </is>
      </c>
      <c r="F289" s="21" t="inlineStr">
        <is>
          <t>Лопата Fiskars Ergonomic 131410 штикова</t>
        </is>
      </c>
      <c r="G289" s="23" t="n">
        <v>1999</v>
      </c>
      <c r="H289" s="23" t="n">
        <v>1699</v>
      </c>
      <c r="I289" s="21" t="inlineStr">
        <is>
          <t>назви схожі, але різні коди виробника</t>
        </is>
      </c>
    </row>
    <row r="290">
      <c r="A290" s="22" t="n">
        <v>80.3</v>
      </c>
      <c r="B290" s="22" t="inlineStr">
        <is>
          <t>Клуб Рослин</t>
        </is>
      </c>
      <c r="C290" s="22" t="inlineStr">
        <is>
          <t>40-204</t>
        </is>
      </c>
      <c r="D290" s="22" t="inlineStr">
        <is>
          <t>13873</t>
        </is>
      </c>
      <c r="E290" s="21" t="inlineStr">
        <is>
          <t>Лопата штикова Целлфаст / Cellfast Ideal Pro 120 см 1.8 кг (40-204) Польща</t>
        </is>
      </c>
      <c r="F290" s="21" t="inlineStr">
        <is>
          <t>Лопата штикова Cellfast Ideal Pro 40-204 (Целфаст Ідеал Про)</t>
        </is>
      </c>
      <c r="G290" s="23" t="n">
        <v>998</v>
      </c>
      <c r="H290" s="23" t="n">
        <v>1261</v>
      </c>
      <c r="I290" s="21" t="inlineStr">
        <is>
          <t>назви схожі, різняться словами: ідеал, целлфаст, целфаст</t>
        </is>
      </c>
    </row>
    <row r="291">
      <c r="A291" s="22" t="n">
        <v>80.3</v>
      </c>
      <c r="B291" s="22" t="inlineStr">
        <is>
          <t>Клуб Рослин</t>
        </is>
      </c>
      <c r="C291" s="22" t="inlineStr">
        <is>
          <t>m3010</t>
        </is>
      </c>
      <c r="D291" s="22" t="inlineStr">
        <is>
          <t>14764</t>
        </is>
      </c>
      <c r="E291" s="21" t="inlineStr">
        <is>
          <t>Фунгіцид Топаз 100 EC к.е. 3мл.</t>
        </is>
      </c>
      <c r="F291" s="21" t="inlineStr">
        <is>
          <t>Фунгіцид Топаз 100 (пенконазол 100 г/л) ЕС к.е. 3 мл, Syngenta</t>
        </is>
      </c>
      <c r="G291" s="23" t="n">
        <v>20</v>
      </c>
      <c r="H291" s="23" t="n">
        <v>26</v>
      </c>
      <c r="I291" s="21" t="inlineStr">
        <is>
          <t>назви схожі, але різні бренди</t>
        </is>
      </c>
    </row>
    <row r="292">
      <c r="A292" s="22" t="n">
        <v>80.2</v>
      </c>
      <c r="B292" s="22" t="inlineStr">
        <is>
          <t>Водоспад</t>
        </is>
      </c>
      <c r="C292" s="22" t="inlineStr">
        <is>
          <t>303/21</t>
        </is>
      </c>
      <c r="D292" s="22" t="inlineStr">
        <is>
          <t>33232</t>
        </is>
      </c>
      <c r="E292" s="21" t="inlineStr">
        <is>
          <t>Щеплювальний секатор Due Buoi 303/21 Італія</t>
        </is>
      </c>
      <c r="F292" s="21" t="inlineStr">
        <is>
          <t>Прищепний секатор Due Buoi 303/21 (Італія)</t>
        </is>
      </c>
      <c r="G292" s="23" t="n">
        <v>1999</v>
      </c>
      <c r="H292" s="23" t="n">
        <v>1999</v>
      </c>
      <c r="I292" s="21" t="inlineStr">
        <is>
          <t>назви схожі, різняться словами: прищепний, щеплювальний</t>
        </is>
      </c>
    </row>
    <row r="293">
      <c r="A293" s="22" t="n">
        <v>80.2</v>
      </c>
      <c r="B293" s="22" t="inlineStr">
        <is>
          <t>Клуб Рослин</t>
        </is>
      </c>
      <c r="C293" s="22" t="inlineStr">
        <is>
          <t>40-215</t>
        </is>
      </c>
      <c r="D293" s="22" t="inlineStr">
        <is>
          <t>13873</t>
        </is>
      </c>
      <c r="E293" s="21" t="inlineStr">
        <is>
          <t>Лопата штикова Целфаст / Cellfast Ideal Pro 129 см 1.9 кг (40-215) Польща</t>
        </is>
      </c>
      <c r="F293" s="21" t="inlineStr">
        <is>
          <t>Лопата штикова Cellfast Ideal Pro 40-204 (Целфаст Ідеал Про)</t>
        </is>
      </c>
      <c r="G293" s="23" t="n">
        <v>895</v>
      </c>
      <c r="H293" s="23" t="n">
        <v>1261</v>
      </c>
      <c r="I293" s="21" t="inlineStr">
        <is>
          <t>назви схожі, різняться словами: ідеал</t>
        </is>
      </c>
    </row>
    <row r="294">
      <c r="A294" s="22" t="n">
        <v>80.2</v>
      </c>
      <c r="B294" s="22" t="inlineStr">
        <is>
          <t>Клуб Рослин</t>
        </is>
      </c>
      <c r="C294" s="22" t="inlineStr">
        <is>
          <t>990</t>
        </is>
      </c>
      <c r="D294" s="22" t="inlineStr">
        <is>
          <t>16443</t>
        </is>
      </c>
      <c r="E294" s="21" t="inlineStr">
        <is>
          <t>Мастило для секаторів FELCO 990</t>
        </is>
      </c>
      <c r="F294" s="21" t="inlineStr">
        <is>
          <t>Змазка для секаторів Felco 990-1 (синтетичне мастило Фелко 990-1)</t>
        </is>
      </c>
      <c r="G294" s="23" t="n">
        <v>529</v>
      </c>
      <c r="H294" s="23" t="n">
        <v>499</v>
      </c>
      <c r="I294" s="21" t="inlineStr">
        <is>
          <t>назви схожі, різняться словами: змазка, синтетичне, фелко</t>
        </is>
      </c>
    </row>
    <row r="295">
      <c r="A295" s="22" t="n">
        <v>80.2</v>
      </c>
      <c r="B295" s="22" t="inlineStr">
        <is>
          <t>Клуб Рослин</t>
        </is>
      </c>
      <c r="C295" s="22" t="inlineStr">
        <is>
          <t>1159</t>
        </is>
      </c>
      <c r="D295" s="22" t="inlineStr">
        <is>
          <t>14073</t>
        </is>
      </c>
      <c r="E295" s="21" t="inlineStr">
        <is>
          <t>Гербіцид Харума 500 мл Сімейний Сад Україна</t>
        </is>
      </c>
      <c r="F295" s="21" t="inlineStr">
        <is>
          <t>Гербіцид Харума К.Е. (хізалофоп-П-етил) 500 мл Сімейний Сад</t>
        </is>
      </c>
      <c r="G295" s="23" t="n">
        <v>475</v>
      </c>
      <c r="H295" s="23" t="n">
        <v>571</v>
      </c>
      <c r="I295" s="21" t="inlineStr">
        <is>
          <t>назви схожі, різняться словами: етил, хізалофоп</t>
        </is>
      </c>
    </row>
    <row r="296">
      <c r="A296" s="22" t="n">
        <v>80.2</v>
      </c>
      <c r="B296" s="22" t="inlineStr">
        <is>
          <t>Клуб Рослин</t>
        </is>
      </c>
      <c r="C296" s="22" t="inlineStr">
        <is>
          <t>HMC1000.B.</t>
        </is>
      </c>
      <c r="D296" s="22" t="inlineStr">
        <is>
          <t>16155</t>
        </is>
      </c>
      <c r="E296" s="21" t="inlineStr">
        <is>
          <t>Совок для пересадки 300 мм Bellota (HMC1000.B.) Іспанія</t>
        </is>
      </c>
      <c r="F296" s="21" t="inlineStr">
        <is>
          <t>Совок для пересадки Bellota HMC1000.B 75 мм (Беллота HMC1000.B)</t>
        </is>
      </c>
      <c r="G296" s="23" t="n">
        <v>449</v>
      </c>
      <c r="H296" s="23" t="n">
        <v>435</v>
      </c>
      <c r="I296" s="21" t="inlineStr">
        <is>
          <t>код збігся, але різні об'єми або розміри</t>
        </is>
      </c>
    </row>
    <row r="297">
      <c r="A297" s="22" t="n">
        <v>80.09999999999999</v>
      </c>
      <c r="B297" s="22" t="inlineStr">
        <is>
          <t>Водоспад</t>
        </is>
      </c>
      <c r="C297" s="22" t="inlineStr">
        <is>
          <t>9808</t>
        </is>
      </c>
      <c r="D297" s="22" t="inlineStr">
        <is>
          <t>41796</t>
        </is>
      </c>
      <c r="E297" s="21" t="inlineStr">
        <is>
          <t>Чохол шкіряний Lowe (9808) Льове Німеччина</t>
        </is>
      </c>
      <c r="F297" s="21" t="inlineStr">
        <is>
          <t>Чохол шкіряний LOWE (9809)</t>
        </is>
      </c>
      <c r="G297" s="23" t="n">
        <v>1190</v>
      </c>
      <c r="H297" s="23" t="n">
        <v>2090</v>
      </c>
      <c r="I297" s="21" t="inlineStr">
        <is>
          <t>назви схожі, різняться словами: льове</t>
        </is>
      </c>
    </row>
    <row r="298">
      <c r="A298" s="22" t="n">
        <v>80.09999999999999</v>
      </c>
      <c r="B298" s="22" t="inlineStr">
        <is>
          <t>Водоспад</t>
        </is>
      </c>
      <c r="C298" s="22" t="inlineStr">
        <is>
          <t>75104-8.B.</t>
        </is>
      </c>
      <c r="D298" s="22" t="inlineStr">
        <is>
          <t>37161</t>
        </is>
      </c>
      <c r="E298" s="21" t="inlineStr">
        <is>
          <t>Рукавички садові Unіversal Bellota розмір М (75104-8.B.) Іспанія</t>
        </is>
      </c>
      <c r="F298" s="21" t="inlineStr">
        <is>
          <t>Рукавиці садові Bellota Universal 75104-8 (75104-8)</t>
        </is>
      </c>
      <c r="G298" s="23" t="n">
        <v>319</v>
      </c>
      <c r="H298" s="23" t="n">
        <v>309</v>
      </c>
      <c r="I298" s="21" t="inlineStr">
        <is>
          <t>назви схожі, але різні коди виробника</t>
        </is>
      </c>
    </row>
    <row r="299">
      <c r="A299" s="22" t="n">
        <v>80.09999999999999</v>
      </c>
      <c r="B299" s="22" t="inlineStr">
        <is>
          <t>Клуб Рослин</t>
        </is>
      </c>
      <c r="C299" s="22" t="inlineStr">
        <is>
          <t>2.104</t>
        </is>
      </c>
      <c r="D299" s="22" t="inlineStr">
        <is>
          <t>11963</t>
        </is>
      </c>
      <c r="E299" s="21" t="inlineStr">
        <is>
          <t>Секатор з ковадлом Льове / Lowe (2.104) Німеччина</t>
        </is>
      </c>
      <c r="F299" s="21" t="inlineStr">
        <is>
          <t>Секатор Lowe 2.104 з коваделцем (Льове 2.104)</t>
        </is>
      </c>
      <c r="G299" s="23" t="n">
        <v>2440</v>
      </c>
      <c r="H299" s="23" t="n">
        <v>2440</v>
      </c>
      <c r="I299" s="21" t="inlineStr">
        <is>
          <t>назви схожі, різняться словами: коваделцем, ковадлом</t>
        </is>
      </c>
    </row>
    <row r="300">
      <c r="A300" s="22" t="n">
        <v>80.09999999999999</v>
      </c>
      <c r="B300" s="22" t="inlineStr">
        <is>
          <t>Клуб Рослин</t>
        </is>
      </c>
      <c r="C300" s="22" t="inlineStr">
        <is>
          <t>3006.B</t>
        </is>
      </c>
      <c r="D300" s="22" t="inlineStr">
        <is>
          <t>8955</t>
        </is>
      </c>
      <c r="E300" s="21" t="inlineStr">
        <is>
          <t>Грабельки-культиватор 302 мм Bellota 3006.B Іспанія</t>
        </is>
      </c>
      <c r="F300" s="21" t="inlineStr">
        <is>
          <t>Граблі культиватор 302 мм Bellota 3006.B (Беллота)</t>
        </is>
      </c>
      <c r="G300" s="23" t="n">
        <v>484</v>
      </c>
      <c r="H300" s="23" t="n">
        <v>484</v>
      </c>
      <c r="I300" s="21" t="inlineStr">
        <is>
          <t>назви схожі, різняться словами: беллота, грабельки, граблі</t>
        </is>
      </c>
    </row>
    <row r="301">
      <c r="A301" s="22" t="n">
        <v>80.09999999999999</v>
      </c>
      <c r="B301" s="22" t="inlineStr">
        <is>
          <t>Клуб Рослин</t>
        </is>
      </c>
      <c r="C301" s="22" t="inlineStr">
        <is>
          <t>m5000</t>
        </is>
      </c>
      <c r="D301" s="22" t="inlineStr">
        <is>
          <t>14738</t>
        </is>
      </c>
      <c r="E301" s="21" t="inlineStr">
        <is>
          <t>Протруйник Максим 025 FS к.с. 100 мл Syngenta</t>
        </is>
      </c>
      <c r="F301" s="21" t="inlineStr">
        <is>
          <t>Протруювач Максим 025 (флудиоксоніл 25 г/л) FS т.к.с. 100 мл, Syngenta</t>
        </is>
      </c>
      <c r="G301" s="23" t="n">
        <v>165</v>
      </c>
      <c r="H301" s="23" t="n">
        <v>205</v>
      </c>
      <c r="I301" s="21" t="inlineStr">
        <is>
          <t>назви схожі, різняться словами: протруйник, протруювач, флудиоксоніл</t>
        </is>
      </c>
    </row>
    <row r="302">
      <c r="A302" s="22" t="n">
        <v>80</v>
      </c>
      <c r="B302" s="22" t="inlineStr">
        <is>
          <t>Водоспад</t>
        </is>
      </c>
      <c r="C302" s="22" t="inlineStr">
        <is>
          <t>75105-9/L.B.</t>
        </is>
      </c>
      <c r="D302" s="22" t="inlineStr">
        <is>
          <t>39927</t>
        </is>
      </c>
      <c r="E302" s="21" t="inlineStr">
        <is>
          <t>Рукавички садові 4х4 Bellota розмір L (75105-9/L.B.) Іспанія</t>
        </is>
      </c>
      <c r="F302" s="21" t="inlineStr">
        <is>
          <t>Рукавички садові Bellota (75106-9/L)</t>
        </is>
      </c>
      <c r="G302" s="23" t="n">
        <v>379</v>
      </c>
      <c r="H302" s="23" t="n">
        <v>529</v>
      </c>
      <c r="I302" s="21" t="inlineStr">
        <is>
          <t>назви схожі, але різні об'єми або розміри</t>
        </is>
      </c>
    </row>
    <row r="303">
      <c r="A303" s="22" t="n">
        <v>80</v>
      </c>
      <c r="B303" s="22" t="inlineStr">
        <is>
          <t>Водоспад</t>
        </is>
      </c>
      <c r="C303" s="22" t="inlineStr">
        <is>
          <t>75105-8/M.B.</t>
        </is>
      </c>
      <c r="D303" s="22" t="inlineStr">
        <is>
          <t>39926</t>
        </is>
      </c>
      <c r="E303" s="21" t="inlineStr">
        <is>
          <t>Рукавички садові 4х4 Bellota розмір М (75105-8/M.B.) Іспанія</t>
        </is>
      </c>
      <c r="F303" s="21" t="inlineStr">
        <is>
          <t>Рукавички садові Bellota (75106-8/M)</t>
        </is>
      </c>
      <c r="G303" s="23" t="n">
        <v>379</v>
      </c>
      <c r="H303" s="23" t="n">
        <v>529</v>
      </c>
      <c r="I303" s="21" t="inlineStr">
        <is>
          <t>назви схожі, але різні коди виробника</t>
        </is>
      </c>
    </row>
    <row r="304">
      <c r="A304" s="22" t="n">
        <v>80</v>
      </c>
      <c r="B304" s="22" t="inlineStr">
        <is>
          <t>Клуб Рослин</t>
        </is>
      </c>
      <c r="C304" s="22" t="inlineStr">
        <is>
          <t>1057913</t>
        </is>
      </c>
      <c r="D304" s="22" t="inlineStr">
        <is>
          <t>12314</t>
        </is>
      </c>
      <c r="E304" s="21" t="inlineStr">
        <is>
          <t>Набір для кемпінгу Fiskars Сокира XXS X5 + Точилка+ Ніж (1057913) Фінляндія</t>
        </is>
      </c>
      <c r="F304" s="21" t="inlineStr">
        <is>
          <t>Сокира Fiskars X5 для кемпінгу</t>
        </is>
      </c>
      <c r="G304" s="23" t="n">
        <v>5499</v>
      </c>
      <c r="H304" s="23" t="n">
        <v>1147.09</v>
      </c>
      <c r="I304" s="21" t="inlineStr">
        <is>
          <t>назви схожі, різняться словами: xxs, набір, точилка та ще 1</t>
        </is>
      </c>
    </row>
    <row r="305">
      <c r="A305" s="22" t="n">
        <v>79.90000000000001</v>
      </c>
      <c r="B305" s="22" t="inlineStr">
        <is>
          <t>Клуб Рослин</t>
        </is>
      </c>
      <c r="C305" s="22" t="inlineStr">
        <is>
          <t>P-300</t>
        </is>
      </c>
      <c r="D305" s="22" t="inlineStr">
        <is>
          <t>15799</t>
        </is>
      </c>
      <c r="E305" s="21" t="inlineStr">
        <is>
          <t>Садова пила Kamaki P-300 пряма з кобурою Японія</t>
        </is>
      </c>
      <c r="F305" s="21" t="inlineStr">
        <is>
          <t>Пила Kamaki P-300 японська пряма з кобурою (Камакі P-300)</t>
        </is>
      </c>
      <c r="G305" s="23" t="n">
        <v>1845</v>
      </c>
      <c r="H305" s="23" t="n">
        <v>1845</v>
      </c>
      <c r="I305" s="21" t="inlineStr">
        <is>
          <t>назви схожі, різняться словами: камакі, садова, японська</t>
        </is>
      </c>
    </row>
    <row r="306">
      <c r="A306" s="22" t="n">
        <v>79.90000000000001</v>
      </c>
      <c r="B306" s="22" t="inlineStr">
        <is>
          <t>Клуб Рослин</t>
        </is>
      </c>
      <c r="C306" s="22" t="inlineStr">
        <is>
          <t>SR-770ECO</t>
        </is>
      </c>
      <c r="D306" s="22" t="inlineStr">
        <is>
          <t>16113</t>
        </is>
      </c>
      <c r="E306" s="21" t="inlineStr">
        <is>
          <t>Планувальник грунту без держака Смарт Рейн / Smart Rain (SR-770ECO) Україна</t>
        </is>
      </c>
      <c r="F306" s="21" t="inlineStr">
        <is>
          <t>Планувальник грунту Smart Rain ручний 890х390 мм без держака SR-L-890 (Смарт Рейн SR-L-890)</t>
        </is>
      </c>
      <c r="G306" s="23" t="n">
        <v>1695</v>
      </c>
      <c r="H306" s="23" t="n">
        <v>2650</v>
      </c>
      <c r="I306" s="21" t="inlineStr">
        <is>
          <t>назви схожі, але різні коди виробника</t>
        </is>
      </c>
    </row>
    <row r="307">
      <c r="A307" s="22" t="n">
        <v>79.90000000000001</v>
      </c>
      <c r="B307" s="22" t="inlineStr">
        <is>
          <t>Клуб Рослин</t>
        </is>
      </c>
      <c r="C307" s="22" t="inlineStr">
        <is>
          <t>SR-740ECO</t>
        </is>
      </c>
      <c r="D307" s="22" t="inlineStr">
        <is>
          <t>16113</t>
        </is>
      </c>
      <c r="E307" s="21" t="inlineStr">
        <is>
          <t>Планувальник грунту без держака Смарт Рейн / Smart Rain (SR-770ECO) Україна</t>
        </is>
      </c>
      <c r="F307" s="21" t="inlineStr">
        <is>
          <t>Планувальник грунту Smart Rain ручний 890х390 мм без держака SR-L-890 (Смарт Рейн SR-L-890)</t>
        </is>
      </c>
      <c r="G307" s="23" t="n">
        <v>1695</v>
      </c>
      <c r="H307" s="23" t="n">
        <v>2650</v>
      </c>
      <c r="I307" s="21" t="inlineStr">
        <is>
          <t>назви схожі, але різні коди виробника</t>
        </is>
      </c>
    </row>
    <row r="308">
      <c r="A308" s="22" t="n">
        <v>79.90000000000001</v>
      </c>
      <c r="B308" s="22" t="inlineStr">
        <is>
          <t>Клуб Рослин</t>
        </is>
      </c>
      <c r="C308" s="22" t="inlineStr">
        <is>
          <t>P-270</t>
        </is>
      </c>
      <c r="D308" s="22" t="inlineStr">
        <is>
          <t>15798</t>
        </is>
      </c>
      <c r="E308" s="21" t="inlineStr">
        <is>
          <t>Садова пила Kamaki P-270 пряма з кобурою Японія</t>
        </is>
      </c>
      <c r="F308" s="21" t="inlineStr">
        <is>
          <t>Пила Kamaki P-270 японська пряма з кобурою (Камакі P-270)</t>
        </is>
      </c>
      <c r="G308" s="23" t="n">
        <v>1650</v>
      </c>
      <c r="H308" s="23" t="n">
        <v>1650</v>
      </c>
      <c r="I308" s="21" t="inlineStr">
        <is>
          <t>назви схожі, різняться словами: камакі, садова, японська</t>
        </is>
      </c>
    </row>
    <row r="309">
      <c r="A309" s="22" t="n">
        <v>79.90000000000001</v>
      </c>
      <c r="B309" s="22" t="inlineStr">
        <is>
          <t>Клуб Рослин</t>
        </is>
      </c>
      <c r="C309" s="22" t="inlineStr">
        <is>
          <t>901</t>
        </is>
      </c>
      <c r="D309" s="22" t="inlineStr">
        <is>
          <t>14604</t>
        </is>
      </c>
      <c r="E309" s="21" t="inlineStr">
        <is>
          <t>Точилка Альпен Тамбо / Alpen Tambo (901) Швейцарія</t>
        </is>
      </c>
      <c r="F309" s="21" t="inlineStr">
        <is>
          <t>Точилка Alpen Tambo 901 твердосплавна (Альпен Тамбо 901)</t>
        </is>
      </c>
      <c r="G309" s="23" t="n">
        <v>489</v>
      </c>
      <c r="H309" s="23" t="n">
        <v>489</v>
      </c>
      <c r="I309" s="21" t="inlineStr">
        <is>
          <t>назви схожі, різняться словами: твердосплавна</t>
        </is>
      </c>
    </row>
    <row r="310">
      <c r="A310" s="22" t="n">
        <v>79.90000000000001</v>
      </c>
      <c r="B310" s="22" t="inlineStr">
        <is>
          <t>Клуб Рослин</t>
        </is>
      </c>
      <c r="C310" s="22" t="inlineStr">
        <is>
          <t>8116</t>
        </is>
      </c>
      <c r="D310" s="22" t="inlineStr">
        <is>
          <t>13420</t>
        </is>
      </c>
      <c r="E310" s="21" t="inlineStr">
        <is>
          <t>Добриво Агрeкол / Agrecol для газонів та боротьби з мохом 15-0-0 1.2 кг Польща</t>
        </is>
      </c>
      <c r="F310" s="21" t="inlineStr">
        <is>
          <t>Добриво мінеральне гранульоване Agrecol для газону та боротьби з мохом 15-0-0, 1,2 кг</t>
        </is>
      </c>
      <c r="G310" s="23" t="n">
        <v>352</v>
      </c>
      <c r="H310" s="23" t="n">
        <v>345</v>
      </c>
      <c r="I310" s="21" t="inlineStr">
        <is>
          <t>назви схожі, різняться словами: газонів, газону, гранульоване та ще 1</t>
        </is>
      </c>
    </row>
    <row r="311">
      <c r="A311" s="22" t="n">
        <v>79.8</v>
      </c>
      <c r="B311" s="22" t="inlineStr">
        <is>
          <t>Водоспад</t>
        </is>
      </c>
      <c r="C311" s="22" t="inlineStr">
        <is>
          <t>23GAB</t>
        </is>
      </c>
      <c r="D311" s="22" t="inlineStr">
        <is>
          <t>41047</t>
        </is>
      </c>
      <c r="E311" s="21" t="inlineStr">
        <is>
          <t>Котушка з сталевим дротом в паперовій оболонці для підв`язки 100 м Cordioli 23GAB (T4220) Італія</t>
        </is>
      </c>
      <c r="F311" s="21" t="inlineStr">
        <is>
          <t>Котушка з паперовим дротом для підв`язки 100 метрів, CORDIOLI (23GAB)</t>
        </is>
      </c>
      <c r="G311" s="23" t="n">
        <v>135</v>
      </c>
      <c r="H311" s="23" t="n">
        <v>130</v>
      </c>
      <c r="I311" s="21" t="inlineStr">
        <is>
          <t>назви схожі, різняться словами: метрів, оболонці, паперовій та ще 2</t>
        </is>
      </c>
    </row>
    <row r="312">
      <c r="A312" s="22" t="n">
        <v>79.8</v>
      </c>
      <c r="B312" s="22" t="inlineStr">
        <is>
          <t>Клуб Рослин</t>
        </is>
      </c>
      <c r="C312" s="22" t="inlineStr">
        <is>
          <t>1200L</t>
        </is>
      </c>
      <c r="D312" s="22" t="inlineStr">
        <is>
          <t>15811</t>
        </is>
      </c>
      <c r="E312" s="21" t="inlineStr">
        <is>
          <t>Кущоріз телескопічний 80-123 см Камакі / Kamaki (1200L) Японія</t>
        </is>
      </c>
      <c r="F312" s="21" t="inlineStr">
        <is>
          <t>Садові ножиці Kamaki 1200L японські телескопічні 78-123 см (кущорізи Камакі 1200L)</t>
        </is>
      </c>
      <c r="G312" s="23" t="n">
        <v>3499</v>
      </c>
      <c r="H312" s="23" t="n">
        <v>3499</v>
      </c>
      <c r="I312" s="21" t="inlineStr">
        <is>
          <t>назви схожі, але різні об'єми або розміри</t>
        </is>
      </c>
    </row>
    <row r="313">
      <c r="A313" s="22" t="n">
        <v>79.8</v>
      </c>
      <c r="B313" s="22" t="inlineStr">
        <is>
          <t>Клуб Рослин</t>
        </is>
      </c>
      <c r="C313" s="22" t="inlineStr">
        <is>
          <t>8107</t>
        </is>
      </c>
      <c r="D313" s="22" t="inlineStr">
        <is>
          <t>13446</t>
        </is>
      </c>
      <c r="E313" s="21" t="inlineStr">
        <is>
          <t>Добриво Агрекол / Agrecol універсальне 0-13-27 1.2 кг Польща</t>
        </is>
      </c>
      <c r="F313" s="21" t="inlineStr">
        <is>
          <t>Добриво мінеральне гранульоване Agrecol осіннє універсальне 0-13-27, 1,2 кг</t>
        </is>
      </c>
      <c r="G313" s="23" t="n">
        <v>352</v>
      </c>
      <c r="H313" s="23" t="n">
        <v>269</v>
      </c>
      <c r="I313" s="21" t="inlineStr">
        <is>
          <t>назви схожі, різняться словами: агрекол, гранульоване, мінеральне та ще 1</t>
        </is>
      </c>
    </row>
    <row r="314">
      <c r="A314" s="22" t="n">
        <v>79.7</v>
      </c>
      <c r="B314" s="22" t="inlineStr">
        <is>
          <t>Водоспад</t>
        </is>
      </c>
      <c r="C314" s="22" t="inlineStr">
        <is>
          <t>6.107</t>
        </is>
      </c>
      <c r="D314" s="22" t="inlineStr">
        <is>
          <t>32342</t>
        </is>
      </c>
      <c r="E314" s="21" t="inlineStr">
        <is>
          <t>LOWE Original 6.107 Cекатор з ковадлом Німеччина</t>
        </is>
      </c>
      <c r="F314" s="21" t="inlineStr">
        <is>
          <t>Cекатор з наковаленкою LOWE Original 6.107 (6.107)</t>
        </is>
      </c>
      <c r="G314" s="23" t="n">
        <v>2950</v>
      </c>
      <c r="H314" s="23" t="n">
        <v>2950</v>
      </c>
      <c r="I314" s="21" t="inlineStr">
        <is>
          <t>назви схожі, різняться словами: ковадлом, наковаленкою</t>
        </is>
      </c>
    </row>
    <row r="315">
      <c r="A315" s="22" t="n">
        <v>79.7</v>
      </c>
      <c r="B315" s="22" t="inlineStr">
        <is>
          <t>Водоспад</t>
        </is>
      </c>
      <c r="C315" s="22" t="inlineStr">
        <is>
          <t>1066711</t>
        </is>
      </c>
      <c r="D315" s="22" t="inlineStr">
        <is>
          <t>37372</t>
        </is>
      </c>
      <c r="E315" s="21" t="inlineStr">
        <is>
          <t>Лопата совкова Фіскарс / Fiskars Ergonomic Pro (1066711) Фінляндія</t>
        </is>
      </c>
      <c r="F315" s="21" t="inlineStr">
        <is>
          <t>Лопата совкова Fiskars Ergonomic (1001579)</t>
        </is>
      </c>
      <c r="G315" s="23" t="n">
        <v>2899</v>
      </c>
      <c r="H315" s="23" t="n">
        <v>1499</v>
      </c>
      <c r="I315" s="21" t="inlineStr">
        <is>
          <t>назви схожі, але різні коди виробника</t>
        </is>
      </c>
    </row>
    <row r="316">
      <c r="A316" s="22" t="n">
        <v>79.7</v>
      </c>
      <c r="B316" s="22" t="inlineStr">
        <is>
          <t>Водоспад</t>
        </is>
      </c>
      <c r="C316" s="22" t="inlineStr">
        <is>
          <t>1066713</t>
        </is>
      </c>
      <c r="D316" s="22" t="inlineStr">
        <is>
          <t>37372</t>
        </is>
      </c>
      <c r="E316" s="21" t="inlineStr">
        <is>
          <t>Лопата совкова Фіскарс / Fiskars Ergonomic Pro (1066713) Фінляндія</t>
        </is>
      </c>
      <c r="F316" s="21" t="inlineStr">
        <is>
          <t>Лопата совкова Fiskars Ergonomic (1001579)</t>
        </is>
      </c>
      <c r="G316" s="23" t="n">
        <v>2899</v>
      </c>
      <c r="H316" s="23" t="n">
        <v>1499</v>
      </c>
      <c r="I316" s="21" t="inlineStr">
        <is>
          <t>назви схожі, але різні коди виробника</t>
        </is>
      </c>
    </row>
    <row r="317">
      <c r="A317" s="22" t="n">
        <v>79.7</v>
      </c>
      <c r="B317" s="22" t="inlineStr">
        <is>
          <t>Клуб Рослин</t>
        </is>
      </c>
      <c r="C317" s="22" t="inlineStr">
        <is>
          <t>1066711</t>
        </is>
      </c>
      <c r="D317" s="22" t="inlineStr">
        <is>
          <t>10544</t>
        </is>
      </c>
      <c r="E317" s="21" t="inlineStr">
        <is>
          <t>Лопата совкова Фіскарс / Fiskars Ergonomic Pro (1066711) Фінляндія</t>
        </is>
      </c>
      <c r="F317" s="21" t="inlineStr">
        <is>
          <t>Лопата Fiskars Ergonomic 132400 совкова</t>
        </is>
      </c>
      <c r="G317" s="23" t="n">
        <v>2899</v>
      </c>
      <c r="H317" s="23" t="n">
        <v>958.3</v>
      </c>
      <c r="I317" s="21" t="inlineStr">
        <is>
          <t>назви схожі, але різні коди виробника</t>
        </is>
      </c>
    </row>
    <row r="318">
      <c r="A318" s="22" t="n">
        <v>79.7</v>
      </c>
      <c r="B318" s="22" t="inlineStr">
        <is>
          <t>Клуб Рослин</t>
        </is>
      </c>
      <c r="C318" s="22" t="inlineStr">
        <is>
          <t>1066713</t>
        </is>
      </c>
      <c r="D318" s="22" t="inlineStr">
        <is>
          <t>10544</t>
        </is>
      </c>
      <c r="E318" s="21" t="inlineStr">
        <is>
          <t>Лопата совкова Фіскарс / Fiskars Ergonomic Pro (1066713) Фінляндія</t>
        </is>
      </c>
      <c r="F318" s="21" t="inlineStr">
        <is>
          <t>Лопата Fiskars Ergonomic 132400 совкова</t>
        </is>
      </c>
      <c r="G318" s="23" t="n">
        <v>2899</v>
      </c>
      <c r="H318" s="23" t="n">
        <v>958.3</v>
      </c>
      <c r="I318" s="21" t="inlineStr">
        <is>
          <t>назви схожі, але різні коди виробника</t>
        </is>
      </c>
    </row>
    <row r="319">
      <c r="A319" s="22" t="n">
        <v>79.7</v>
      </c>
      <c r="B319" s="22" t="inlineStr">
        <is>
          <t>Клуб Рослин</t>
        </is>
      </c>
      <c r="C319" s="22" t="inlineStr">
        <is>
          <t>1001621</t>
        </is>
      </c>
      <c r="D319" s="22" t="inlineStr">
        <is>
          <t>11218</t>
        </is>
      </c>
      <c r="E319" s="21" t="inlineStr">
        <is>
          <t>Пила лучкова Фіскарс / Fiskars SW30 124800 (1001621) Фінляндія</t>
        </is>
      </c>
      <c r="F319" s="21" t="inlineStr">
        <is>
          <t>Пила Fiskars 21 SW30 лучкова</t>
        </is>
      </c>
      <c r="G319" s="23" t="n">
        <v>1099</v>
      </c>
      <c r="H319" s="23" t="n">
        <v>464.6</v>
      </c>
      <c r="I319" s="21" t="inlineStr">
        <is>
          <t>назви схожі, різняться словами: фінляндія, фіскарс</t>
        </is>
      </c>
    </row>
    <row r="320">
      <c r="A320" s="22" t="n">
        <v>79.7</v>
      </c>
      <c r="B320" s="22" t="inlineStr">
        <is>
          <t>Клуб Рослин</t>
        </is>
      </c>
      <c r="C320" s="22" t="inlineStr">
        <is>
          <t>4212-14-6T</t>
        </is>
      </c>
      <c r="D320" s="22" t="inlineStr">
        <is>
          <t>11707</t>
        </is>
      </c>
      <c r="E320" s="21" t="inlineStr">
        <is>
          <t>Садова обрізна пила Bahco 4212-14-6T (з переточуваними зубами) 360 мм</t>
        </is>
      </c>
      <c r="F320" s="21" t="inlineStr">
        <is>
          <t>Садова обрізна пила Bahco 4211-14-6T (калений зуб), 360 мм</t>
        </is>
      </c>
      <c r="G320" s="23" t="n">
        <v>1013</v>
      </c>
      <c r="H320" s="23" t="n">
        <v>1010</v>
      </c>
      <c r="I320" s="21" t="inlineStr">
        <is>
          <t>назви схожі, але різні коди виробника</t>
        </is>
      </c>
    </row>
    <row r="321">
      <c r="A321" s="22" t="n">
        <v>79.59999999999999</v>
      </c>
      <c r="B321" s="22" t="inlineStr">
        <is>
          <t>Клуб Рослин</t>
        </is>
      </c>
      <c r="C321" s="22" t="inlineStr">
        <is>
          <t>3241</t>
        </is>
      </c>
      <c r="D321" s="22" t="inlineStr">
        <is>
          <t>14102</t>
        </is>
      </c>
      <c r="E321" s="21" t="inlineStr">
        <is>
          <t>Фунгіцид Скай 200 г Сімейний Сад Україна</t>
        </is>
      </c>
      <c r="F321" s="21" t="inlineStr">
        <is>
          <t>Фунгіцид Скутер В.Г. (сірка) 200 г Сімейний Сад</t>
        </is>
      </c>
      <c r="G321" s="23" t="n">
        <v>780</v>
      </c>
      <c r="H321" s="23" t="n">
        <v>95</v>
      </c>
      <c r="I321" s="21" t="inlineStr">
        <is>
          <t>назви схожі, різняться словами: сірка, скай, скутер</t>
        </is>
      </c>
    </row>
    <row r="322">
      <c r="A322" s="22" t="n">
        <v>79.59999999999999</v>
      </c>
      <c r="B322" s="22" t="inlineStr">
        <is>
          <t>Клуб Рослин</t>
        </is>
      </c>
      <c r="C322" s="22" t="inlineStr">
        <is>
          <t>TC90045</t>
        </is>
      </c>
      <c r="D322" s="22" t="inlineStr">
        <is>
          <t>10978</t>
        </is>
      </c>
      <c r="E322" s="21" t="inlineStr">
        <is>
          <t>Ніж для степлера (комплект) Tapener HT-R1 MAX (TC90045)</t>
        </is>
      </c>
      <c r="F322" s="21" t="inlineStr">
        <is>
          <t>Ніж для степлера HR-F Max (комплект 5шт)</t>
        </is>
      </c>
      <c r="G322" s="23" t="n">
        <v>325</v>
      </c>
      <c r="H322" s="23" t="n">
        <v>230</v>
      </c>
      <c r="I322" s="21" t="inlineStr">
        <is>
          <t>назви схожі, але різні коди виробника</t>
        </is>
      </c>
    </row>
    <row r="323">
      <c r="A323" s="22" t="n">
        <v>79.5</v>
      </c>
      <c r="B323" s="22" t="inlineStr">
        <is>
          <t>Клуб Рослин</t>
        </is>
      </c>
      <c r="C323" s="22" t="inlineStr">
        <is>
          <t>322</t>
        </is>
      </c>
      <c r="D323" s="22" t="inlineStr">
        <is>
          <t>11911</t>
        </is>
      </c>
      <c r="E323" s="21" t="inlineStr">
        <is>
          <t>Ножиці для збору плодів Фелко / Felco 322 Швейцарія</t>
        </is>
      </c>
      <c r="F323" s="21" t="inlineStr">
        <is>
          <t>Секатор-ножиці FELCO 322 довгі леза для збору плодів (Фелко 322)</t>
        </is>
      </c>
      <c r="G323" s="23" t="n">
        <v>1099</v>
      </c>
      <c r="H323" s="23" t="n">
        <v>1099</v>
      </c>
      <c r="I323" s="21" t="inlineStr">
        <is>
          <t>назви схожі, різняться словами: довгі, леза, секатор</t>
        </is>
      </c>
    </row>
    <row r="324">
      <c r="A324" s="22" t="n">
        <v>79.40000000000001</v>
      </c>
      <c r="B324" s="22" t="inlineStr">
        <is>
          <t>Клуб Рослин</t>
        </is>
      </c>
      <c r="C324" s="22" t="inlineStr">
        <is>
          <t>41-040</t>
        </is>
      </c>
      <c r="D324" s="22" t="inlineStr">
        <is>
          <t>13914</t>
        </is>
      </c>
      <c r="E324" s="21" t="inlineStr">
        <is>
          <t>Пила садова Целлфаст / Cellfas ERGO 30 см 340 г (41-040) Польща</t>
        </is>
      </c>
      <c r="F324" s="21" t="inlineStr">
        <is>
          <t>Пила садова Cellfast Ergo 41-040 (Целфаст Ерго)</t>
        </is>
      </c>
      <c r="G324" s="23" t="n">
        <v>875</v>
      </c>
      <c r="H324" s="23" t="n">
        <v>1434</v>
      </c>
      <c r="I324" s="21" t="inlineStr">
        <is>
          <t>назви схожі, різняться словами: ерго, целлфаст, целфаст</t>
        </is>
      </c>
    </row>
    <row r="325">
      <c r="A325" s="22" t="n">
        <v>79.3</v>
      </c>
      <c r="B325" s="22" t="inlineStr">
        <is>
          <t>Водоспад</t>
        </is>
      </c>
      <c r="C325" s="22" t="inlineStr">
        <is>
          <t>3604-21.B</t>
        </is>
      </c>
      <c r="D325" s="22" t="inlineStr">
        <is>
          <t>42458</t>
        </is>
      </c>
      <c r="E325" s="21" t="inlineStr">
        <is>
          <t>Секатор 210 мм універсальний Bellota (3604-21.B) Іспанія</t>
        </is>
      </c>
      <c r="F325" s="21" t="inlineStr">
        <is>
          <t>Секатор Bellota 3604-21</t>
        </is>
      </c>
      <c r="G325" s="23" t="n">
        <v>1989</v>
      </c>
      <c r="H325" s="23" t="n">
        <v>1839</v>
      </c>
      <c r="I325" s="21" t="inlineStr">
        <is>
          <t>назви схожі, але різні коди виробника</t>
        </is>
      </c>
    </row>
    <row r="326">
      <c r="A326" s="22" t="n">
        <v>79.3</v>
      </c>
      <c r="B326" s="22" t="inlineStr">
        <is>
          <t>Водоспад</t>
        </is>
      </c>
      <c r="C326" s="22" t="inlineStr">
        <is>
          <t>1067518</t>
        </is>
      </c>
      <c r="D326" s="22" t="inlineStr">
        <is>
          <t>37396</t>
        </is>
      </c>
      <c r="E326" s="21" t="inlineStr">
        <is>
          <t>Лопата совкова Фіскарс Fiskars Solid (1067518) Фінляндія</t>
        </is>
      </c>
      <c r="F326" s="21" t="inlineStr">
        <is>
          <t>Лопата совкова Fiskars Solid (1003457)</t>
        </is>
      </c>
      <c r="G326" s="23" t="n">
        <v>1899</v>
      </c>
      <c r="H326" s="23" t="n">
        <v>949</v>
      </c>
      <c r="I326" s="21" t="inlineStr">
        <is>
          <t>назви схожі, але різні коди виробника</t>
        </is>
      </c>
    </row>
    <row r="327">
      <c r="A327" s="22" t="n">
        <v>79.3</v>
      </c>
      <c r="B327" s="22" t="inlineStr">
        <is>
          <t>Клуб Рослин</t>
        </is>
      </c>
      <c r="C327" s="22" t="inlineStr">
        <is>
          <t>1067518</t>
        </is>
      </c>
      <c r="D327" s="22" t="inlineStr">
        <is>
          <t>10547</t>
        </is>
      </c>
      <c r="E327" s="21" t="inlineStr">
        <is>
          <t>Лопата совкова Фіскарс Fiskars Solid (1067518) Фінляндія</t>
        </is>
      </c>
      <c r="F327" s="21" t="inlineStr">
        <is>
          <t>Лопата Fiskars Solid 132403 совкова</t>
        </is>
      </c>
      <c r="G327" s="23" t="n">
        <v>1899</v>
      </c>
      <c r="H327" s="23" t="n">
        <v>726</v>
      </c>
      <c r="I327" s="21" t="inlineStr">
        <is>
          <t>назви схожі, але різні коди виробника</t>
        </is>
      </c>
    </row>
    <row r="328">
      <c r="A328" s="22" t="n">
        <v>79.3</v>
      </c>
      <c r="B328" s="22" t="inlineStr">
        <is>
          <t>Клуб Рослин</t>
        </is>
      </c>
      <c r="C328" s="22" t="inlineStr">
        <is>
          <t>8119</t>
        </is>
      </c>
      <c r="D328" s="22" t="inlineStr">
        <is>
          <t>13421</t>
        </is>
      </c>
      <c r="E328" s="21" t="inlineStr">
        <is>
          <t>Добриво Агрeкол / Agrecol для газонів та боротьби з мохом 15-0-0 5 кг Польща</t>
        </is>
      </c>
      <c r="F328" s="21" t="inlineStr">
        <is>
          <t>Добриво мінеральне гранульоване Agrecol для газону та боротьби з мохом 15-0-0, 5 кг</t>
        </is>
      </c>
      <c r="G328" s="23" t="n">
        <v>1112</v>
      </c>
      <c r="H328" s="23" t="n">
        <v>1095</v>
      </c>
      <c r="I328" s="21" t="inlineStr">
        <is>
          <t>назви схожі, різняться словами: газонів, газону, гранульоване та ще 1</t>
        </is>
      </c>
    </row>
    <row r="329">
      <c r="A329" s="22" t="n">
        <v>79.3</v>
      </c>
      <c r="B329" s="22" t="inlineStr">
        <is>
          <t>Клуб Рослин</t>
        </is>
      </c>
      <c r="C329" s="22" t="inlineStr">
        <is>
          <t>2710005L</t>
        </is>
      </c>
      <c r="D329" s="22" t="inlineStr">
        <is>
          <t>10611</t>
        </is>
      </c>
      <c r="E329" s="21" t="inlineStr">
        <is>
          <t>Мастика Іннестіссімо / Innestissimo 1 кг для щеплення AgriChem Італія</t>
        </is>
      </c>
      <c r="F329" s="21" t="inlineStr">
        <is>
          <t>Мастика для щеплення плодових (лак-бальзам) Innestissimo, 1кг / Іннестіссімо, 1кг</t>
        </is>
      </c>
      <c r="G329" s="23" t="n">
        <v>495</v>
      </c>
      <c r="H329" s="23" t="n">
        <v>539</v>
      </c>
      <c r="I329" s="21" t="inlineStr">
        <is>
          <t>назви схожі, різняться словами: agrichem, бальзам, плодових</t>
        </is>
      </c>
    </row>
    <row r="330">
      <c r="A330" s="22" t="n">
        <v>79.2</v>
      </c>
      <c r="B330" s="22" t="inlineStr">
        <is>
          <t>Водоспад</t>
        </is>
      </c>
      <c r="C330" s="22" t="inlineStr">
        <is>
          <t>Felco 2+Beanie</t>
        </is>
      </c>
      <c r="D330" s="22" t="inlineStr">
        <is>
          <t>42842</t>
        </is>
      </c>
      <c r="E330" s="21" t="inlineStr">
        <is>
          <t>Подарунковий набір Felco (Секатор Фелко 2 + Фірмова Шапка) Швейцарія</t>
        </is>
      </c>
      <c r="F330" s="21" t="inlineStr">
        <is>
          <t>Садовий секатор FELCO 8 + Фірмова шапка (Подарунковий набір) (Felco8)</t>
        </is>
      </c>
      <c r="G330" s="23" t="n">
        <v>3090</v>
      </c>
      <c r="H330" s="23" t="n">
        <v>2599</v>
      </c>
      <c r="I330" s="21" t="inlineStr">
        <is>
          <t>назви схожі, різняться словами: садовий, фелко</t>
        </is>
      </c>
    </row>
    <row r="331">
      <c r="A331" s="22" t="n">
        <v>79.2</v>
      </c>
      <c r="B331" s="22" t="inlineStr">
        <is>
          <t>Водоспад</t>
        </is>
      </c>
      <c r="C331" s="22" t="inlineStr">
        <is>
          <t>121001004985</t>
        </is>
      </c>
      <c r="D331" s="22" t="inlineStr">
        <is>
          <t>42842</t>
        </is>
      </c>
      <c r="E331" s="21" t="inlineStr">
        <is>
          <t>Подарунковий набір Felco (Секатор Фелко 2 + Фірмова Шапка) Швейцарія</t>
        </is>
      </c>
      <c r="F331" s="21" t="inlineStr">
        <is>
          <t>Садовий секатор FELCO 8 + Фірмова шапка (Подарунковий набір) (Felco8)</t>
        </is>
      </c>
      <c r="G331" s="23" t="n">
        <v>3090</v>
      </c>
      <c r="H331" s="23" t="n">
        <v>2599</v>
      </c>
      <c r="I331" s="21" t="inlineStr">
        <is>
          <t>назви схожі, різняться словами: садовий, фелко</t>
        </is>
      </c>
    </row>
    <row r="332">
      <c r="A332" s="22" t="n">
        <v>79.09999999999999</v>
      </c>
      <c r="B332" s="22" t="inlineStr">
        <is>
          <t>Клуб Рослин</t>
        </is>
      </c>
      <c r="C332" s="22" t="inlineStr">
        <is>
          <t>PG-19-F</t>
        </is>
      </c>
      <c r="D332" s="22" t="inlineStr">
        <is>
          <t>12487</t>
        </is>
      </c>
      <c r="E332" s="21" t="inlineStr">
        <is>
          <t>Гілкоріз телескопічний Bahco PG-19-F Bahco 700 до 900 мм Бахо</t>
        </is>
      </c>
      <c r="F332" s="21" t="inlineStr">
        <is>
          <t>Телескопічний сучкоріз Bahco PG-19-F (Бахо PG-19-F)</t>
        </is>
      </c>
      <c r="G332" s="23" t="n">
        <v>2992</v>
      </c>
      <c r="H332" s="23" t="n">
        <v>1905</v>
      </c>
      <c r="I332" s="21" t="inlineStr">
        <is>
          <t>назви схожі, різняться словами: гілкоріз, сучкоріз</t>
        </is>
      </c>
    </row>
    <row r="333">
      <c r="A333" s="22" t="n">
        <v>79.09999999999999</v>
      </c>
      <c r="B333" s="22" t="inlineStr">
        <is>
          <t>Клуб Рослин</t>
        </is>
      </c>
      <c r="C333" s="22" t="inlineStr">
        <is>
          <t>1070679</t>
        </is>
      </c>
      <c r="D333" s="22" t="inlineStr">
        <is>
          <t>8691</t>
        </is>
      </c>
      <c r="E333" s="21" t="inlineStr">
        <is>
          <t>Вила садові Фіскарс / Fiskars Ergonomic (1070679) Фінляндія</t>
        </is>
      </c>
      <c r="F333" s="21" t="inlineStr">
        <is>
          <t>Вила Fiskars (133400) садові (Фіскарс)</t>
        </is>
      </c>
      <c r="G333" s="23" t="n">
        <v>2699</v>
      </c>
      <c r="H333" s="23" t="n">
        <v>958.3</v>
      </c>
      <c r="I333" s="21" t="inlineStr">
        <is>
          <t>назви схожі, але різні коди виробника</t>
        </is>
      </c>
    </row>
    <row r="334">
      <c r="A334" s="22" t="n">
        <v>79.09999999999999</v>
      </c>
      <c r="B334" s="22" t="inlineStr">
        <is>
          <t>Клуб Рослин</t>
        </is>
      </c>
      <c r="C334" s="22" t="inlineStr">
        <is>
          <t>8110</t>
        </is>
      </c>
      <c r="D334" s="22" t="inlineStr">
        <is>
          <t>9277</t>
        </is>
      </c>
      <c r="E334" s="21" t="inlineStr">
        <is>
          <t>Добриво Агрeкол / Agrecol для хвойних рослин 0-0-25 5 кг Польща</t>
        </is>
      </c>
      <c r="F334" s="21" t="inlineStr">
        <is>
          <t>Добриво Yara Vila для хвойних рослин, 5 кг</t>
        </is>
      </c>
      <c r="G334" s="23" t="n">
        <v>1112</v>
      </c>
      <c r="H334" s="23" t="n">
        <v>812</v>
      </c>
      <c r="I334" s="21" t="inlineStr">
        <is>
          <t>назви схожі, але різні бренди</t>
        </is>
      </c>
    </row>
    <row r="335">
      <c r="A335" s="22" t="n">
        <v>79.09999999999999</v>
      </c>
      <c r="B335" s="22" t="inlineStr">
        <is>
          <t>Клуб Рослин</t>
        </is>
      </c>
      <c r="C335" s="22" t="inlineStr">
        <is>
          <t>1158</t>
        </is>
      </c>
      <c r="D335" s="22" t="inlineStr">
        <is>
          <t>14071</t>
        </is>
      </c>
      <c r="E335" s="21" t="inlineStr">
        <is>
          <t>Гербіцид Примус 500 мл Сімейний Сад Україна</t>
        </is>
      </c>
      <c r="F335" s="21" t="inlineStr">
        <is>
          <t>Гербіцид Примус К.Е. (2-етилгексиловий ефір + флорасулам) 500 мл Сімейний Сад</t>
        </is>
      </c>
      <c r="G335" s="23" t="n">
        <v>375</v>
      </c>
      <c r="H335" s="23" t="n">
        <v>475</v>
      </c>
      <c r="I335" s="21" t="inlineStr">
        <is>
          <t>назви схожі, різняться словами: ефір, флорасулам</t>
        </is>
      </c>
    </row>
    <row r="336">
      <c r="A336" s="22" t="n">
        <v>79.09999999999999</v>
      </c>
      <c r="B336" s="22" t="inlineStr">
        <is>
          <t>Клуб Рослин</t>
        </is>
      </c>
      <c r="C336" s="22" t="inlineStr">
        <is>
          <t>m3015</t>
        </is>
      </c>
      <c r="D336" s="22" t="inlineStr">
        <is>
          <t>14746</t>
        </is>
      </c>
      <c r="E336" s="21" t="inlineStr">
        <is>
          <t>Фунгіцид Ридоміл Голд МЦ 68 WG в.г. 50г.</t>
        </is>
      </c>
      <c r="F336" s="21" t="inlineStr">
        <is>
          <t>Фунгіцид Ридоміл Голд МЦ 68 (манкоцеб 640 г/к + металаксил–М 40 г/кг) WG в.г. 25 г, Syngenta</t>
        </is>
      </c>
      <c r="G336" s="23" t="n">
        <v>80</v>
      </c>
      <c r="H336" s="23" t="n">
        <v>58</v>
      </c>
      <c r="I336" s="21" t="inlineStr">
        <is>
          <t>назви схожі, але різні об'єми або розміри</t>
        </is>
      </c>
    </row>
    <row r="337">
      <c r="A337" s="22" t="n">
        <v>79</v>
      </c>
      <c r="B337" s="22" t="inlineStr">
        <is>
          <t>Водоспад</t>
        </is>
      </c>
      <c r="C337" s="22" t="inlineStr">
        <is>
          <t>75104-10/XL.B.</t>
        </is>
      </c>
      <c r="D337" s="22" t="inlineStr">
        <is>
          <t>37161</t>
        </is>
      </c>
      <c r="E337" s="21" t="inlineStr">
        <is>
          <t>Рукавички садові Unіversal Bellota (75104-10/XL.B.) Іспанія</t>
        </is>
      </c>
      <c r="F337" s="21" t="inlineStr">
        <is>
          <t>Рукавиці садові Bellota Universal 75104-8 (75104-8)</t>
        </is>
      </c>
      <c r="G337" s="23" t="n">
        <v>319</v>
      </c>
      <c r="H337" s="23" t="n">
        <v>309</v>
      </c>
      <c r="I337" s="21" t="inlineStr">
        <is>
          <t>назви схожі, але різні коди виробника</t>
        </is>
      </c>
    </row>
    <row r="338">
      <c r="A338" s="22" t="n">
        <v>79</v>
      </c>
      <c r="B338" s="22" t="inlineStr">
        <is>
          <t>Клуб Рослин</t>
        </is>
      </c>
      <c r="C338" s="22" t="inlineStr">
        <is>
          <t>8109</t>
        </is>
      </c>
      <c r="D338" s="22" t="inlineStr">
        <is>
          <t>13448</t>
        </is>
      </c>
      <c r="E338" s="21" t="inlineStr">
        <is>
          <t>Добриво Агрекол / Agrecol універсальне 0-13-27 5 кг Польща</t>
        </is>
      </c>
      <c r="F338" s="21" t="inlineStr">
        <is>
          <t>Добриво мінеральне гранульоване Agrecol осіннє універсальне 0-13-27, 5 кг</t>
        </is>
      </c>
      <c r="G338" s="23" t="n">
        <v>1112</v>
      </c>
      <c r="H338" s="23" t="n">
        <v>895</v>
      </c>
      <c r="I338" s="21" t="inlineStr">
        <is>
          <t>назви схожі, різняться словами: агрекол, гранульоване, мінеральне та ще 1</t>
        </is>
      </c>
    </row>
    <row r="339">
      <c r="A339" s="22" t="n">
        <v>79</v>
      </c>
      <c r="B339" s="22" t="inlineStr">
        <is>
          <t>Клуб Рослин</t>
        </is>
      </c>
      <c r="C339" s="22" t="inlineStr">
        <is>
          <t>8102</t>
        </is>
      </c>
      <c r="D339" s="22" t="inlineStr">
        <is>
          <t>13447</t>
        </is>
      </c>
      <c r="E339" s="21" t="inlineStr">
        <is>
          <t>Добриво Агрекол / Agrecol універсальне 0-13-27 3 кг Польща</t>
        </is>
      </c>
      <c r="F339" s="21" t="inlineStr">
        <is>
          <t>Добриво мінеральне гранульоване Agrecol осіннє універсальне 0-13-27, 3 кг</t>
        </is>
      </c>
      <c r="G339" s="23" t="n">
        <v>679</v>
      </c>
      <c r="H339" s="23" t="n">
        <v>600</v>
      </c>
      <c r="I339" s="21" t="inlineStr">
        <is>
          <t>назви схожі, різняться словами: агрекол, гранульоване, мінеральне та ще 1</t>
        </is>
      </c>
    </row>
    <row r="340">
      <c r="A340" s="22" t="n">
        <v>79</v>
      </c>
      <c r="B340" s="22" t="inlineStr">
        <is>
          <t>Клуб Рослин</t>
        </is>
      </c>
      <c r="C340" s="22" t="inlineStr">
        <is>
          <t>P129-19</t>
        </is>
      </c>
      <c r="D340" s="22" t="inlineStr">
        <is>
          <t>11037</t>
        </is>
      </c>
      <c r="E340" s="21" t="inlineStr">
        <is>
          <t>Ножниці для збору винограду P129-19 Bahco</t>
        </is>
      </c>
      <c r="F340" s="21" t="inlineStr">
        <is>
          <t>Ножиці для обрізки винограду Bahco P128-19</t>
        </is>
      </c>
      <c r="G340" s="23" t="n">
        <v>585</v>
      </c>
      <c r="H340" s="23" t="n">
        <v>570</v>
      </c>
      <c r="I340" s="21" t="inlineStr">
        <is>
          <t>назви схожі, але різні коди виробника</t>
        </is>
      </c>
    </row>
    <row r="341">
      <c r="A341" s="22" t="n">
        <v>78.90000000000001</v>
      </c>
      <c r="B341" s="22" t="inlineStr">
        <is>
          <t>Водоспад</t>
        </is>
      </c>
      <c r="C341" s="22" t="inlineStr">
        <is>
          <t>FAL1850/A</t>
        </is>
      </c>
      <c r="D341" s="22" t="inlineStr">
        <is>
          <t>41941</t>
        </is>
      </c>
      <c r="E341" s="21" t="inlineStr">
        <is>
          <t>Ножиці для винограду 19 см Falket / Фалкет (FAL1850/A) Італія</t>
        </is>
      </c>
      <c r="F341" s="21" t="inlineStr">
        <is>
          <t>Ножиці для винограду 19 см, 92 г, FALKET (1850/A)</t>
        </is>
      </c>
      <c r="G341" s="23" t="n">
        <v>200</v>
      </c>
      <c r="H341" s="23" t="n">
        <v>200</v>
      </c>
      <c r="I341" s="21" t="inlineStr">
        <is>
          <t>назви схожі, але різні коди виробника</t>
        </is>
      </c>
    </row>
    <row r="342">
      <c r="A342" s="22" t="n">
        <v>78.90000000000001</v>
      </c>
      <c r="B342" s="22" t="inlineStr">
        <is>
          <t>Клуб Рослин</t>
        </is>
      </c>
      <c r="C342" s="22" t="inlineStr">
        <is>
          <t>1015640</t>
        </is>
      </c>
      <c r="D342" s="22" t="inlineStr">
        <is>
          <t>12331</t>
        </is>
      </c>
      <c r="E342" s="21" t="inlineStr">
        <is>
          <t>Сокира-колун Фіскарс Fiskars S X11 122443 (1015640) Фінляндія</t>
        </is>
      </c>
      <c r="F342" s="21" t="inlineStr">
        <is>
          <t>Сокира колун Fiskars Х11</t>
        </is>
      </c>
      <c r="G342" s="23" t="n">
        <v>3799</v>
      </c>
      <c r="H342" s="23" t="n">
        <v>1450.6</v>
      </c>
      <c r="I342" s="21" t="inlineStr">
        <is>
          <t>назви схожі, різняться словами: фінляндія, фіскарс</t>
        </is>
      </c>
    </row>
    <row r="343">
      <c r="A343" s="22" t="n">
        <v>78.8</v>
      </c>
      <c r="B343" s="22" t="inlineStr">
        <is>
          <t>Водоспад</t>
        </is>
      </c>
      <c r="C343" s="22" t="inlineStr">
        <is>
          <t>981</t>
        </is>
      </c>
      <c r="D343" s="22" t="inlineStr">
        <is>
          <t>41512</t>
        </is>
      </c>
      <c r="E343" s="21" t="inlineStr">
        <is>
          <t>Засіб для видалення смоли Фелко / Felco 981 Швейцария</t>
        </is>
      </c>
      <c r="F343" s="21" t="inlineStr">
        <is>
          <t>Засіб для видалення смоли (Felco981)</t>
        </is>
      </c>
      <c r="G343" s="23" t="n">
        <v>559</v>
      </c>
      <c r="H343" s="23" t="n">
        <v>559</v>
      </c>
      <c r="I343" s="21" t="inlineStr">
        <is>
          <t>назви схожі, різняться словами: felco, фелко, швейцария</t>
        </is>
      </c>
    </row>
    <row r="344">
      <c r="A344" s="22" t="n">
        <v>78.8</v>
      </c>
      <c r="B344" s="22" t="inlineStr">
        <is>
          <t>Водоспад</t>
        </is>
      </c>
      <c r="C344" s="22" t="inlineStr">
        <is>
          <t>123040100</t>
        </is>
      </c>
      <c r="D344" s="22" t="inlineStr">
        <is>
          <t>32812</t>
        </is>
      </c>
      <c r="E344" s="21" t="inlineStr">
        <is>
          <t>Точильний камінь 400/1000 S&amp;R (123040100) Німеччина</t>
        </is>
      </c>
      <c r="F344" s="21" t="inlineStr">
        <is>
          <t>Точильний камінь TINA 940 (Німеччина)</t>
        </is>
      </c>
      <c r="G344" s="23" t="n">
        <v>475</v>
      </c>
      <c r="H344" s="23" t="n">
        <v>1370</v>
      </c>
      <c r="I344" s="21" t="inlineStr">
        <is>
          <t>назви схожі, різняться словами: tina</t>
        </is>
      </c>
    </row>
    <row r="345">
      <c r="A345" s="22" t="n">
        <v>78.8</v>
      </c>
      <c r="B345" s="22" t="inlineStr">
        <is>
          <t>Клуб Рослин</t>
        </is>
      </c>
      <c r="C345" s="22" t="inlineStr">
        <is>
          <t>121-24</t>
        </is>
      </c>
      <c r="D345" s="22" t="inlineStr">
        <is>
          <t>11234</t>
        </is>
      </c>
      <c r="E345" s="21" t="inlineStr">
        <is>
          <t>Складна пила Silky Gomboy 240-10 (121-24) Японія</t>
        </is>
      </c>
      <c r="F345" s="21" t="inlineStr">
        <is>
          <t>Пила Silky Gomboy 240-10 складна (Сілкі Гомбой)</t>
        </is>
      </c>
      <c r="G345" s="23" t="n">
        <v>2990</v>
      </c>
      <c r="H345" s="23" t="n">
        <v>2990</v>
      </c>
      <c r="I345" s="21" t="inlineStr">
        <is>
          <t>назви схожі, різняться словами: гомбой, сілкі</t>
        </is>
      </c>
    </row>
    <row r="346">
      <c r="A346" s="22" t="n">
        <v>78.8</v>
      </c>
      <c r="B346" s="22" t="inlineStr">
        <is>
          <t>Клуб Рослин</t>
        </is>
      </c>
      <c r="C346" s="22" t="inlineStr">
        <is>
          <t>3.91.16</t>
        </is>
      </c>
      <c r="D346" s="22" t="inlineStr">
        <is>
          <t>10969</t>
        </is>
      </c>
      <c r="E346" s="21" t="inlineStr">
        <is>
          <t>Ніж для щеплення Victorinox 3.91.16 Швейцарія</t>
        </is>
      </c>
      <c r="F346" s="21" t="inlineStr">
        <is>
          <t>Ніж для щеплення Victorinox 3.91.16 (Вікторінокс 3.91.16)</t>
        </is>
      </c>
      <c r="G346" s="23" t="n">
        <v>1990</v>
      </c>
      <c r="H346" s="23" t="n">
        <v>1990</v>
      </c>
      <c r="I346" s="21" t="inlineStr">
        <is>
          <t>назви схожі, різняться словами: вікторінокс</t>
        </is>
      </c>
    </row>
    <row r="347">
      <c r="A347" s="22" t="n">
        <v>78.8</v>
      </c>
      <c r="B347" s="22" t="inlineStr">
        <is>
          <t>Клуб Рослин</t>
        </is>
      </c>
      <c r="C347" s="22" t="inlineStr">
        <is>
          <t>3.90.40</t>
        </is>
      </c>
      <c r="D347" s="22" t="inlineStr">
        <is>
          <t>10964</t>
        </is>
      </c>
      <c r="E347" s="21" t="inlineStr">
        <is>
          <t>Ніж для щеплення Victorinox 3.90.40 Швейцарія</t>
        </is>
      </c>
      <c r="F347" s="21" t="inlineStr">
        <is>
          <t>Ніж для щеплення Victorinox 3.90.40 (Вікторінокс 3.90.40)</t>
        </is>
      </c>
      <c r="G347" s="23" t="n">
        <v>1290</v>
      </c>
      <c r="H347" s="23" t="n">
        <v>1290</v>
      </c>
      <c r="I347" s="21" t="inlineStr">
        <is>
          <t>назви схожі, різняться словами: вікторінокс</t>
        </is>
      </c>
    </row>
    <row r="348">
      <c r="A348" s="22" t="n">
        <v>78.8</v>
      </c>
      <c r="B348" s="22" t="inlineStr">
        <is>
          <t>Клуб Рослин</t>
        </is>
      </c>
      <c r="C348" s="22" t="inlineStr">
        <is>
          <t>3.90.50</t>
        </is>
      </c>
      <c r="D348" s="22" t="inlineStr">
        <is>
          <t>10965</t>
        </is>
      </c>
      <c r="E348" s="21" t="inlineStr">
        <is>
          <t>Ніж для щеплення Victorinox 3.90.50 Швейцарія</t>
        </is>
      </c>
      <c r="F348" s="21" t="inlineStr">
        <is>
          <t>Ніж для щеплення Victorinox 3.90.50 (Вікторінокс 3.90.50)</t>
        </is>
      </c>
      <c r="G348" s="23" t="n">
        <v>919</v>
      </c>
      <c r="H348" s="23" t="n">
        <v>919</v>
      </c>
      <c r="I348" s="21" t="inlineStr">
        <is>
          <t>назви схожі, різняться словами: вікторінокс</t>
        </is>
      </c>
    </row>
    <row r="349">
      <c r="A349" s="22" t="n">
        <v>78.8</v>
      </c>
      <c r="B349" s="22" t="inlineStr">
        <is>
          <t>Клуб Рослин</t>
        </is>
      </c>
      <c r="C349" s="22" t="inlineStr">
        <is>
          <t>3.90.60</t>
        </is>
      </c>
      <c r="D349" s="22" t="inlineStr">
        <is>
          <t>10967</t>
        </is>
      </c>
      <c r="E349" s="21" t="inlineStr">
        <is>
          <t>Ніж для щеплення Victorinox 3.90.60 Швейцарія</t>
        </is>
      </c>
      <c r="F349" s="21" t="inlineStr">
        <is>
          <t>Ніж для щеплення Victorinox 3.90.60 (Вікторінокс 3.90.60)</t>
        </is>
      </c>
      <c r="G349" s="23" t="n">
        <v>919</v>
      </c>
      <c r="H349" s="23" t="n">
        <v>919</v>
      </c>
      <c r="I349" s="21" t="inlineStr">
        <is>
          <t>назви схожі, різняться словами: вікторінокс</t>
        </is>
      </c>
    </row>
    <row r="350">
      <c r="A350" s="22" t="n">
        <v>78.8</v>
      </c>
      <c r="B350" s="22" t="inlineStr">
        <is>
          <t>Клуб Рослин</t>
        </is>
      </c>
      <c r="C350" s="22" t="inlineStr">
        <is>
          <t>Z-581</t>
        </is>
      </c>
      <c r="D350" s="22" t="inlineStr">
        <is>
          <t>8734</t>
        </is>
      </c>
      <c r="E350" s="21" t="inlineStr">
        <is>
          <t>Віск для щеплення зелений Чірфлекс / Cirflex (Z-581) 1 кг Awax Італія</t>
        </is>
      </c>
      <c r="F350" s="21" t="inlineStr">
        <is>
          <t>Віск для щеплення CIRFLEX пластина 1 кг, зелений (Сірфлекс)</t>
        </is>
      </c>
      <c r="G350" s="23" t="n">
        <v>430</v>
      </c>
      <c r="H350" s="23" t="n">
        <v>430</v>
      </c>
      <c r="I350" s="21" t="inlineStr">
        <is>
          <t>назви схожі, різняться словами: awax, пластина, сірфлекс та ще 1</t>
        </is>
      </c>
    </row>
    <row r="351">
      <c r="A351" s="22" t="n">
        <v>78.8</v>
      </c>
      <c r="B351" s="22" t="inlineStr">
        <is>
          <t>Клуб Рослин</t>
        </is>
      </c>
      <c r="C351" s="22" t="inlineStr">
        <is>
          <t>1.90.50</t>
        </is>
      </c>
      <c r="D351" s="22" t="inlineStr">
        <is>
          <t>10959</t>
        </is>
      </c>
      <c r="E351" s="21" t="inlineStr">
        <is>
          <t>Ніж для щеплення Victorinox 1.90.50 Швейцарія</t>
        </is>
      </c>
      <c r="F351" s="21" t="inlineStr">
        <is>
          <t>Ніж для щеплення Victorinox 1.90.50 (Вікторінокс 1.90.50)</t>
        </is>
      </c>
      <c r="G351" s="23" t="n">
        <v>325</v>
      </c>
      <c r="H351" s="23" t="n">
        <v>329</v>
      </c>
      <c r="I351" s="21" t="inlineStr">
        <is>
          <t>назви схожі, різняться словами: вікторінокс</t>
        </is>
      </c>
    </row>
    <row r="352">
      <c r="A352" s="22" t="n">
        <v>78.7</v>
      </c>
      <c r="B352" s="22" t="inlineStr">
        <is>
          <t>Водоспад</t>
        </is>
      </c>
      <c r="C352" s="22" t="inlineStr">
        <is>
          <t>3402.B</t>
        </is>
      </c>
      <c r="D352" s="22" t="inlineStr">
        <is>
          <t>42277</t>
        </is>
      </c>
      <c r="E352" s="21" t="inlineStr">
        <is>
          <t>Секатор 195 мм з коваделком Bellota (3402.B) Іспанія</t>
        </is>
      </c>
      <c r="F352" s="21" t="inlineStr">
        <is>
          <t>Секатор 195 мм, Bellota (3409)</t>
        </is>
      </c>
      <c r="G352" s="23" t="n">
        <v>969</v>
      </c>
      <c r="H352" s="23" t="n">
        <v>625</v>
      </c>
      <c r="I352" s="21" t="inlineStr">
        <is>
          <t>назви схожі, різняться словами: коваделком</t>
        </is>
      </c>
    </row>
    <row r="353">
      <c r="A353" s="22" t="n">
        <v>78.7</v>
      </c>
      <c r="B353" s="22" t="inlineStr">
        <is>
          <t>Водоспад</t>
        </is>
      </c>
      <c r="C353" s="22" t="inlineStr">
        <is>
          <t>1-3000</t>
        </is>
      </c>
      <c r="D353" s="22" t="inlineStr">
        <is>
          <t>43325</t>
        </is>
      </c>
      <c r="E353" s="21" t="inlineStr">
        <is>
          <t>Садова замазка з фунгіцидом Арбосан / Arbosan 350 г Bio Plantella Словенія</t>
        </is>
      </c>
      <c r="F353" s="21" t="inlineStr">
        <is>
          <t>Замазка садова ARBOSAN Bio Plantella для рослин, 350 г з пензликом (Словенія)</t>
        </is>
      </c>
      <c r="G353" s="23" t="n">
        <v>349</v>
      </c>
      <c r="H353" s="23" t="n">
        <v>349</v>
      </c>
      <c r="I353" s="21" t="inlineStr">
        <is>
          <t>назви схожі, різняться словами: арбосан, пензликом, рослин та ще 1</t>
        </is>
      </c>
    </row>
    <row r="354">
      <c r="A354" s="22" t="n">
        <v>78.7</v>
      </c>
      <c r="B354" s="22" t="inlineStr">
        <is>
          <t>Клуб Рослин</t>
        </is>
      </c>
      <c r="C354" s="22" t="inlineStr">
        <is>
          <t>717-30</t>
        </is>
      </c>
      <c r="D354" s="22" t="inlineStr">
        <is>
          <t>11238</t>
        </is>
      </c>
      <c r="E354" s="21" t="inlineStr">
        <is>
          <t>Пила складна Silky Gomboy 300 мм (717-30) Японія</t>
        </is>
      </c>
      <c r="F354" s="21" t="inlineStr">
        <is>
          <t>Пила Silky Gomboy 300-10 складна (Сілкі Гомбой)</t>
        </is>
      </c>
      <c r="G354" s="23" t="n">
        <v>3790</v>
      </c>
      <c r="H354" s="23" t="n">
        <v>3590</v>
      </c>
      <c r="I354" s="21" t="inlineStr">
        <is>
          <t>назви схожі, різняться словами: гомбой, сілкі</t>
        </is>
      </c>
    </row>
    <row r="355">
      <c r="A355" s="22" t="n">
        <v>78.7</v>
      </c>
      <c r="B355" s="22" t="inlineStr">
        <is>
          <t>Клуб Рослин</t>
        </is>
      </c>
      <c r="C355" s="22" t="inlineStr">
        <is>
          <t>m20005</t>
        </is>
      </c>
      <c r="D355" s="22" t="inlineStr">
        <is>
          <t>15788</t>
        </is>
      </c>
      <c r="E355" s="21" t="inlineStr">
        <is>
          <t>Вертімек 018 EC к.е. 10мл.</t>
        </is>
      </c>
      <c r="F355" s="21" t="inlineStr">
        <is>
          <t>Інсектицид Вертімек 018 (абамектин 18 г/л) EC к.е. 10 мл, Syngenta</t>
        </is>
      </c>
      <c r="G355" s="23" t="n">
        <v>50</v>
      </c>
      <c r="H355" s="23" t="n">
        <v>62</v>
      </c>
      <c r="I355" s="21" t="inlineStr">
        <is>
          <t>назви схожі, різняться словами: syngenta, інсектицид, абамектин</t>
        </is>
      </c>
    </row>
    <row r="356">
      <c r="A356" s="22" t="n">
        <v>78.7</v>
      </c>
      <c r="B356" s="22" t="inlineStr">
        <is>
          <t>Клуб Рослин</t>
        </is>
      </c>
      <c r="C356" s="22" t="inlineStr">
        <is>
          <t>m3009</t>
        </is>
      </c>
      <c r="D356" s="22" t="inlineStr">
        <is>
          <t>14751</t>
        </is>
      </c>
      <c r="E356" s="21" t="inlineStr">
        <is>
          <t>Фунгіцид Скор 250 EC к.е. 2мл.</t>
        </is>
      </c>
      <c r="F356" s="21" t="inlineStr">
        <is>
          <t>Фунгіцид Скор 250 (дифеноконазол 250 г/л) ЕС к.е. 2 мл, Syngenta</t>
        </is>
      </c>
      <c r="G356" s="23" t="n">
        <v>22</v>
      </c>
      <c r="H356" s="23" t="n">
        <v>29</v>
      </c>
      <c r="I356" s="21" t="inlineStr">
        <is>
          <t>назви схожі, але різні бренди</t>
        </is>
      </c>
    </row>
    <row r="357">
      <c r="A357" s="22" t="n">
        <v>78.59999999999999</v>
      </c>
      <c r="B357" s="22" t="inlineStr">
        <is>
          <t>Водоспад</t>
        </is>
      </c>
      <c r="C357" s="22" t="inlineStr">
        <is>
          <t>M-TRIM33</t>
        </is>
      </c>
      <c r="D357" s="22" t="inlineStr">
        <is>
          <t>43337</t>
        </is>
      </c>
      <c r="E357" s="21" t="inlineStr">
        <is>
          <t>Килимок для стрижки рослин з сумкою 300×300 см Oxford 350D (M-TRIM33) Україна</t>
        </is>
      </c>
      <c r="F357" s="21" t="inlineStr">
        <is>
          <t>Килимок для стрижки рослин 300×300 см з полієстеру Oxford 350D на затяжках та кнопках (сірий) з сумкою</t>
        </is>
      </c>
      <c r="G357" s="23" t="n">
        <v>2749</v>
      </c>
      <c r="H357" s="23" t="n">
        <v>2749</v>
      </c>
      <c r="I357" s="21" t="inlineStr">
        <is>
          <t>назви схожі, різняться словами: затяжках, кнопках, полієстеру та ще 1</t>
        </is>
      </c>
    </row>
    <row r="358">
      <c r="A358" s="22" t="n">
        <v>78.59999999999999</v>
      </c>
      <c r="B358" s="22" t="inlineStr">
        <is>
          <t>Водоспад</t>
        </is>
      </c>
      <c r="C358" s="22" t="inlineStr">
        <is>
          <t>M-TRIM22</t>
        </is>
      </c>
      <c r="D358" s="22" t="inlineStr">
        <is>
          <t>43374</t>
        </is>
      </c>
      <c r="E358" s="21" t="inlineStr">
        <is>
          <t>Килимок для стрижки рослин з сумкою 200×200 см Oxford 350D (M-TRIM22) Україна</t>
        </is>
      </c>
      <c r="F358" s="21" t="inlineStr">
        <is>
          <t>Килимок для стрижки рослин 200×200 см з полієстеру Oxford 350D на затяжках та кнопках (сірий) з сумкою</t>
        </is>
      </c>
      <c r="G358" s="23" t="n">
        <v>2099</v>
      </c>
      <c r="H358" s="23" t="n">
        <v>2099</v>
      </c>
      <c r="I358" s="21" t="inlineStr">
        <is>
          <t>назви схожі, різняться словами: затяжках, кнопках, полієстеру та ще 1</t>
        </is>
      </c>
    </row>
    <row r="359">
      <c r="A359" s="22" t="n">
        <v>78.59999999999999</v>
      </c>
      <c r="B359" s="22" t="inlineStr">
        <is>
          <t>Водоспад</t>
        </is>
      </c>
      <c r="C359" s="22" t="inlineStr">
        <is>
          <t>5010005</t>
        </is>
      </c>
      <c r="D359" s="22" t="inlineStr">
        <is>
          <t>37474</t>
        </is>
      </c>
      <c r="E359" s="21" t="inlineStr">
        <is>
          <t>Мастика Арборін / Arborinn 500 г для холодного щеплення (5010005) AgriChem Італія</t>
        </is>
      </c>
      <c r="F359" s="21" t="inlineStr">
        <is>
          <t>Мастика для холодного щеплення ARBORINN_0.5 кг (5010005N)</t>
        </is>
      </c>
      <c r="G359" s="23" t="n">
        <v>435</v>
      </c>
      <c r="H359" s="23" t="n">
        <v>435</v>
      </c>
      <c r="I359" s="21" t="inlineStr">
        <is>
          <t>назви схожі, але різні коди виробника</t>
        </is>
      </c>
    </row>
    <row r="360">
      <c r="A360" s="22" t="n">
        <v>78.59999999999999</v>
      </c>
      <c r="B360" s="22" t="inlineStr">
        <is>
          <t>Клуб Рослин</t>
        </is>
      </c>
      <c r="C360" s="22" t="inlineStr">
        <is>
          <t>1015643</t>
        </is>
      </c>
      <c r="D360" s="22" t="inlineStr">
        <is>
          <t>12333</t>
        </is>
      </c>
      <c r="E360" s="21" t="inlineStr">
        <is>
          <t>Сокира-колун Фіскарс Fiskars X25 XL 122483 (1015643) Фінляндія</t>
        </is>
      </c>
      <c r="F360" s="21" t="inlineStr">
        <is>
          <t>Сокира колун Fiskars Х25</t>
        </is>
      </c>
      <c r="G360" s="23" t="n">
        <v>3999</v>
      </c>
      <c r="H360" s="23" t="n">
        <v>2250.6</v>
      </c>
      <c r="I360" s="21" t="inlineStr">
        <is>
          <t>назви схожі, різняться словами: xl, фінляндія, фіскарс</t>
        </is>
      </c>
    </row>
    <row r="361">
      <c r="A361" s="22" t="n">
        <v>78.59999999999999</v>
      </c>
      <c r="B361" s="22" t="inlineStr">
        <is>
          <t>Клуб Рослин</t>
        </is>
      </c>
      <c r="C361" s="22" t="inlineStr">
        <is>
          <t>1015641</t>
        </is>
      </c>
      <c r="D361" s="22" t="inlineStr">
        <is>
          <t>12332</t>
        </is>
      </c>
      <c r="E361" s="21" t="inlineStr">
        <is>
          <t>Сокира-колун Фіскарс Fiskars X17 M 122 463 (1015641) Фінляндія</t>
        </is>
      </c>
      <c r="F361" s="21" t="inlineStr">
        <is>
          <t>Сокира колун Fiskars Х17</t>
        </is>
      </c>
      <c r="G361" s="23" t="n">
        <v>3299</v>
      </c>
      <c r="H361" s="23" t="n">
        <v>1813.6</v>
      </c>
      <c r="I361" s="21" t="inlineStr">
        <is>
          <t>назви схожі, різняться словами: фінляндія, фіскарс</t>
        </is>
      </c>
    </row>
    <row r="362">
      <c r="A362" s="22" t="n">
        <v>78.59999999999999</v>
      </c>
      <c r="B362" s="22" t="inlineStr">
        <is>
          <t>Клуб Рослин</t>
        </is>
      </c>
      <c r="C362" s="22" t="inlineStr">
        <is>
          <t>9387/19LN</t>
        </is>
      </c>
      <c r="D362" s="22" t="inlineStr">
        <is>
          <t>10841</t>
        </is>
      </c>
      <c r="E362" s="21" t="inlineStr">
        <is>
          <t>Ніж грибника Антоніні / Antonini 19.8 см Old Bear (9387/19LN) Італія</t>
        </is>
      </c>
      <c r="F362" s="21" t="inlineStr">
        <is>
          <t>Ніж Antonini OLD BEAR 9307/21LN (Антоніні 9307/21LN)</t>
        </is>
      </c>
      <c r="G362" s="23" t="n">
        <v>1490</v>
      </c>
      <c r="H362" s="23" t="n">
        <v>1369</v>
      </c>
      <c r="I362" s="21" t="inlineStr">
        <is>
          <t>назви схожі, але різні коди виробника</t>
        </is>
      </c>
    </row>
    <row r="363">
      <c r="A363" s="22" t="n">
        <v>78.59999999999999</v>
      </c>
      <c r="B363" s="22" t="inlineStr">
        <is>
          <t>Клуб Рослин</t>
        </is>
      </c>
      <c r="C363" s="22" t="inlineStr">
        <is>
          <t>7290</t>
        </is>
      </c>
      <c r="D363" s="22" t="inlineStr">
        <is>
          <t>9312</t>
        </is>
      </c>
      <c r="E363" s="21" t="inlineStr">
        <is>
          <t>Монокалій фосфат 0-52-34 Nova Peak 1 кг (розсип) ICL Ізраїль</t>
        </is>
      </c>
      <c r="F363" s="21" t="inlineStr">
        <is>
          <t>Добриво водорозчинне Монокалій фосфат ICL Novapeak 0-52-34 (Ізраїль), 25 кг</t>
        </is>
      </c>
      <c r="G363" s="23" t="n">
        <v>200</v>
      </c>
      <c r="H363" s="23" t="n">
        <v>3950</v>
      </c>
      <c r="I363" s="21" t="inlineStr">
        <is>
          <t>назви схожі, але різні об'єми або розміри</t>
        </is>
      </c>
    </row>
    <row r="364">
      <c r="A364" s="22" t="n">
        <v>78.5</v>
      </c>
      <c r="B364" s="22" t="inlineStr">
        <is>
          <t>Водоспад</t>
        </is>
      </c>
      <c r="C364" s="22" t="inlineStr">
        <is>
          <t>СВ-9</t>
        </is>
      </c>
      <c r="D364" s="22" t="inlineStr">
        <is>
          <t>38706</t>
        </is>
      </c>
      <c r="E364" s="21" t="inlineStr">
        <is>
          <t>Секатор АРС / ARS (СВ-9) садовий обвідний Японія</t>
        </is>
      </c>
      <c r="F364" s="21" t="inlineStr">
        <is>
          <t>Садовий секатор ARS (CB-9Z)</t>
        </is>
      </c>
      <c r="G364" s="23" t="n">
        <v>1792</v>
      </c>
      <c r="H364" s="23" t="n">
        <v>1880</v>
      </c>
      <c r="I364" s="21" t="inlineStr">
        <is>
          <t>назви схожі, різняться словами: обвідний</t>
        </is>
      </c>
    </row>
    <row r="365">
      <c r="A365" s="22" t="n">
        <v>78.5</v>
      </c>
      <c r="B365" s="22" t="inlineStr">
        <is>
          <t>Водоспад</t>
        </is>
      </c>
      <c r="C365" s="22" t="inlineStr">
        <is>
          <t>CB-8</t>
        </is>
      </c>
      <c r="D365" s="22" t="inlineStr">
        <is>
          <t>38704</t>
        </is>
      </c>
      <c r="E365" s="21" t="inlineStr">
        <is>
          <t>Секатор АРС / ARS (CB-8) садовий обвідний Японія</t>
        </is>
      </c>
      <c r="F365" s="21" t="inlineStr">
        <is>
          <t>Садовий секатор ARS (CB-8Z)</t>
        </is>
      </c>
      <c r="G365" s="23" t="n">
        <v>1649</v>
      </c>
      <c r="H365" s="23" t="n">
        <v>1730</v>
      </c>
      <c r="I365" s="21" t="inlineStr">
        <is>
          <t>назви схожі, різняться словами: обвідний</t>
        </is>
      </c>
    </row>
    <row r="366">
      <c r="A366" s="22" t="n">
        <v>78.5</v>
      </c>
      <c r="B366" s="22" t="inlineStr">
        <is>
          <t>Клуб Рослин</t>
        </is>
      </c>
      <c r="C366" s="22" t="inlineStr">
        <is>
          <t>1066716</t>
        </is>
      </c>
      <c r="D366" s="22" t="inlineStr">
        <is>
          <t>10546</t>
        </is>
      </c>
      <c r="E366" s="21" t="inlineStr">
        <is>
          <t>Лопата штикова Фіскарс Fiskars Solid 1003455 (1066716) Фінляндія</t>
        </is>
      </c>
      <c r="F366" s="21" t="inlineStr">
        <is>
          <t>Лопата Fiskars Solid 131413 штикова</t>
        </is>
      </c>
      <c r="G366" s="23" t="n">
        <v>1399</v>
      </c>
      <c r="H366" s="23" t="n">
        <v>1199</v>
      </c>
      <c r="I366" s="21" t="inlineStr">
        <is>
          <t>назви схожі, але різні коди виробника</t>
        </is>
      </c>
    </row>
    <row r="367">
      <c r="A367" s="22" t="n">
        <v>78.5</v>
      </c>
      <c r="B367" s="22" t="inlineStr">
        <is>
          <t>Клуб Рослин</t>
        </is>
      </c>
      <c r="C367" s="22" t="inlineStr">
        <is>
          <t>6b066216-abbb-11ee-bf43-c87f546feb15</t>
        </is>
      </c>
      <c r="D367" s="22" t="inlineStr">
        <is>
          <t>10546</t>
        </is>
      </c>
      <c r="E367" s="21" t="inlineStr">
        <is>
          <t>Лопата штикова Фіскарс Fiskars Solid 1024542 (1014808) Фінляндія</t>
        </is>
      </c>
      <c r="F367" s="21" t="inlineStr">
        <is>
          <t>Лопата Fiskars Solid 131413 штикова</t>
        </is>
      </c>
      <c r="G367" s="23" t="n">
        <v>998</v>
      </c>
      <c r="H367" s="23" t="n">
        <v>1199</v>
      </c>
      <c r="I367" s="21" t="inlineStr">
        <is>
          <t>назви схожі, але різні коди виробника</t>
        </is>
      </c>
    </row>
    <row r="368">
      <c r="A368" s="22" t="n">
        <v>78.5</v>
      </c>
      <c r="B368" s="22" t="inlineStr">
        <is>
          <t>Клуб Рослин</t>
        </is>
      </c>
      <c r="C368" s="22" t="inlineStr">
        <is>
          <t>1014808</t>
        </is>
      </c>
      <c r="D368" s="22" t="inlineStr">
        <is>
          <t>10546</t>
        </is>
      </c>
      <c r="E368" s="21" t="inlineStr">
        <is>
          <t>Лопата штикова Фіскарс Fiskars Solid 1014808 (1024542) Фінляндія</t>
        </is>
      </c>
      <c r="F368" s="21" t="inlineStr">
        <is>
          <t>Лопата Fiskars Solid 131413 штикова</t>
        </is>
      </c>
      <c r="G368" s="23" t="n">
        <v>998</v>
      </c>
      <c r="H368" s="23" t="n">
        <v>1199</v>
      </c>
      <c r="I368" s="21" t="inlineStr">
        <is>
          <t>назви схожі, але різні коди виробника</t>
        </is>
      </c>
    </row>
    <row r="369">
      <c r="A369" s="22" t="n">
        <v>78.5</v>
      </c>
      <c r="B369" s="22" t="inlineStr">
        <is>
          <t>Клуб Рослин</t>
        </is>
      </c>
      <c r="C369" s="22" t="inlineStr">
        <is>
          <t>1054</t>
        </is>
      </c>
      <c r="D369" s="22" t="inlineStr">
        <is>
          <t>14066</t>
        </is>
      </c>
      <c r="E369" s="21" t="inlineStr">
        <is>
          <t>Гербіцид Дикамба Форте 500 мл Сімейний Сад Україна</t>
        </is>
      </c>
      <c r="F369" s="21" t="inlineStr">
        <is>
          <t>Гербіцид Дикамба Форте В.К. (дихлорфеноцтова кислота + дикамба) 500 мл Сімейний Сад</t>
        </is>
      </c>
      <c r="G369" s="23" t="n">
        <v>425</v>
      </c>
      <c r="H369" s="23" t="n">
        <v>475</v>
      </c>
      <c r="I369" s="21" t="inlineStr">
        <is>
          <t>назви схожі, різняться словами: дихлорфеноцтова, кислота</t>
        </is>
      </c>
    </row>
    <row r="370">
      <c r="A370" s="22" t="n">
        <v>78.40000000000001</v>
      </c>
      <c r="B370" s="22" t="inlineStr">
        <is>
          <t>Клуб Рослин</t>
        </is>
      </c>
      <c r="C370" s="22" t="inlineStr">
        <is>
          <t>40-001</t>
        </is>
      </c>
      <c r="D370" s="22" t="inlineStr">
        <is>
          <t>13871</t>
        </is>
      </c>
      <c r="E370" s="21" t="inlineStr">
        <is>
          <t>Лопата штикова Целлфаст / Cellfast ERGO 123 см 2.1 кг (40-001) Польша</t>
        </is>
      </c>
      <c r="F370" s="21" t="inlineStr">
        <is>
          <t>Лопата штикова Cellfast Ergo 40-002 (Целфаст Ерго)</t>
        </is>
      </c>
      <c r="G370" s="23" t="n">
        <v>1348</v>
      </c>
      <c r="H370" s="23" t="n">
        <v>1794</v>
      </c>
      <c r="I370" s="21" t="inlineStr">
        <is>
          <t>назви схожі, різняться словами: ерго, польша, целлфаст та ще 1</t>
        </is>
      </c>
    </row>
    <row r="371">
      <c r="A371" s="22" t="n">
        <v>78.40000000000001</v>
      </c>
      <c r="B371" s="22" t="inlineStr">
        <is>
          <t>Клуб Рослин</t>
        </is>
      </c>
      <c r="C371" s="22" t="inlineStr">
        <is>
          <t>40-202</t>
        </is>
      </c>
      <c r="D371" s="22" t="inlineStr">
        <is>
          <t>13872</t>
        </is>
      </c>
      <c r="E371" s="21" t="inlineStr">
        <is>
          <t>Лопата штикова Целлфаст / Cellfast IDEAL LINE 116 см 1.8 кг (40-202) Польща</t>
        </is>
      </c>
      <c r="F371" s="21" t="inlineStr">
        <is>
          <t>Лопата штикова Cellfast Ideal Line 40-202 (Целфаст Ідеал Лайн)</t>
        </is>
      </c>
      <c r="G371" s="23" t="n">
        <v>795</v>
      </c>
      <c r="H371" s="23" t="n">
        <v>1067.22</v>
      </c>
      <c r="I371" s="21" t="inlineStr">
        <is>
          <t>назви схожі, різняться словами: ідеал, лайн, целлфаст та ще 1</t>
        </is>
      </c>
    </row>
    <row r="372">
      <c r="A372" s="22" t="n">
        <v>78.40000000000001</v>
      </c>
      <c r="B372" s="22" t="inlineStr">
        <is>
          <t>Клуб Рослин</t>
        </is>
      </c>
      <c r="C372" s="22" t="inlineStr">
        <is>
          <t>7227</t>
        </is>
      </c>
      <c r="D372" s="22" t="inlineStr">
        <is>
          <t>9282</t>
        </is>
      </c>
      <c r="E372" s="21" t="inlineStr">
        <is>
          <t>Добриво Кеміра Універсальне NPK 18-18-18 1кг Yara Яра Норвегія</t>
        </is>
      </c>
      <c r="F372" s="21" t="inlineStr">
        <is>
          <t>Добриво Yara Vila універсальне, 1 кг</t>
        </is>
      </c>
      <c r="G372" s="23" t="n">
        <v>225</v>
      </c>
      <c r="H372" s="23" t="n">
        <v>190</v>
      </c>
      <c r="I372" s="21" t="inlineStr">
        <is>
          <t>назви схожі, різняться словами: npk, vila, кеміра та ще 1</t>
        </is>
      </c>
    </row>
    <row r="373">
      <c r="A373" s="22" t="n">
        <v>78.3</v>
      </c>
      <c r="B373" s="22" t="inlineStr">
        <is>
          <t>Клуб Рослин</t>
        </is>
      </c>
      <c r="C373" s="22" t="inlineStr">
        <is>
          <t>1070716</t>
        </is>
      </c>
      <c r="D373" s="22" t="inlineStr">
        <is>
          <t>8691</t>
        </is>
      </c>
      <c r="E373" s="21" t="inlineStr">
        <is>
          <t>Вила садові великі Фіскарс / Fiskars Xact (1070716) Фінляндія</t>
        </is>
      </c>
      <c r="F373" s="21" t="inlineStr">
        <is>
          <t>Вила Fiskars (133400) садові (Фіскарс)</t>
        </is>
      </c>
      <c r="G373" s="23" t="n">
        <v>3799</v>
      </c>
      <c r="H373" s="23" t="n">
        <v>958.3</v>
      </c>
      <c r="I373" s="21" t="inlineStr">
        <is>
          <t>назви схожі, але різні коди виробника</t>
        </is>
      </c>
    </row>
    <row r="374">
      <c r="A374" s="22" t="n">
        <v>78.3</v>
      </c>
      <c r="B374" s="22" t="inlineStr">
        <is>
          <t>Клуб Рослин</t>
        </is>
      </c>
      <c r="C374" s="22" t="inlineStr">
        <is>
          <t>7369</t>
        </is>
      </c>
      <c r="D374" s="22" t="inlineStr">
        <is>
          <t>9312</t>
        </is>
      </c>
      <c r="E374" s="21" t="inlineStr">
        <is>
          <t>Добриво Монокалій фосфат Хайфа / Haifa МКР 0-52-34 25 кг Haifa Ізраїль</t>
        </is>
      </c>
      <c r="F374" s="21" t="inlineStr">
        <is>
          <t>Добриво водорозчинне Монокалій фосфат ICL Novapeak 0-52-34 (Ізраїль), 25 кг</t>
        </is>
      </c>
      <c r="G374" s="23" t="n">
        <v>3798</v>
      </c>
      <c r="H374" s="23" t="n">
        <v>3950</v>
      </c>
      <c r="I374" s="21" t="inlineStr">
        <is>
          <t>назви схожі, але різні бренди</t>
        </is>
      </c>
    </row>
    <row r="375">
      <c r="A375" s="22" t="n">
        <v>78.3</v>
      </c>
      <c r="B375" s="22" t="inlineStr">
        <is>
          <t>Клуб Рослин</t>
        </is>
      </c>
      <c r="C375" s="22" t="inlineStr">
        <is>
          <t>m3012</t>
        </is>
      </c>
      <c r="D375" s="22" t="inlineStr">
        <is>
          <t>14793</t>
        </is>
      </c>
      <c r="E375" s="21" t="inlineStr">
        <is>
          <t>Фунгіцид Медян Екстра 350 SC к.с.20мл</t>
        </is>
      </c>
      <c r="F375" s="21" t="inlineStr">
        <is>
          <t>Фунгіцид Медян Екстра 350 (хлорокис міді 350 г/л) SC к.с. 20 мл, Самміт-Агро</t>
        </is>
      </c>
      <c r="G375" s="23" t="n">
        <v>24</v>
      </c>
      <c r="H375" s="23" t="n">
        <v>36</v>
      </c>
      <c r="I375" s="21" t="inlineStr">
        <is>
          <t>назви схожі, різняться словами: агро, міді, самміт та ще 1</t>
        </is>
      </c>
    </row>
    <row r="376">
      <c r="A376" s="22" t="n">
        <v>78.2</v>
      </c>
      <c r="B376" s="22" t="inlineStr">
        <is>
          <t>Клуб Рослин</t>
        </is>
      </c>
      <c r="C376" s="22" t="inlineStr">
        <is>
          <t>1015644</t>
        </is>
      </c>
      <c r="D376" s="22" t="inlineStr">
        <is>
          <t>12334</t>
        </is>
      </c>
      <c r="E376" s="21" t="inlineStr">
        <is>
          <t>Сокира-колун Фіскарс Fiskars X27 XXL 122503 (1015644) Фінляндія</t>
        </is>
      </c>
      <c r="F376" s="21" t="inlineStr">
        <is>
          <t>Сокира колун Fiskars Х27</t>
        </is>
      </c>
      <c r="G376" s="23" t="n">
        <v>5699</v>
      </c>
      <c r="H376" s="23" t="n">
        <v>2453.9</v>
      </c>
      <c r="I376" s="21" t="inlineStr">
        <is>
          <t>назви схожі, різняться словами: xxl, фінляндія, фіскарс</t>
        </is>
      </c>
    </row>
    <row r="377">
      <c r="A377" s="22" t="n">
        <v>78.2</v>
      </c>
      <c r="B377" s="22" t="inlineStr">
        <is>
          <t>Клуб Рослин</t>
        </is>
      </c>
      <c r="C377" s="22" t="inlineStr">
        <is>
          <t>121-30</t>
        </is>
      </c>
      <c r="D377" s="22" t="inlineStr">
        <is>
          <t>11241</t>
        </is>
      </c>
      <c r="E377" s="21" t="inlineStr">
        <is>
          <t>Садова пила складна Silky Gomboy 300-10 (121-30) Японія</t>
        </is>
      </c>
      <c r="F377" s="21" t="inlineStr">
        <is>
          <t>Пила Silky Gomboy 7 300-10</t>
        </is>
      </c>
      <c r="G377" s="23" t="n">
        <v>3590</v>
      </c>
      <c r="H377" s="23" t="n">
        <v>2210</v>
      </c>
      <c r="I377" s="21" t="inlineStr">
        <is>
          <t>назви схожі, різняться словами: садова, складна</t>
        </is>
      </c>
    </row>
    <row r="378">
      <c r="A378" s="22" t="n">
        <v>78.2</v>
      </c>
      <c r="B378" s="22" t="inlineStr">
        <is>
          <t>Клуб Рослин</t>
        </is>
      </c>
      <c r="C378" s="22" t="inlineStr">
        <is>
          <t>1020126</t>
        </is>
      </c>
      <c r="D378" s="22" t="inlineStr">
        <is>
          <t>9844</t>
        </is>
      </c>
      <c r="E378" s="21" t="inlineStr">
        <is>
          <t>Інструмент для видалення бур’янів Фіскарс / Fiskars Xact 139950 (1020126) Фінляндія</t>
        </is>
      </c>
      <c r="F378" s="21" t="inlineStr">
        <is>
          <t>Інструмент для видалення бур'янів Fiskars QuikFit 139970</t>
        </is>
      </c>
      <c r="G378" s="23" t="n">
        <v>2999</v>
      </c>
      <c r="H378" s="23" t="n">
        <v>504</v>
      </c>
      <c r="I378" s="21" t="inlineStr">
        <is>
          <t>назви схожі, але різні коди виробника</t>
        </is>
      </c>
    </row>
    <row r="379">
      <c r="A379" s="22" t="n">
        <v>78.2</v>
      </c>
      <c r="B379" s="22" t="inlineStr">
        <is>
          <t>Клуб Рослин</t>
        </is>
      </c>
      <c r="C379" s="22" t="inlineStr">
        <is>
          <t>8007</t>
        </is>
      </c>
      <c r="D379" s="22" t="inlineStr">
        <is>
          <t>10742</t>
        </is>
      </c>
      <c r="E379" s="21" t="inlineStr">
        <is>
          <t>Lowe 8007 Набір для ремонту Німеччина</t>
        </is>
      </c>
      <c r="F379" s="21" t="inlineStr">
        <is>
          <t>Набір для ремонту секатора Lowe 8 (8007)</t>
        </is>
      </c>
      <c r="G379" s="23" t="n">
        <v>1050</v>
      </c>
      <c r="H379" s="23" t="n">
        <v>1050</v>
      </c>
      <c r="I379" s="21" t="inlineStr">
        <is>
          <t>назви схожі, різняться словами: секатора</t>
        </is>
      </c>
    </row>
    <row r="380">
      <c r="A380" s="22" t="n">
        <v>78.2</v>
      </c>
      <c r="B380" s="22" t="inlineStr">
        <is>
          <t>Клуб Рослин</t>
        </is>
      </c>
      <c r="C380" s="22" t="inlineStr">
        <is>
          <t>HMC1001.B.</t>
        </is>
      </c>
      <c r="D380" s="22" t="inlineStr">
        <is>
          <t>16156</t>
        </is>
      </c>
      <c r="E380" s="21" t="inlineStr">
        <is>
          <t>Совок для пересадки 300 мм Bellota (HMC1001.B.) Іспанія</t>
        </is>
      </c>
      <c r="F380" s="21" t="inlineStr">
        <is>
          <t>Совок для пересадки Bellota HMC1001.B 60 мм вузький (Беллота HMC1001.B)</t>
        </is>
      </c>
      <c r="G380" s="23" t="n">
        <v>449</v>
      </c>
      <c r="H380" s="23" t="n">
        <v>435</v>
      </c>
      <c r="I380" s="21" t="inlineStr">
        <is>
          <t>код збігся, але різні об'єми або розміри</t>
        </is>
      </c>
    </row>
    <row r="381">
      <c r="A381" s="22" t="n">
        <v>78.09999999999999</v>
      </c>
      <c r="B381" s="22" t="inlineStr">
        <is>
          <t>Водоспад</t>
        </is>
      </c>
      <c r="C381" s="22" t="inlineStr">
        <is>
          <t>PX-M2</t>
        </is>
      </c>
      <c r="D381" s="22" t="inlineStr">
        <is>
          <t>31919</t>
        </is>
      </c>
      <c r="E381" s="21" t="inlineStr">
        <is>
          <t>Секатор Bahco PX-M2 Бахо</t>
        </is>
      </c>
      <c r="F381" s="21" t="inlineStr">
        <is>
          <t>Секатор Bahco PG-M2-F (PG-M2-F)</t>
        </is>
      </c>
      <c r="G381" s="23" t="n">
        <v>2475</v>
      </c>
      <c r="H381" s="23" t="n">
        <v>1035</v>
      </c>
      <c r="I381" s="21" t="inlineStr">
        <is>
          <t>назви схожі, різняться словами: бахо</t>
        </is>
      </c>
    </row>
    <row r="382">
      <c r="A382" s="22" t="n">
        <v>78.09999999999999</v>
      </c>
      <c r="B382" s="22" t="inlineStr">
        <is>
          <t>Клуб Рослин</t>
        </is>
      </c>
      <c r="C382" s="22" t="inlineStr">
        <is>
          <t>40-416</t>
        </is>
      </c>
      <c r="D382" s="22" t="inlineStr">
        <is>
          <t>13955</t>
        </is>
      </c>
      <c r="E382" s="21" t="inlineStr">
        <is>
          <t>Висоторіз Cellfast IDEAL 2 м (40-416) Польща</t>
        </is>
      </c>
      <c r="F382" s="21" t="inlineStr">
        <is>
          <t>Секатор-висоторіз з пилкою та телескопічною ручкою 2 м IDEAL Cellfast, 40-416</t>
        </is>
      </c>
      <c r="G382" s="23" t="n">
        <v>3682</v>
      </c>
      <c r="H382" s="23" t="n">
        <v>4682</v>
      </c>
      <c r="I382" s="21" t="inlineStr">
        <is>
          <t>назви схожі, різняться словами: пилкою, ручкою, секатор та ще 1</t>
        </is>
      </c>
    </row>
    <row r="383">
      <c r="A383" s="22" t="n">
        <v>78.09999999999999</v>
      </c>
      <c r="B383" s="22" t="inlineStr">
        <is>
          <t>Клуб Рослин</t>
        </is>
      </c>
      <c r="C383" s="22" t="inlineStr">
        <is>
          <t>8</t>
        </is>
      </c>
      <c r="D383" s="22" t="inlineStr">
        <is>
          <t>11914</t>
        </is>
      </c>
      <c r="E383" s="21" t="inlineStr">
        <is>
          <t>Секатор Фелко / Felco 8 Швейцарія</t>
        </is>
      </c>
      <c r="F383" s="21" t="inlineStr">
        <is>
          <t>Секатор Felco 8 СС</t>
        </is>
      </c>
      <c r="G383" s="23" t="n">
        <v>2990</v>
      </c>
      <c r="H383" s="23" t="n">
        <v>5170</v>
      </c>
      <c r="I383" s="21" t="inlineStr">
        <is>
          <t>назви схожі, різняться словами: фелко</t>
        </is>
      </c>
    </row>
    <row r="384">
      <c r="A384" s="22" t="n">
        <v>78.09999999999999</v>
      </c>
      <c r="B384" s="22" t="inlineStr">
        <is>
          <t>Клуб Рослин</t>
        </is>
      </c>
      <c r="C384" s="22" t="inlineStr">
        <is>
          <t>6</t>
        </is>
      </c>
      <c r="D384" s="22" t="inlineStr">
        <is>
          <t>11913</t>
        </is>
      </c>
      <c r="E384" s="21" t="inlineStr">
        <is>
          <t>Секатор Фелко / Felco 6 Швейцарія</t>
        </is>
      </c>
      <c r="F384" s="21" t="inlineStr">
        <is>
          <t>Секатор Felco 6 СС</t>
        </is>
      </c>
      <c r="G384" s="23" t="n">
        <v>2849</v>
      </c>
      <c r="H384" s="23" t="n">
        <v>6760</v>
      </c>
      <c r="I384" s="21" t="inlineStr">
        <is>
          <t>назви схожі, різняться словами: фелко</t>
        </is>
      </c>
    </row>
    <row r="385">
      <c r="A385" s="22" t="n">
        <v>78.09999999999999</v>
      </c>
      <c r="B385" s="22" t="inlineStr">
        <is>
          <t>Клуб Рослин</t>
        </is>
      </c>
      <c r="C385" s="22" t="inlineStr">
        <is>
          <t>9387/19LU</t>
        </is>
      </c>
      <c r="D385" s="22" t="inlineStr">
        <is>
          <t>10831</t>
        </is>
      </c>
      <c r="E385" s="21" t="inlineStr">
        <is>
          <t>Ніж грибника Old Bear M 19 см Antonini (9387/19LU) Італія</t>
        </is>
      </c>
      <c r="F385" s="21" t="inlineStr">
        <is>
          <t>Ніж Antonini OLD BEAR 9307/19LN, 19 см, горіх</t>
        </is>
      </c>
      <c r="G385" s="23" t="n">
        <v>1650</v>
      </c>
      <c r="H385" s="23" t="n">
        <v>1190</v>
      </c>
      <c r="I385" s="21" t="inlineStr">
        <is>
          <t>назви схожі, але різні коди виробника</t>
        </is>
      </c>
    </row>
    <row r="386">
      <c r="A386" s="22" t="n">
        <v>78.09999999999999</v>
      </c>
      <c r="B386" s="22" t="inlineStr">
        <is>
          <t>Клуб Рослин</t>
        </is>
      </c>
      <c r="C386" s="22" t="inlineStr">
        <is>
          <t>3011.B</t>
        </is>
      </c>
      <c r="D386" s="22" t="inlineStr">
        <is>
          <t>11171</t>
        </is>
      </c>
      <c r="E386" s="21" t="inlineStr">
        <is>
          <t>Ножівка для коренів і гілок 165 мм Bellota (3011.B) Іспанія</t>
        </is>
      </c>
      <c r="F386" s="21" t="inlineStr">
        <is>
          <t>Пила (ножівка) Bellota 3011.B для коріння та гілок</t>
        </is>
      </c>
      <c r="G386" s="23" t="n">
        <v>899</v>
      </c>
      <c r="H386" s="23" t="n">
        <v>899</v>
      </c>
      <c r="I386" s="21" t="inlineStr">
        <is>
          <t>назви схожі, різняться словами: коріння, коренів, пила</t>
        </is>
      </c>
    </row>
    <row r="387">
      <c r="A387" s="22" t="n">
        <v>78</v>
      </c>
      <c r="B387" s="22" t="inlineStr">
        <is>
          <t>Клуб Рослин</t>
        </is>
      </c>
      <c r="C387" s="22" t="inlineStr">
        <is>
          <t>HMC1004.B.</t>
        </is>
      </c>
      <c r="D387" s="22" t="inlineStr">
        <is>
          <t>16155</t>
        </is>
      </c>
      <c r="E387" s="21" t="inlineStr">
        <is>
          <t>Совок для пересадки 335 мм Bellota (HMC1004.B.) Іспанія</t>
        </is>
      </c>
      <c r="F387" s="21" t="inlineStr">
        <is>
          <t>Совок для пересадки Bellota HMC1000.B 75 мм (Беллота HMC1000.B)</t>
        </is>
      </c>
      <c r="G387" s="23" t="n">
        <v>399</v>
      </c>
      <c r="H387" s="23" t="n">
        <v>435</v>
      </c>
      <c r="I387" s="21" t="inlineStr">
        <is>
          <t>назви схожі, але різні об'єми або розміри</t>
        </is>
      </c>
    </row>
    <row r="388">
      <c r="A388" s="22" t="n">
        <v>77.90000000000001</v>
      </c>
      <c r="B388" s="22" t="inlineStr">
        <is>
          <t>Водоспад</t>
        </is>
      </c>
      <c r="C388" s="22" t="inlineStr">
        <is>
          <t>683</t>
        </is>
      </c>
      <c r="D388" s="22" t="inlineStr">
        <is>
          <t>32808</t>
        </is>
      </c>
      <c r="E388" s="21" t="inlineStr">
        <is>
          <t>Щеплювальний ніж Тіна / Tina (683) Німеччина</t>
        </is>
      </c>
      <c r="F388" s="21" t="inlineStr">
        <is>
          <t>Ніж окулювальний TINA 641/10 (Німеччина)</t>
        </is>
      </c>
      <c r="G388" s="23" t="n">
        <v>2399</v>
      </c>
      <c r="H388" s="23" t="n">
        <v>5999</v>
      </c>
      <c r="I388" s="21" t="inlineStr">
        <is>
          <t>назви схожі, різняться словами: окулювальний, тіна, щеплювальний</t>
        </is>
      </c>
    </row>
    <row r="389">
      <c r="A389" s="22" t="n">
        <v>77.90000000000001</v>
      </c>
      <c r="B389" s="22" t="inlineStr">
        <is>
          <t>Водоспад</t>
        </is>
      </c>
      <c r="C389" s="22" t="inlineStr">
        <is>
          <t>5.109</t>
        </is>
      </c>
      <c r="D389" s="22" t="inlineStr">
        <is>
          <t>32338</t>
        </is>
      </c>
      <c r="E389" s="21" t="inlineStr">
        <is>
          <t>Секатор із наковаленкою та поворотною ручкою Льове / Lowe Original (5.109) Німеччина</t>
        </is>
      </c>
      <c r="F389" s="21" t="inlineStr">
        <is>
          <t>Маленький секатор із наковаленкою LOWE Original 5.109 (5.109)</t>
        </is>
      </c>
      <c r="G389" s="23" t="n">
        <v>2390</v>
      </c>
      <c r="H389" s="23" t="n">
        <v>2390</v>
      </c>
      <c r="I389" s="21" t="inlineStr">
        <is>
          <t>назви схожі, різняться словами: льове, маленький, поворотною та ще 1</t>
        </is>
      </c>
    </row>
    <row r="390">
      <c r="A390" s="22" t="n">
        <v>77.90000000000001</v>
      </c>
      <c r="B390" s="22" t="inlineStr">
        <is>
          <t>Водоспад</t>
        </is>
      </c>
      <c r="C390" s="22" t="inlineStr">
        <is>
          <t>646283f3-abbb-11ee-bf43-c87f546feb15</t>
        </is>
      </c>
      <c r="D390" s="22" t="inlineStr">
        <is>
          <t>39920</t>
        </is>
      </c>
      <c r="E390" s="21" t="inlineStr">
        <is>
          <t>Секатор Due Buoi 175 см (1145/17.5) типу ножиці довгі леза Дю Буі</t>
        </is>
      </c>
      <c r="F390" s="21" t="inlineStr">
        <is>
          <t>Ножиці Due Buoi (1145/17,5)</t>
        </is>
      </c>
      <c r="G390" s="23" t="n">
        <v>419</v>
      </c>
      <c r="H390" s="23" t="n">
        <v>490</v>
      </c>
      <c r="I390" s="21" t="inlineStr">
        <is>
          <t>код збігся, але різні коди виробника</t>
        </is>
      </c>
    </row>
    <row r="391">
      <c r="A391" s="22" t="n">
        <v>77.90000000000001</v>
      </c>
      <c r="B391" s="22" t="inlineStr">
        <is>
          <t>Клуб Рослин</t>
        </is>
      </c>
      <c r="C391" s="22" t="inlineStr">
        <is>
          <t>600</t>
        </is>
      </c>
      <c r="D391" s="22" t="inlineStr">
        <is>
          <t>11212</t>
        </is>
      </c>
      <c r="E391" s="21" t="inlineStr">
        <is>
          <t>Садова пила Фелко / Felco 600 Швейцарія</t>
        </is>
      </c>
      <c r="F391" s="21" t="inlineStr">
        <is>
          <t>Пила складна Felco 600 (Фелко 600)</t>
        </is>
      </c>
      <c r="G391" s="23" t="n">
        <v>1450</v>
      </c>
      <c r="H391" s="23" t="n">
        <v>1450</v>
      </c>
      <c r="I391" s="21" t="inlineStr">
        <is>
          <t>назви схожі, різняться словами: садова, складна</t>
        </is>
      </c>
    </row>
    <row r="392">
      <c r="A392" s="22" t="n">
        <v>77.90000000000001</v>
      </c>
      <c r="B392" s="22" t="inlineStr">
        <is>
          <t>Клуб Рослин</t>
        </is>
      </c>
      <c r="C392" s="22" t="inlineStr">
        <is>
          <t>m3008</t>
        </is>
      </c>
      <c r="D392" s="22" t="inlineStr">
        <is>
          <t>14748</t>
        </is>
      </c>
      <c r="E392" s="21" t="inlineStr">
        <is>
          <t>Фунгіцид Світч WG 62,5 в.г. 10г.</t>
        </is>
      </c>
      <c r="F392" s="21" t="inlineStr">
        <is>
          <t>Фунгіцид Світч 62,5 (ципродиніл 375 г/л + флудиоксоніл 250 г/л) WG в.г. 10 г, Syngenta</t>
        </is>
      </c>
      <c r="G392" s="23" t="n">
        <v>85</v>
      </c>
      <c r="H392" s="23" t="n">
        <v>120</v>
      </c>
      <c r="I392" s="21" t="inlineStr">
        <is>
          <t>назви схожі, різняться словами: syngenta, флудиоксоніл, ципродиніл</t>
        </is>
      </c>
    </row>
    <row r="393">
      <c r="A393" s="22" t="n">
        <v>77.8</v>
      </c>
      <c r="B393" s="22" t="inlineStr">
        <is>
          <t>Водоспад</t>
        </is>
      </c>
      <c r="C393" s="22" t="inlineStr">
        <is>
          <t>BP14</t>
        </is>
      </c>
      <c r="D393" s="22" t="inlineStr">
        <is>
          <t>32707</t>
        </is>
      </c>
      <c r="E393" s="21" t="inlineStr">
        <is>
          <t>Лоток для промивки золота пластиковий Estwing BP14 14" дюймів (362 мм) США</t>
        </is>
      </c>
      <c r="F393" s="21" t="inlineStr">
        <is>
          <t>Лоток для промивання золота Estwing BP14 14</t>
        </is>
      </c>
      <c r="G393" s="23" t="n">
        <v>1090</v>
      </c>
      <c r="H393" s="23" t="n">
        <v>1090</v>
      </c>
      <c r="I393" s="21" t="inlineStr">
        <is>
          <t>назви схожі, різняться словами: дюймів, пластиковий, промивання та ще 1</t>
        </is>
      </c>
    </row>
    <row r="394">
      <c r="A394" s="22" t="n">
        <v>77.8</v>
      </c>
      <c r="B394" s="22" t="inlineStr">
        <is>
          <t>Водоспад</t>
        </is>
      </c>
      <c r="C394" s="22" t="inlineStr">
        <is>
          <t>3623-INOX.B</t>
        </is>
      </c>
      <c r="D394" s="22" t="inlineStr">
        <is>
          <t>41531</t>
        </is>
      </c>
      <c r="E394" s="21" t="inlineStr">
        <is>
          <t>Секатор для збирання винограду Bellota (3623-INOX.B) Іспанія</t>
        </is>
      </c>
      <c r="F394" s="21" t="inlineStr">
        <is>
          <t>Секатор Bellota для збирання винограду/зрізання часнику Bellota (3629)</t>
        </is>
      </c>
      <c r="G394" s="23" t="n">
        <v>585</v>
      </c>
      <c r="H394" s="23" t="n">
        <v>589</v>
      </c>
      <c r="I394" s="21" t="inlineStr">
        <is>
          <t>назви схожі, різняться словами: зрізання, часнику</t>
        </is>
      </c>
    </row>
    <row r="395">
      <c r="A395" s="22" t="n">
        <v>77.8</v>
      </c>
      <c r="B395" s="22" t="inlineStr">
        <is>
          <t>Водоспад</t>
        </is>
      </c>
      <c r="C395" s="22" t="inlineStr">
        <is>
          <t>3623-INOX.B.</t>
        </is>
      </c>
      <c r="D395" s="22" t="inlineStr">
        <is>
          <t>41531</t>
        </is>
      </c>
      <c r="E395" s="21" t="inlineStr">
        <is>
          <t>Секатор для збирання винограду 3623-INOX.B. Bellota (Іспанія)</t>
        </is>
      </c>
      <c r="F395" s="21" t="inlineStr">
        <is>
          <t>Секатор Bellota для збирання винограду/зрізання часнику Bellota (3629)</t>
        </is>
      </c>
      <c r="G395" s="23" t="n">
        <v>485</v>
      </c>
      <c r="H395" s="23" t="n">
        <v>589</v>
      </c>
      <c r="I395" s="21" t="inlineStr">
        <is>
          <t>назви схожі, різняться словами: зрізання, часнику</t>
        </is>
      </c>
    </row>
    <row r="396">
      <c r="A396" s="22" t="n">
        <v>77.8</v>
      </c>
      <c r="B396" s="22" t="inlineStr">
        <is>
          <t>Водоспад</t>
        </is>
      </c>
      <c r="C396" s="22" t="inlineStr">
        <is>
          <t>5010005-250</t>
        </is>
      </c>
      <c r="D396" s="22" t="inlineStr">
        <is>
          <t>37474</t>
        </is>
      </c>
      <c r="E396" s="21" t="inlineStr">
        <is>
          <t>Мастика Арборін / Arborinn 250 г для холодного щеплення (5010005-250) AgriChem Італія</t>
        </is>
      </c>
      <c r="F396" s="21" t="inlineStr">
        <is>
          <t>Мастика для холодного щеплення ARBORINN_0.5 кг (5010005N)</t>
        </is>
      </c>
      <c r="G396" s="23" t="n">
        <v>330</v>
      </c>
      <c r="H396" s="23" t="n">
        <v>435</v>
      </c>
      <c r="I396" s="21" t="inlineStr">
        <is>
          <t>назви схожі, але різні об'єми або розміри</t>
        </is>
      </c>
    </row>
    <row r="397">
      <c r="A397" s="22" t="n">
        <v>77.8</v>
      </c>
      <c r="B397" s="22" t="inlineStr">
        <is>
          <t>Водоспад</t>
        </is>
      </c>
      <c r="C397" s="22" t="inlineStr">
        <is>
          <t>75104-9L.B.</t>
        </is>
      </c>
      <c r="D397" s="22" t="inlineStr">
        <is>
          <t>39927</t>
        </is>
      </c>
      <c r="E397" s="21" t="inlineStr">
        <is>
          <t>Рукавички садові Unіversal Bellota розмір L (75104-9L.B.) Іспанія</t>
        </is>
      </c>
      <c r="F397" s="21" t="inlineStr">
        <is>
          <t>Рукавички садові Bellota (75106-9/L)</t>
        </is>
      </c>
      <c r="G397" s="23" t="n">
        <v>319</v>
      </c>
      <c r="H397" s="23" t="n">
        <v>529</v>
      </c>
      <c r="I397" s="21" t="inlineStr">
        <is>
          <t>назви схожі, але різні об'єми або розміри</t>
        </is>
      </c>
    </row>
    <row r="398">
      <c r="A398" s="22" t="n">
        <v>77.8</v>
      </c>
      <c r="B398" s="22" t="inlineStr">
        <is>
          <t>Клуб Рослин</t>
        </is>
      </c>
      <c r="C398" s="22" t="inlineStr">
        <is>
          <t>902</t>
        </is>
      </c>
      <c r="D398" s="22" t="inlineStr">
        <is>
          <t>12721</t>
        </is>
      </c>
      <c r="E398" s="21" t="inlineStr">
        <is>
          <t>Точильний камінь алмаз 100 мм (500-2000 grit) Felco 902</t>
        </is>
      </c>
      <c r="F398" s="21" t="inlineStr">
        <is>
          <t>Точильний камінь Felco 902 (Фелко 902)</t>
        </is>
      </c>
      <c r="G398" s="23" t="n">
        <v>959</v>
      </c>
      <c r="H398" s="23" t="n">
        <v>960</v>
      </c>
      <c r="I398" s="21" t="inlineStr">
        <is>
          <t>назви схожі, але різні коди виробника</t>
        </is>
      </c>
    </row>
    <row r="399">
      <c r="A399" s="22" t="n">
        <v>77.8</v>
      </c>
      <c r="B399" s="22" t="inlineStr">
        <is>
          <t>Клуб Рослин</t>
        </is>
      </c>
      <c r="C399" s="22" t="inlineStr">
        <is>
          <t>8056</t>
        </is>
      </c>
      <c r="D399" s="22" t="inlineStr">
        <is>
          <t>9177</t>
        </is>
      </c>
      <c r="E399" s="21" t="inlineStr">
        <is>
          <t>Добриво Вітазим БІО Смарт Гроу / Vitazyme BIO 500 мл Smart Grow США</t>
        </is>
      </c>
      <c r="F399" s="21" t="inlineStr">
        <is>
          <t>Добриво Smart Grow ТОМАТ 25 мл, Смарт Гроу</t>
        </is>
      </c>
      <c r="G399" s="23" t="n">
        <v>948</v>
      </c>
      <c r="H399" s="23" t="n">
        <v>25</v>
      </c>
      <c r="I399" s="21" t="inlineStr">
        <is>
          <t>назви схожі, але різні об'єми або розміри</t>
        </is>
      </c>
    </row>
    <row r="400">
      <c r="A400" s="22" t="n">
        <v>77.7</v>
      </c>
      <c r="B400" s="22" t="inlineStr">
        <is>
          <t>Водоспад</t>
        </is>
      </c>
      <c r="C400" s="22" t="inlineStr">
        <is>
          <t>205Р</t>
        </is>
      </c>
      <c r="D400" s="22" t="inlineStr">
        <is>
          <t>33173</t>
        </is>
      </c>
      <c r="E400" s="21" t="inlineStr">
        <is>
          <t>Щеплювальний ніж для окулірування Due Buoi 205P Італія</t>
        </is>
      </c>
      <c r="F400" s="21" t="inlineStr">
        <is>
          <t>Прищепний ніж Due Buoi 205P (Італія)</t>
        </is>
      </c>
      <c r="G400" s="23" t="n">
        <v>1949</v>
      </c>
      <c r="H400" s="23" t="n">
        <v>979</v>
      </c>
      <c r="I400" s="21" t="inlineStr">
        <is>
          <t>назви схожі, різняться словами: окулірування, прищепний, щеплювальний</t>
        </is>
      </c>
    </row>
    <row r="401">
      <c r="A401" s="22" t="n">
        <v>77.7</v>
      </c>
      <c r="B401" s="22" t="inlineStr">
        <is>
          <t>Клуб Рослин</t>
        </is>
      </c>
      <c r="C401" s="22" t="inlineStr">
        <is>
          <t>BCL20IB</t>
        </is>
      </c>
      <c r="D401" s="22" t="inlineStr">
        <is>
          <t>12033</t>
        </is>
      </c>
      <c r="E401" s="21" t="inlineStr">
        <is>
          <t>Секатор акумуляторний Bahco BCL20IB Бахо</t>
        </is>
      </c>
      <c r="F401" s="21" t="inlineStr">
        <is>
          <t>Секатор акумуляторний з електроприводом Bahco BCL21</t>
        </is>
      </c>
      <c r="G401" s="23" t="n">
        <v>15525</v>
      </c>
      <c r="H401" s="23" t="n">
        <v>49900</v>
      </c>
      <c r="I401" s="21" t="inlineStr">
        <is>
          <t>назви схожі, різняться словами: бахо, електроприводом</t>
        </is>
      </c>
    </row>
    <row r="402">
      <c r="A402" s="22" t="n">
        <v>77.7</v>
      </c>
      <c r="B402" s="22" t="inlineStr">
        <is>
          <t>Клуб Рослин</t>
        </is>
      </c>
      <c r="C402" s="22" t="inlineStr">
        <is>
          <t>VS-9XR</t>
        </is>
      </c>
      <c r="D402" s="22" t="inlineStr">
        <is>
          <t>11830</t>
        </is>
      </c>
      <c r="E402" s="21" t="inlineStr">
        <is>
          <t>Секатор АРС / ARS (VS-9XR) садовий з поворотною ручкою Японія</t>
        </is>
      </c>
      <c r="F402" s="21" t="inlineStr">
        <is>
          <t>Секатор ARS CBR-9 садовий обвідний з оборотною ручкою (АРС CBR-9)</t>
        </is>
      </c>
      <c r="G402" s="23" t="n">
        <v>2869</v>
      </c>
      <c r="H402" s="23" t="n">
        <v>1545</v>
      </c>
      <c r="I402" s="21" t="inlineStr">
        <is>
          <t>назви схожі, але різні коди виробника</t>
        </is>
      </c>
    </row>
    <row r="403">
      <c r="A403" s="22" t="n">
        <v>77.7</v>
      </c>
      <c r="B403" s="22" t="inlineStr">
        <is>
          <t>Клуб Рослин</t>
        </is>
      </c>
      <c r="C403" s="22" t="inlineStr">
        <is>
          <t>VS-8XR</t>
        </is>
      </c>
      <c r="D403" s="22" t="inlineStr">
        <is>
          <t>11829</t>
        </is>
      </c>
      <c r="E403" s="21" t="inlineStr">
        <is>
          <t>Секатор АРС / ARS (VS-8XR) садовий з поворотною ручкою Японія</t>
        </is>
      </c>
      <c r="F403" s="21" t="inlineStr">
        <is>
          <t>Секатор ARS CBR-8 садовий обвідний з оборотною ручкою (АРС CBR-8)</t>
        </is>
      </c>
      <c r="G403" s="23" t="n">
        <v>2629</v>
      </c>
      <c r="H403" s="23" t="n">
        <v>1430</v>
      </c>
      <c r="I403" s="21" t="inlineStr">
        <is>
          <t>назви схожі, але різні коди виробника</t>
        </is>
      </c>
    </row>
    <row r="404">
      <c r="A404" s="22" t="n">
        <v>77.59999999999999</v>
      </c>
      <c r="B404" s="22" t="inlineStr">
        <is>
          <t>Водоспад</t>
        </is>
      </c>
      <c r="C404" s="22" t="inlineStr">
        <is>
          <t>4588-13.B</t>
        </is>
      </c>
      <c r="D404" s="22" t="inlineStr">
        <is>
          <t>42410</t>
        </is>
      </c>
      <c r="E404" s="21" t="inlineStr">
        <is>
          <t>Ножівка садова з чохлом 330 мм Bellota (4588-13.В) Іспанія</t>
        </is>
      </c>
      <c r="F404" s="21" t="inlineStr">
        <is>
          <t>Ножівка садова дерев`яна з чохлом 330мм Bellota, арт.450MC13.B</t>
        </is>
      </c>
      <c r="G404" s="23" t="n">
        <v>1638</v>
      </c>
      <c r="H404" s="23" t="n">
        <v>1220</v>
      </c>
      <c r="I404" s="21" t="inlineStr">
        <is>
          <t>назви схожі, але різні коди виробника</t>
        </is>
      </c>
    </row>
    <row r="405">
      <c r="A405" s="22" t="n">
        <v>77.59999999999999</v>
      </c>
      <c r="B405" s="22" t="inlineStr">
        <is>
          <t>Водоспад</t>
        </is>
      </c>
      <c r="C405" s="22" t="inlineStr">
        <is>
          <t>4587-13.В</t>
        </is>
      </c>
      <c r="D405" s="22" t="inlineStr">
        <is>
          <t>42410</t>
        </is>
      </c>
      <c r="E405" s="21" t="inlineStr">
        <is>
          <t>Ножівка садова з чохлом 330 мм Bellota (4587-13.В) Іспанія</t>
        </is>
      </c>
      <c r="F405" s="21" t="inlineStr">
        <is>
          <t>Ножівка садова дерев`яна з чохлом 330мм Bellota, арт.450MC13.B</t>
        </is>
      </c>
      <c r="G405" s="23" t="n">
        <v>1310</v>
      </c>
      <c r="H405" s="23" t="n">
        <v>1220</v>
      </c>
      <c r="I405" s="21" t="inlineStr">
        <is>
          <t>назви схожі, але різні коди виробника</t>
        </is>
      </c>
    </row>
    <row r="406">
      <c r="A406" s="22" t="n">
        <v>77.59999999999999</v>
      </c>
      <c r="B406" s="22" t="inlineStr">
        <is>
          <t>Водоспад</t>
        </is>
      </c>
      <c r="C406" s="22" t="inlineStr">
        <is>
          <t>9F-10</t>
        </is>
      </c>
      <c r="D406" s="22" t="inlineStr">
        <is>
          <t>38651</t>
        </is>
      </c>
      <c r="E406" s="21" t="inlineStr">
        <is>
          <t>Напилок для пилок ARS / АРС (9F-10) Японія</t>
        </is>
      </c>
      <c r="F406" s="21" t="inlineStr">
        <is>
          <t>Напильник для пилок ARS (9F-10)</t>
        </is>
      </c>
      <c r="G406" s="23" t="n">
        <v>820</v>
      </c>
      <c r="H406" s="23" t="n">
        <v>820</v>
      </c>
      <c r="I406" s="21" t="inlineStr">
        <is>
          <t>назви схожі, різняться словами: напилок, напильник</t>
        </is>
      </c>
    </row>
    <row r="407">
      <c r="A407" s="22" t="n">
        <v>77.59999999999999</v>
      </c>
      <c r="B407" s="22" t="inlineStr">
        <is>
          <t>Водоспад</t>
        </is>
      </c>
      <c r="C407" s="22" t="inlineStr">
        <is>
          <t>20-120</t>
        </is>
      </c>
      <c r="D407" s="22" t="inlineStr">
        <is>
          <t>37070</t>
        </is>
      </c>
      <c r="E407" s="21" t="inlineStr">
        <is>
          <t>Стрічка Tape для степлера підв'язувача Tapener Max 0.12*11мм*26м*20шт</t>
        </is>
      </c>
      <c r="F407" s="21" t="inlineStr">
        <is>
          <t>Стрічка для степлера підв`язувача Tapener Max HT-B (40 метрів рулон) тонка 0,1 мм. 10 рулонів</t>
        </is>
      </c>
      <c r="G407" s="23" t="n">
        <v>300</v>
      </c>
      <c r="H407" s="23" t="n">
        <v>260</v>
      </c>
      <c r="I407" s="21" t="inlineStr">
        <is>
          <t>назви схожі, але різні об'єми або розміри</t>
        </is>
      </c>
    </row>
    <row r="408">
      <c r="A408" s="22" t="n">
        <v>77.59999999999999</v>
      </c>
      <c r="B408" s="22" t="inlineStr">
        <is>
          <t>Клуб Рослин</t>
        </is>
      </c>
      <c r="C408" s="22" t="inlineStr">
        <is>
          <t>m20006</t>
        </is>
      </c>
      <c r="D408" s="22" t="inlineStr">
        <is>
          <t>14720</t>
        </is>
      </c>
      <c r="E408" s="21" t="inlineStr">
        <is>
          <t>Інсектицид Енжіо 247 SC к.с. 3,6мл.</t>
        </is>
      </c>
      <c r="F408" s="21" t="inlineStr">
        <is>
          <t>Інсектицид Енжіо 247 (тіаметоксам 141 г/л + лямбда–цигалотрин 106 г/л) SC к.с. 3,6 мл, Syngenta</t>
        </is>
      </c>
      <c r="G408" s="23" t="n">
        <v>20</v>
      </c>
      <c r="H408" s="23" t="n">
        <v>28</v>
      </c>
      <c r="I408" s="21" t="inlineStr">
        <is>
          <t>назви схожі, різняться словами: syngenta, лямбда, тіаметоксам та ще 1</t>
        </is>
      </c>
    </row>
    <row r="409">
      <c r="A409" s="22" t="n">
        <v>77.5</v>
      </c>
      <c r="B409" s="22" t="inlineStr">
        <is>
          <t>Клуб Рослин</t>
        </is>
      </c>
      <c r="C409" s="22" t="inlineStr">
        <is>
          <t>6195</t>
        </is>
      </c>
      <c r="D409" s="22" t="inlineStr">
        <is>
          <t>14597</t>
        </is>
      </c>
      <c r="E409" s="21" t="inlineStr">
        <is>
          <t>Пила складна Альпен / Alpen Bernina (6195) Швейцарія</t>
        </is>
      </c>
      <c r="F409" s="21" t="inlineStr">
        <is>
          <t>Пила Alpen Bernina 6195 складна з прямим лезом (Альпен Берніна 6195)</t>
        </is>
      </c>
      <c r="G409" s="23" t="n">
        <v>1327</v>
      </c>
      <c r="H409" s="23" t="n">
        <v>1327</v>
      </c>
      <c r="I409" s="21" t="inlineStr">
        <is>
          <t>назви схожі, різняться словами: берніна, лезом, прямим</t>
        </is>
      </c>
    </row>
    <row r="410">
      <c r="A410" s="22" t="n">
        <v>77.5</v>
      </c>
      <c r="B410" s="22" t="inlineStr">
        <is>
          <t>Клуб Рослин</t>
        </is>
      </c>
      <c r="C410" s="22" t="inlineStr">
        <is>
          <t>AP_8-30-500</t>
        </is>
      </c>
      <c r="D410" s="22" t="inlineStr">
        <is>
          <t>16476</t>
        </is>
      </c>
      <c r="E410" s="21" t="inlineStr">
        <is>
          <t>Крапельна стрічка щілинна AquaPlus (Аква Плюс) 8 mil 30 см 500 м (AP_8-30-500) Україна</t>
        </is>
      </c>
      <c r="F410" s="21" t="inlineStr">
        <is>
          <t>Крапельна стрічка Aqua Plus (щільова) 8 мм × 30 см × 300 м Аква Плюс</t>
        </is>
      </c>
      <c r="G410" s="23" t="n">
        <v>1188</v>
      </c>
      <c r="H410" s="23" t="n">
        <v>669</v>
      </c>
      <c r="I410" s="21" t="inlineStr">
        <is>
          <t>назви схожі, але різні об'єми або розміри</t>
        </is>
      </c>
    </row>
    <row r="411">
      <c r="A411" s="22" t="n">
        <v>77.40000000000001</v>
      </c>
      <c r="B411" s="22" t="inlineStr">
        <is>
          <t>Водоспад</t>
        </is>
      </c>
      <c r="C411" s="22" t="inlineStr">
        <is>
          <t>FAL0399</t>
        </is>
      </c>
      <c r="D411" s="22" t="inlineStr">
        <is>
          <t>42425</t>
        </is>
      </c>
      <c r="E411" s="21" t="inlineStr">
        <is>
          <t>Запасне ріжуче лезо до обвідних сучкорізів Falket 8099/10099 (FAL0399) Італія</t>
        </is>
      </c>
      <c r="F411" s="21" t="inlineStr">
        <is>
          <t>Лезо ріжуче до обвідних сучкорізів FAL8099/10099, FALKET арт.0399</t>
        </is>
      </c>
      <c r="G411" s="23" t="n">
        <v>890</v>
      </c>
      <c r="H411" s="23" t="n">
        <v>890</v>
      </c>
      <c r="I411" s="21" t="inlineStr">
        <is>
          <t>назви схожі, але різні коди виробника</t>
        </is>
      </c>
    </row>
    <row r="412">
      <c r="A412" s="22" t="n">
        <v>77.40000000000001</v>
      </c>
      <c r="B412" s="22" t="inlineStr">
        <is>
          <t>Водоспад</t>
        </is>
      </c>
      <c r="C412" s="22" t="inlineStr">
        <is>
          <t>1-500</t>
        </is>
      </c>
      <c r="D412" s="22" t="inlineStr">
        <is>
          <t>42498</t>
        </is>
      </c>
      <c r="E412" s="21" t="inlineStr">
        <is>
          <t>Садова замазка Balsam Pro / Бальзам Про 500 г Royal Mix</t>
        </is>
      </c>
      <c r="F412" s="21" t="inlineStr">
        <is>
          <t>Садова замазка Balsam PRO, 500 г (BalsamPro500)</t>
        </is>
      </c>
      <c r="G412" s="23" t="n">
        <v>539</v>
      </c>
      <c r="H412" s="23" t="n">
        <v>599</v>
      </c>
      <c r="I412" s="21" t="inlineStr">
        <is>
          <t>назви схожі, різняться словами: mix, royal, бальзам</t>
        </is>
      </c>
    </row>
    <row r="413">
      <c r="A413" s="22" t="n">
        <v>77.40000000000001</v>
      </c>
      <c r="B413" s="22" t="inlineStr">
        <is>
          <t>Водоспад</t>
        </is>
      </c>
      <c r="C413" s="22" t="inlineStr">
        <is>
          <t>1-250</t>
        </is>
      </c>
      <c r="D413" s="22" t="inlineStr">
        <is>
          <t>42497</t>
        </is>
      </c>
      <c r="E413" s="21" t="inlineStr">
        <is>
          <t>Садова замазка Balsam Pro / Бальзам Про 250 г Royal Mix</t>
        </is>
      </c>
      <c r="F413" s="21" t="inlineStr">
        <is>
          <t>Садова замазка Balsam PRO, 250 г (BalsamPro250)</t>
        </is>
      </c>
      <c r="G413" s="23" t="n">
        <v>250</v>
      </c>
      <c r="H413" s="23" t="n">
        <v>369</v>
      </c>
      <c r="I413" s="21" t="inlineStr">
        <is>
          <t>назви схожі, різняться словами: mix, royal, бальзам</t>
        </is>
      </c>
    </row>
    <row r="414">
      <c r="A414" s="22" t="n">
        <v>77.40000000000001</v>
      </c>
      <c r="B414" s="22" t="inlineStr">
        <is>
          <t>Клуб Рослин</t>
        </is>
      </c>
      <c r="C414" s="22" t="inlineStr">
        <is>
          <t>3325</t>
        </is>
      </c>
      <c r="D414" s="22" t="inlineStr">
        <is>
          <t>14107</t>
        </is>
      </c>
      <c r="E414" s="21" t="inlineStr">
        <is>
          <t>Фунгіцид Фундазол 1 кг Сімейний Сад Україна</t>
        </is>
      </c>
      <c r="F414" s="21" t="inlineStr">
        <is>
          <t>Фунгіцид Фундазол З.П. (беноміл) 200 г Сімейний Сад</t>
        </is>
      </c>
      <c r="G414" s="23" t="n">
        <v>998</v>
      </c>
      <c r="H414" s="23" t="n">
        <v>350</v>
      </c>
      <c r="I414" s="21" t="inlineStr">
        <is>
          <t>назви схожі, але різні об'єми або розміри</t>
        </is>
      </c>
    </row>
    <row r="415">
      <c r="A415" s="22" t="n">
        <v>77.40000000000001</v>
      </c>
      <c r="B415" s="22" t="inlineStr">
        <is>
          <t>Клуб Рослин</t>
        </is>
      </c>
      <c r="C415" s="22" t="inlineStr">
        <is>
          <t>8100</t>
        </is>
      </c>
      <c r="D415" s="22" t="inlineStr">
        <is>
          <t>9277</t>
        </is>
      </c>
      <c r="E415" s="21" t="inlineStr">
        <is>
          <t>Добриво Агрeкол / Agrecol для хвойних рослин 0-0-25 3 кг Польща</t>
        </is>
      </c>
      <c r="F415" s="21" t="inlineStr">
        <is>
          <t>Добриво Yara Vila для хвойних рослин, 5 кг</t>
        </is>
      </c>
      <c r="G415" s="23" t="n">
        <v>679</v>
      </c>
      <c r="H415" s="23" t="n">
        <v>812</v>
      </c>
      <c r="I415" s="21" t="inlineStr">
        <is>
          <t>назви схожі, але різні об'єми або розміри</t>
        </is>
      </c>
    </row>
    <row r="416">
      <c r="A416" s="22" t="n">
        <v>77.3</v>
      </c>
      <c r="B416" s="22" t="inlineStr">
        <is>
          <t>Клуб Рослин</t>
        </is>
      </c>
      <c r="C416" s="22" t="inlineStr">
        <is>
          <t>2002</t>
        </is>
      </c>
      <c r="D416" s="22" t="inlineStr">
        <is>
          <t>14715</t>
        </is>
      </c>
      <c r="E416" s="21" t="inlineStr">
        <is>
          <t>Інсектицид Актара 25 WG 250 г Syngenta Сингента Швейцарія</t>
        </is>
      </c>
      <c r="F416" s="21" t="inlineStr">
        <is>
          <t>Інсектицид Актара 25 (тіаметоксам 250 г/кг) WG в.г. 6 г, Syngenta</t>
        </is>
      </c>
      <c r="G416" s="23" t="n">
        <v>2425</v>
      </c>
      <c r="H416" s="23" t="n">
        <v>66</v>
      </c>
      <c r="I416" s="21" t="inlineStr">
        <is>
          <t>назви схожі, різняться словами: сингента, тіаметоксам</t>
        </is>
      </c>
    </row>
    <row r="417">
      <c r="A417" s="22" t="n">
        <v>77.3</v>
      </c>
      <c r="B417" s="22" t="inlineStr">
        <is>
          <t>Клуб Рослин</t>
        </is>
      </c>
      <c r="C417" s="22" t="inlineStr">
        <is>
          <t>5010005</t>
        </is>
      </c>
      <c r="D417" s="22" t="inlineStr">
        <is>
          <t>10610</t>
        </is>
      </c>
      <c r="E417" s="21" t="inlineStr">
        <is>
          <t>Мастика Арборін / Arborinn 500 г для холодного щеплення (5010005) AgriChem Італія</t>
        </is>
      </c>
      <c r="F417" s="21" t="inlineStr">
        <is>
          <t>Мастика для холодного щеплення (лак-бальзам) Arborinn, 1 кг / Арборін, 1 кг</t>
        </is>
      </c>
      <c r="G417" s="23" t="n">
        <v>435</v>
      </c>
      <c r="H417" s="23" t="n">
        <v>750</v>
      </c>
      <c r="I417" s="21" t="inlineStr">
        <is>
          <t>назви схожі, але різні об'єми або розміри</t>
        </is>
      </c>
    </row>
    <row r="418">
      <c r="A418" s="22" t="n">
        <v>77.2</v>
      </c>
      <c r="B418" s="22" t="inlineStr">
        <is>
          <t>Водоспад</t>
        </is>
      </c>
      <c r="C418" s="22" t="inlineStr">
        <is>
          <t>75105-10/XL.B.</t>
        </is>
      </c>
      <c r="D418" s="22" t="inlineStr">
        <is>
          <t>39928</t>
        </is>
      </c>
      <c r="E418" s="21" t="inlineStr">
        <is>
          <t>Рукавички садові 4х4 Bellota розмір XL (75105-10/XL.B.) Іспанія</t>
        </is>
      </c>
      <c r="F418" s="21" t="inlineStr">
        <is>
          <t>Рукавички садові Bellota (75106-10/XL)</t>
        </is>
      </c>
      <c r="G418" s="23" t="n">
        <v>379</v>
      </c>
      <c r="H418" s="23" t="n">
        <v>529</v>
      </c>
      <c r="I418" s="21" t="inlineStr">
        <is>
          <t>назви схожі, але різні коди виробника</t>
        </is>
      </c>
    </row>
    <row r="419">
      <c r="A419" s="22" t="n">
        <v>77.2</v>
      </c>
      <c r="B419" s="22" t="inlineStr">
        <is>
          <t>Водоспад</t>
        </is>
      </c>
      <c r="C419" s="22" t="inlineStr">
        <is>
          <t>88832</t>
        </is>
      </c>
      <c r="D419" s="22" t="inlineStr">
        <is>
          <t>42948</t>
        </is>
      </c>
      <c r="E419" s="21" t="inlineStr">
        <is>
          <t>Скоби для садового степлера (10000 шт) Flo (88832)</t>
        </is>
      </c>
      <c r="F419" s="21" t="inlineStr">
        <is>
          <t>Скоби для тапенера (садового степлера) тип 604С, 10000 шт, Тайвань, TITAN</t>
        </is>
      </c>
      <c r="G419" s="23" t="n">
        <v>100</v>
      </c>
      <c r="H419" s="23" t="n">
        <v>99</v>
      </c>
      <c r="I419" s="21" t="inlineStr">
        <is>
          <t>назви схожі, але різні бренди</t>
        </is>
      </c>
    </row>
    <row r="420">
      <c r="A420" s="22" t="n">
        <v>77.2</v>
      </c>
      <c r="B420" s="22" t="inlineStr">
        <is>
          <t>Клуб Рослин</t>
        </is>
      </c>
      <c r="C420" s="22" t="inlineStr">
        <is>
          <t>L-24</t>
        </is>
      </c>
      <c r="D420" s="22" t="inlineStr">
        <is>
          <t>15796</t>
        </is>
      </c>
      <c r="E420" s="21" t="inlineStr">
        <is>
          <t>Садова пила Камакі / Kamaki (L-24) Японія</t>
        </is>
      </c>
      <c r="F420" s="21" t="inlineStr">
        <is>
          <t>Пила Kamaki L-24 японська пряма складна (Камакі L-24)</t>
        </is>
      </c>
      <c r="G420" s="23" t="n">
        <v>1399</v>
      </c>
      <c r="H420" s="23" t="n">
        <v>1399</v>
      </c>
      <c r="I420" s="21" t="inlineStr">
        <is>
          <t>назви схожі, різняться словами: пряма, садова, складна та ще 1</t>
        </is>
      </c>
    </row>
    <row r="421">
      <c r="A421" s="22" t="n">
        <v>77.2</v>
      </c>
      <c r="B421" s="22" t="inlineStr">
        <is>
          <t>Клуб Рослин</t>
        </is>
      </c>
      <c r="C421" s="22" t="inlineStr">
        <is>
          <t>40-262</t>
        </is>
      </c>
      <c r="D421" s="22" t="inlineStr">
        <is>
          <t>13900</t>
        </is>
      </c>
      <c r="E421" s="21" t="inlineStr">
        <is>
          <t>Ніж садовий для окулірування Целлфаст / Cellfast 40-262 Польща</t>
        </is>
      </c>
      <c r="F421" s="21" t="inlineStr">
        <is>
          <t>Ніж садовий для щеплення Cellfast, 40-262</t>
        </is>
      </c>
      <c r="G421" s="23" t="n">
        <v>548</v>
      </c>
      <c r="H421" s="23" t="n">
        <v>595</v>
      </c>
      <c r="I421" s="21" t="inlineStr">
        <is>
          <t>назви схожі, різняться словами: окулірування, целлфаст, щеплення</t>
        </is>
      </c>
    </row>
    <row r="422">
      <c r="A422" s="22" t="n">
        <v>77.09999999999999</v>
      </c>
      <c r="B422" s="22" t="inlineStr">
        <is>
          <t>Водоспад</t>
        </is>
      </c>
      <c r="C422" s="22" t="inlineStr">
        <is>
          <t>123100600</t>
        </is>
      </c>
      <c r="D422" s="22" t="inlineStr">
        <is>
          <t>32812</t>
        </is>
      </c>
      <c r="E422" s="21" t="inlineStr">
        <is>
          <t>Точильний камінь 1000/6000 S&amp;R (123100600) Німеччина</t>
        </is>
      </c>
      <c r="F422" s="21" t="inlineStr">
        <is>
          <t>Точильний камінь TINA 940 (Німеччина)</t>
        </is>
      </c>
      <c r="G422" s="23" t="n">
        <v>750</v>
      </c>
      <c r="H422" s="23" t="n">
        <v>1370</v>
      </c>
      <c r="I422" s="21" t="inlineStr">
        <is>
          <t>назви схожі, різняться словами: tina</t>
        </is>
      </c>
    </row>
    <row r="423">
      <c r="A423" s="22" t="n">
        <v>77.09999999999999</v>
      </c>
      <c r="B423" s="22" t="inlineStr">
        <is>
          <t>Клуб Рослин</t>
        </is>
      </c>
      <c r="C423" s="22" t="inlineStr">
        <is>
          <t>446-24</t>
        </is>
      </c>
      <c r="D423" s="22" t="inlineStr">
        <is>
          <t>11270</t>
        </is>
      </c>
      <c r="E423" s="21" t="inlineStr">
        <is>
          <t>Садова пила складна Silky Ultra Accel Curve 240-7.5 (446-24) Японія</t>
        </is>
      </c>
      <c r="F423" s="21" t="inlineStr">
        <is>
          <t>Пила Silky Ultra Accel Curve 240-7,5 серповидна складна (Сілкі Ультра Аксель)</t>
        </is>
      </c>
      <c r="G423" s="23" t="n">
        <v>2900</v>
      </c>
      <c r="H423" s="23" t="n">
        <v>2990</v>
      </c>
      <c r="I423" s="21" t="inlineStr">
        <is>
          <t>назви схожі, різняться словами: аксель, сілкі, садова та ще 2</t>
        </is>
      </c>
    </row>
    <row r="424">
      <c r="A424" s="22" t="n">
        <v>77.09999999999999</v>
      </c>
      <c r="B424" s="22" t="inlineStr">
        <is>
          <t>Клуб Рослин</t>
        </is>
      </c>
      <c r="C424" s="22" t="inlineStr">
        <is>
          <t>8111</t>
        </is>
      </c>
      <c r="D424" s="22" t="inlineStr">
        <is>
          <t>9277</t>
        </is>
      </c>
      <c r="E424" s="21" t="inlineStr">
        <is>
          <t>Добриво Агрeкол / Agrecol для хвойних рослин 0-0-25 10 кг Польща</t>
        </is>
      </c>
      <c r="F424" s="21" t="inlineStr">
        <is>
          <t>Добриво Yara Vila для хвойних рослин, 5 кг</t>
        </is>
      </c>
      <c r="G424" s="23" t="n">
        <v>2019</v>
      </c>
      <c r="H424" s="23" t="n">
        <v>812</v>
      </c>
      <c r="I424" s="21" t="inlineStr">
        <is>
          <t>назви схожі, але різні об'єми або розміри</t>
        </is>
      </c>
    </row>
    <row r="425">
      <c r="A425" s="22" t="n">
        <v>77.09999999999999</v>
      </c>
      <c r="B425" s="22" t="inlineStr">
        <is>
          <t>Клуб Рослин</t>
        </is>
      </c>
      <c r="C425" s="22" t="inlineStr">
        <is>
          <t>3643.B</t>
        </is>
      </c>
      <c r="D425" s="22" t="inlineStr">
        <is>
          <t>10069</t>
        </is>
      </c>
      <c r="E425" s="21" t="inlineStr">
        <is>
          <t>Кожаный чехол-кобура для секатора Bellota (3643.B) Іспанія</t>
        </is>
      </c>
      <c r="F425" s="21" t="inlineStr">
        <is>
          <t>Кобура для секатора одноручного Bellota 3643</t>
        </is>
      </c>
      <c r="G425" s="23" t="n">
        <v>529</v>
      </c>
      <c r="H425" s="23" t="n">
        <v>529</v>
      </c>
      <c r="I425" s="21" t="inlineStr">
        <is>
          <t>назви схожі, різняться словами: кожаный, одноручного, чехол</t>
        </is>
      </c>
    </row>
    <row r="426">
      <c r="A426" s="22" t="n">
        <v>77.09999999999999</v>
      </c>
      <c r="B426" s="22" t="inlineStr">
        <is>
          <t>Клуб Рослин</t>
        </is>
      </c>
      <c r="C426" s="22" t="inlineStr">
        <is>
          <t>ddd10b7f-abba-11ee-bf43-c87f546feb15</t>
        </is>
      </c>
      <c r="D426" s="22" t="inlineStr">
        <is>
          <t>11759</t>
        </is>
      </c>
      <c r="E426" s="21" t="inlineStr">
        <is>
          <t>Садові ножиці</t>
        </is>
      </c>
      <c r="F426" s="21" t="inlineStr">
        <is>
          <t>Садові ножиці для кущів Bahco P51-SL</t>
        </is>
      </c>
      <c r="G426" s="23" t="n"/>
      <c r="H426" s="23" t="n">
        <v>2890</v>
      </c>
      <c r="I426" s="21" t="inlineStr">
        <is>
          <t>назви схожі, різняться словами: bahco, кущів</t>
        </is>
      </c>
    </row>
    <row r="427">
      <c r="A427" s="22" t="n">
        <v>77</v>
      </c>
      <c r="B427" s="22" t="inlineStr">
        <is>
          <t>Водоспад</t>
        </is>
      </c>
      <c r="C427" s="22" t="inlineStr">
        <is>
          <t>1066707</t>
        </is>
      </c>
      <c r="D427" s="22" t="inlineStr">
        <is>
          <t>32250</t>
        </is>
      </c>
      <c r="E427" s="21" t="inlineStr">
        <is>
          <t>Лопата штикова Fiskars Ergonomic Pro XL (1066707) Фінляндія</t>
        </is>
      </c>
      <c r="F427" s="21" t="inlineStr">
        <is>
          <t>Лопата садова штикова Fiskars Ergonomic (1001568)</t>
        </is>
      </c>
      <c r="G427" s="23" t="n">
        <v>2899</v>
      </c>
      <c r="H427" s="23" t="n">
        <v>1699</v>
      </c>
      <c r="I427" s="21" t="inlineStr">
        <is>
          <t>назви схожі, але різні коди виробника</t>
        </is>
      </c>
    </row>
    <row r="428">
      <c r="A428" s="22" t="n">
        <v>77</v>
      </c>
      <c r="B428" s="22" t="inlineStr">
        <is>
          <t>Водоспад</t>
        </is>
      </c>
      <c r="C428" s="22" t="inlineStr">
        <is>
          <t>FB-8</t>
        </is>
      </c>
      <c r="D428" s="22" t="inlineStr">
        <is>
          <t>38704</t>
        </is>
      </c>
      <c r="E428" s="21" t="inlineStr">
        <is>
          <t>Секатор АРС / ARS (FB-8) садовий обвідний Японія</t>
        </is>
      </c>
      <c r="F428" s="21" t="inlineStr">
        <is>
          <t>Садовий секатор ARS (CB-8Z)</t>
        </is>
      </c>
      <c r="G428" s="23" t="n">
        <v>1470</v>
      </c>
      <c r="H428" s="23" t="n">
        <v>1730</v>
      </c>
      <c r="I428" s="21" t="inlineStr">
        <is>
          <t>назви схожі, різняться словами: обвідний</t>
        </is>
      </c>
    </row>
    <row r="429">
      <c r="A429" s="22" t="n">
        <v>77</v>
      </c>
      <c r="B429" s="22" t="inlineStr">
        <is>
          <t>Водоспад</t>
        </is>
      </c>
      <c r="C429" s="22" t="inlineStr">
        <is>
          <t>910 +</t>
        </is>
      </c>
      <c r="D429" s="22" t="inlineStr">
        <is>
          <t>33928</t>
        </is>
      </c>
      <c r="E429" s="21" t="inlineStr">
        <is>
          <t>Шкіряний чохол-кобура для секатора Фелко / Felco 910 +(Plus) Швейцарія</t>
        </is>
      </c>
      <c r="F429" s="21" t="inlineStr">
        <is>
          <t>Шкіряний чохол Felco (910+)</t>
        </is>
      </c>
      <c r="G429" s="23" t="n">
        <v>1399</v>
      </c>
      <c r="H429" s="23" t="n">
        <v>1399</v>
      </c>
      <c r="I429" s="21" t="inlineStr">
        <is>
          <t>назви схожі, різняться словами: plus, кобура, секатора та ще 1</t>
        </is>
      </c>
    </row>
    <row r="430">
      <c r="A430" s="22" t="n">
        <v>77</v>
      </c>
      <c r="B430" s="22" t="inlineStr">
        <is>
          <t>Клуб Рослин</t>
        </is>
      </c>
      <c r="C430" s="22" t="inlineStr">
        <is>
          <t>3005</t>
        </is>
      </c>
      <c r="D430" s="22" t="inlineStr">
        <is>
          <t>14752</t>
        </is>
      </c>
      <c r="E430" s="21" t="inlineStr">
        <is>
          <t>Фунгіцид Тіовіт Джет 80 WG 20 кг Syngenta Сингента Швейцарія</t>
        </is>
      </c>
      <c r="F430" s="21" t="inlineStr">
        <is>
          <t>Фунгіцид Тіовіт Джет 80 (сірка 800 г/кг) WG в.г. 40 г, Syngenta</t>
        </is>
      </c>
      <c r="G430" s="23" t="n">
        <v>2998</v>
      </c>
      <c r="H430" s="23" t="n">
        <v>39</v>
      </c>
      <c r="I430" s="21" t="inlineStr">
        <is>
          <t>назви схожі, але різні об'єми або розміри</t>
        </is>
      </c>
    </row>
    <row r="431">
      <c r="A431" s="22" t="n">
        <v>77</v>
      </c>
      <c r="B431" s="22" t="inlineStr">
        <is>
          <t>Клуб Рослин</t>
        </is>
      </c>
      <c r="C431" s="22" t="inlineStr">
        <is>
          <t>1026917</t>
        </is>
      </c>
      <c r="D431" s="22" t="inlineStr">
        <is>
          <t>11042</t>
        </is>
      </c>
      <c r="E431" s="21" t="inlineStr">
        <is>
          <t>Ножиці для трави Fiskars White GS41 (1026917​​​​​​​) Фінляндія</t>
        </is>
      </c>
      <c r="F431" s="21" t="inlineStr">
        <is>
          <t>Ножиці для трави Fiskars 113690</t>
        </is>
      </c>
      <c r="G431" s="23" t="n">
        <v>1549</v>
      </c>
      <c r="H431" s="23" t="n">
        <v>1393.9</v>
      </c>
      <c r="I431" s="21" t="inlineStr">
        <is>
          <t>назви схожі, але різні коди виробника</t>
        </is>
      </c>
    </row>
    <row r="432">
      <c r="A432" s="22" t="n">
        <v>77</v>
      </c>
      <c r="B432" s="22" t="inlineStr">
        <is>
          <t>Клуб Рослин</t>
        </is>
      </c>
      <c r="C432" s="22" t="inlineStr">
        <is>
          <t>1000615</t>
        </is>
      </c>
      <c r="D432" s="22" t="inlineStr">
        <is>
          <t>11219</t>
        </is>
      </c>
      <c r="E432" s="21" t="inlineStr">
        <is>
          <t>Пила лучкова Фіскарс / Fiskars SW31 124810 (1000615) Фінляндія</t>
        </is>
      </c>
      <c r="F432" s="21" t="inlineStr">
        <is>
          <t>Пила Fiskars Fiskars 24’’ SW31 лучкова</t>
        </is>
      </c>
      <c r="G432" s="23" t="n">
        <v>1299</v>
      </c>
      <c r="H432" s="23" t="n">
        <v>444</v>
      </c>
      <c r="I432" s="21" t="inlineStr">
        <is>
          <t>назви схожі, різняться словами: фінляндія, фіскарс</t>
        </is>
      </c>
    </row>
    <row r="433">
      <c r="A433" s="22" t="n">
        <v>76.90000000000001</v>
      </c>
      <c r="B433" s="22" t="inlineStr">
        <is>
          <t>Водоспад</t>
        </is>
      </c>
      <c r="C433" s="22" t="inlineStr">
        <is>
          <t>BP12</t>
        </is>
      </c>
      <c r="D433" s="22" t="inlineStr">
        <is>
          <t>33093</t>
        </is>
      </c>
      <c r="E433" s="21" t="inlineStr">
        <is>
          <t>Лоток для промивки золота Estwing Ествінг BP12 12" дюймів (31 см) (пластик) США</t>
        </is>
      </c>
      <c r="F433" s="21" t="inlineStr">
        <is>
          <t>Лоток для промивання золота Estwing BP12 12</t>
        </is>
      </c>
      <c r="G433" s="23" t="n">
        <v>990</v>
      </c>
      <c r="H433" s="23" t="n">
        <v>990</v>
      </c>
      <c r="I433" s="21" t="inlineStr">
        <is>
          <t>назви схожі, різняться словами: дюймів, ествінг, пластик та ще 2</t>
        </is>
      </c>
    </row>
    <row r="434">
      <c r="A434" s="22" t="n">
        <v>76.90000000000001</v>
      </c>
      <c r="B434" s="22" t="inlineStr">
        <is>
          <t>Клуб Рослин</t>
        </is>
      </c>
      <c r="C434" s="22" t="inlineStr">
        <is>
          <t>7103</t>
        </is>
      </c>
      <c r="D434" s="22" t="inlineStr">
        <is>
          <t>9304</t>
        </is>
      </c>
      <c r="E434" s="21" t="inlineStr">
        <is>
          <t>Добриво сульфат калію Солюпотас 25 кг Бельгія</t>
        </is>
      </c>
      <c r="F434" s="21" t="inlineStr">
        <is>
          <t>Добриво водорозчинне SoluPotasse Калію Сульфат - 51% K2O, 25 кг Солюпотас для фертигації</t>
        </is>
      </c>
      <c r="G434" s="23" t="n">
        <v>1948</v>
      </c>
      <c r="H434" s="23" t="n">
        <v>1650</v>
      </c>
      <c r="I434" s="21" t="inlineStr">
        <is>
          <t>назви схожі, різняться словами: solupotasse, водорозчинне, фертигації</t>
        </is>
      </c>
    </row>
    <row r="435">
      <c r="A435" s="22" t="n">
        <v>76.90000000000001</v>
      </c>
      <c r="B435" s="22" t="inlineStr">
        <is>
          <t>Клуб Рослин</t>
        </is>
      </c>
      <c r="C435" s="22" t="inlineStr">
        <is>
          <t>7385</t>
        </is>
      </c>
      <c r="D435" s="22" t="inlineStr">
        <is>
          <t>9186</t>
        </is>
      </c>
      <c r="E435" s="21" t="inlineStr">
        <is>
          <t>Добриво регулятор росту Гумакс / Humax 10 л SmartGrow Україна</t>
        </is>
      </c>
      <c r="F435" s="21" t="inlineStr">
        <is>
          <t>Добриво SmartGrow ALHUM регулятор росту з гуматом калія Смарт Гроу, 10 л</t>
        </is>
      </c>
      <c r="G435" s="23" t="n">
        <v>1848</v>
      </c>
      <c r="H435" s="23" t="n">
        <v>2277.19</v>
      </c>
      <c r="I435" s="21" t="inlineStr">
        <is>
          <t>назви схожі, різняться словами: alhum, humax, гроу та ще 4</t>
        </is>
      </c>
    </row>
    <row r="436">
      <c r="A436" s="22" t="n">
        <v>76.8</v>
      </c>
      <c r="B436" s="22" t="inlineStr">
        <is>
          <t>Водоспад</t>
        </is>
      </c>
      <c r="C436" s="22" t="inlineStr">
        <is>
          <t>PS-07</t>
        </is>
      </c>
      <c r="D436" s="22" t="inlineStr">
        <is>
          <t>42926</t>
        </is>
      </c>
      <c r="E436" s="21" t="inlineStr">
        <is>
          <t>Секатор Тип-A 200 мм Тобішо / Tobisho (PS-07) Японія</t>
        </is>
      </c>
      <c r="F436" s="21" t="inlineStr">
        <is>
          <t>Секатор Тип-A 200 мм (YCS-3 сталь 61HRC) (PS-07) TOBISHO</t>
        </is>
      </c>
      <c r="G436" s="23" t="n">
        <v>5999</v>
      </c>
      <c r="H436" s="23" t="n">
        <v>5999</v>
      </c>
      <c r="I436" s="21" t="inlineStr">
        <is>
          <t>назви схожі, різняться словами: сталь, тобішо</t>
        </is>
      </c>
    </row>
    <row r="437">
      <c r="A437" s="22" t="n">
        <v>76.8</v>
      </c>
      <c r="B437" s="22" t="inlineStr">
        <is>
          <t>Водоспад</t>
        </is>
      </c>
      <c r="C437" s="22" t="inlineStr">
        <is>
          <t>121000550502</t>
        </is>
      </c>
      <c r="D437" s="22" t="inlineStr">
        <is>
          <t>33326</t>
        </is>
      </c>
      <c r="E437" s="21" t="inlineStr">
        <is>
          <t>Чохол для секатора Due Buoi (121000550502) Італія</t>
        </is>
      </c>
      <c r="F437" s="21" t="inlineStr">
        <is>
          <t>Чохол для секатора (1105)</t>
        </is>
      </c>
      <c r="G437" s="23" t="n">
        <v>890</v>
      </c>
      <c r="H437" s="23" t="n">
        <v>890</v>
      </c>
      <c r="I437" s="21" t="inlineStr">
        <is>
          <t>назви схожі, різняться словами: buoi, due</t>
        </is>
      </c>
    </row>
    <row r="438">
      <c r="A438" s="22" t="n">
        <v>76.8</v>
      </c>
      <c r="B438" s="22" t="inlineStr">
        <is>
          <t>Клуб Рослин</t>
        </is>
      </c>
      <c r="C438" s="22" t="inlineStr">
        <is>
          <t>726-13</t>
        </is>
      </c>
      <c r="D438" s="22" t="inlineStr">
        <is>
          <t>14163</t>
        </is>
      </c>
      <c r="E438" s="21" t="inlineStr">
        <is>
          <t>Пилка складана Silky Professional Series PocketBoy (726-13) Японія</t>
        </is>
      </c>
      <c r="F438" s="21" t="inlineStr">
        <is>
          <t>Пилка Silky Professional Series PocketBoy з вигнутим лезом складна 726-17 (Сілкі Покетбой)</t>
        </is>
      </c>
      <c r="G438" s="23" t="n">
        <v>2090</v>
      </c>
      <c r="H438" s="23" t="n">
        <v>2220</v>
      </c>
      <c r="I438" s="21" t="inlineStr">
        <is>
          <t>назви схожі, різняться словами: вигнутим, лезом, покетбой та ще 3</t>
        </is>
      </c>
    </row>
    <row r="439">
      <c r="A439" s="22" t="n">
        <v>76.8</v>
      </c>
      <c r="B439" s="22" t="inlineStr">
        <is>
          <t>Клуб Рослин</t>
        </is>
      </c>
      <c r="C439" s="22" t="inlineStr">
        <is>
          <t>AP_8-20-500</t>
        </is>
      </c>
      <c r="D439" s="22" t="inlineStr">
        <is>
          <t>16475</t>
        </is>
      </c>
      <c r="E439" s="21" t="inlineStr">
        <is>
          <t>Крапельна стрічка щілинна AquaPlus (Аква Плюс) 8 mil 20 см 500 м (AP_8-20-500) Україна</t>
        </is>
      </c>
      <c r="F439" s="21" t="inlineStr">
        <is>
          <t>Крапельна стрічка Aqua Plus (щільова) 8 мм × 20 см × 300 м Аква Плюс</t>
        </is>
      </c>
      <c r="G439" s="23" t="n">
        <v>1188</v>
      </c>
      <c r="H439" s="23" t="n">
        <v>669</v>
      </c>
      <c r="I439" s="21" t="inlineStr">
        <is>
          <t>назви схожі, але різні об'єми або розміри</t>
        </is>
      </c>
    </row>
    <row r="440">
      <c r="A440" s="22" t="n">
        <v>76.7</v>
      </c>
      <c r="B440" s="22" t="inlineStr">
        <is>
          <t>Клуб Рослин</t>
        </is>
      </c>
      <c r="C440" s="22" t="inlineStr">
        <is>
          <t>640/10.5</t>
        </is>
      </c>
      <c r="D440" s="22" t="inlineStr">
        <is>
          <t>10944</t>
        </is>
      </c>
      <c r="E440" s="21" t="inlineStr">
        <is>
          <t>Щеплювальний ніж Тіна / Tina (640/10.5 ) Німеччина</t>
        </is>
      </c>
      <c r="F440" s="21" t="inlineStr">
        <is>
          <t>Ніж Tina 640/10,5</t>
        </is>
      </c>
      <c r="G440" s="23" t="n">
        <v>5699</v>
      </c>
      <c r="H440" s="23" t="n">
        <v>5699</v>
      </c>
      <c r="I440" s="21" t="inlineStr">
        <is>
          <t>назви схожі, різняться словами: тіна, щеплювальний</t>
        </is>
      </c>
    </row>
    <row r="441">
      <c r="A441" s="22" t="n">
        <v>76.7</v>
      </c>
      <c r="B441" s="22" t="inlineStr">
        <is>
          <t>Клуб Рослин</t>
        </is>
      </c>
      <c r="C441" s="22" t="inlineStr">
        <is>
          <t>1052043</t>
        </is>
      </c>
      <c r="D441" s="22" t="inlineStr">
        <is>
          <t>12330</t>
        </is>
      </c>
      <c r="E441" s="21" t="inlineStr">
        <is>
          <t>Сокира-колун Фіскарс Fiskars Solid A26 (1052043) Фінляндія</t>
        </is>
      </c>
      <c r="F441" s="21" t="inlineStr">
        <is>
          <t>Сокира колун Fiskars Solid L 122260</t>
        </is>
      </c>
      <c r="G441" s="23" t="n">
        <v>5199</v>
      </c>
      <c r="H441" s="23" t="n">
        <v>1512.5</v>
      </c>
      <c r="I441" s="21" t="inlineStr">
        <is>
          <t>назви схожі, але різні коди виробника</t>
        </is>
      </c>
    </row>
    <row r="442">
      <c r="A442" s="22" t="n">
        <v>76.7</v>
      </c>
      <c r="B442" s="22" t="inlineStr">
        <is>
          <t>Клуб Рослин</t>
        </is>
      </c>
      <c r="C442" s="22" t="inlineStr">
        <is>
          <t>903</t>
        </is>
      </c>
      <c r="D442" s="22" t="inlineStr">
        <is>
          <t>12721</t>
        </is>
      </c>
      <c r="E442" s="21" t="inlineStr">
        <is>
          <t>Точильний камінь алмаз 100 мм Felco 903</t>
        </is>
      </c>
      <c r="F442" s="21" t="inlineStr">
        <is>
          <t>Точильний камінь Felco 902 (Фелко 902)</t>
        </is>
      </c>
      <c r="G442" s="23" t="n">
        <v>1199</v>
      </c>
      <c r="H442" s="23" t="n">
        <v>960</v>
      </c>
      <c r="I442" s="21" t="inlineStr">
        <is>
          <t>назви схожі, різняться словами: алмаз, фелко</t>
        </is>
      </c>
    </row>
    <row r="443">
      <c r="A443" s="22" t="n">
        <v>76.7</v>
      </c>
      <c r="B443" s="22" t="inlineStr">
        <is>
          <t>Клуб Рослин</t>
        </is>
      </c>
      <c r="C443" s="22" t="inlineStr">
        <is>
          <t>8108</t>
        </is>
      </c>
      <c r="D443" s="22" t="inlineStr">
        <is>
          <t>9277</t>
        </is>
      </c>
      <c r="E443" s="21" t="inlineStr">
        <is>
          <t>Добриво Агрeкол / Agrecol для хвойних рослин 0-0-25 1.2 кг Польща</t>
        </is>
      </c>
      <c r="F443" s="21" t="inlineStr">
        <is>
          <t>Добриво Yara Vila для хвойних рослин, 5 кг</t>
        </is>
      </c>
      <c r="G443" s="23" t="n">
        <v>352</v>
      </c>
      <c r="H443" s="23" t="n">
        <v>812</v>
      </c>
      <c r="I443" s="21" t="inlineStr">
        <is>
          <t>назви схожі, але різні об'єми або розміри</t>
        </is>
      </c>
    </row>
    <row r="444">
      <c r="A444" s="22" t="n">
        <v>76.7</v>
      </c>
      <c r="B444" s="22" t="inlineStr">
        <is>
          <t>Клуб Рослин</t>
        </is>
      </c>
      <c r="C444" s="22" t="inlineStr">
        <is>
          <t>5010005-250</t>
        </is>
      </c>
      <c r="D444" s="22" t="inlineStr">
        <is>
          <t>15838</t>
        </is>
      </c>
      <c r="E444" s="21" t="inlineStr">
        <is>
          <t>Мастика Арборін / Arborinn 250 г для холодного щеплення (5010005-250) AgriChem Італія</t>
        </is>
      </c>
      <c r="F444" s="21" t="inlineStr">
        <is>
          <t>Мастика для холодного щеплення (лак-бальзам) Arborinn, 0,25 кг / Арборін, 0,25 кг</t>
        </is>
      </c>
      <c r="G444" s="23" t="n">
        <v>330</v>
      </c>
      <c r="H444" s="23" t="n">
        <v>325</v>
      </c>
      <c r="I444" s="21" t="inlineStr">
        <is>
          <t>назви схожі, різняться словами: agrichem, бальзам</t>
        </is>
      </c>
    </row>
    <row r="445">
      <c r="A445" s="22" t="n">
        <v>76.7</v>
      </c>
      <c r="B445" s="22" t="inlineStr">
        <is>
          <t>Клуб Рослин</t>
        </is>
      </c>
      <c r="C445" s="22" t="inlineStr">
        <is>
          <t>m3006</t>
        </is>
      </c>
      <c r="D445" s="22" t="inlineStr">
        <is>
          <t>16170</t>
        </is>
      </c>
      <c r="E445" s="21" t="inlineStr">
        <is>
          <t>Фунгіцид Ридоміл Голд R 162 WG в.г. 100г</t>
        </is>
      </c>
      <c r="F445" s="21" t="inlineStr">
        <is>
          <t>Фунгіцид Ридоміл Голд R 162 (металаксил-М 20 г/кг + оксид міді 142 г/кг) WG в.г. 50 г, Syngenta</t>
        </is>
      </c>
      <c r="G445" s="23" t="n">
        <v>100</v>
      </c>
      <c r="H445" s="23" t="n">
        <v>65</v>
      </c>
      <c r="I445" s="21" t="inlineStr">
        <is>
          <t>назви схожі, але різні об'єми або розміри</t>
        </is>
      </c>
    </row>
    <row r="446">
      <c r="A446" s="22" t="n">
        <v>76.59999999999999</v>
      </c>
      <c r="B446" s="22" t="inlineStr">
        <is>
          <t>Водоспад</t>
        </is>
      </c>
      <c r="C446" s="22" t="inlineStr">
        <is>
          <t>TAKAGI270</t>
        </is>
      </c>
      <c r="D446" s="22" t="inlineStr">
        <is>
          <t>42671</t>
        </is>
      </c>
      <c r="E446" s="21" t="inlineStr">
        <is>
          <t>Ножиці для топіарної стрижки 270 мм Такагі / Takagi (TAKAGI270) Японія</t>
        </is>
      </c>
      <c r="F446" s="21" t="inlineStr">
        <is>
          <t>Ножиці для топіарної стрижки 270 мм (леза 115 мм, 59HRC) TAKAGI</t>
        </is>
      </c>
      <c r="G446" s="23" t="n">
        <v>5999</v>
      </c>
      <c r="H446" s="23" t="n">
        <v>5999</v>
      </c>
      <c r="I446" s="21" t="inlineStr">
        <is>
          <t>назви схожі, різняться словами: леза, такагі</t>
        </is>
      </c>
    </row>
    <row r="447">
      <c r="A447" s="22" t="n">
        <v>76.59999999999999</v>
      </c>
      <c r="B447" s="22" t="inlineStr">
        <is>
          <t>Клуб Рослин</t>
        </is>
      </c>
      <c r="C447" s="22" t="inlineStr">
        <is>
          <t>7386</t>
        </is>
      </c>
      <c r="D447" s="22" t="inlineStr">
        <is>
          <t>9204</t>
        </is>
      </c>
      <c r="E447" s="21" t="inlineStr">
        <is>
          <t>Добриво Бор-150 10 л SmartGrow Україна</t>
        </is>
      </c>
      <c r="F447" s="21" t="inlineStr">
        <is>
          <t>Добриво SmartGrow БОР-150 стимулятор запилення Смарт Гроу, 10 л</t>
        </is>
      </c>
      <c r="G447" s="23" t="n">
        <v>1848</v>
      </c>
      <c r="H447" s="23" t="n">
        <v>1907</v>
      </c>
      <c r="I447" s="21" t="inlineStr">
        <is>
          <t>назви схожі, різняться словами: гроу, запилення, смарт та ще 1</t>
        </is>
      </c>
    </row>
    <row r="448">
      <c r="A448" s="22" t="n">
        <v>76.5</v>
      </c>
      <c r="B448" s="22" t="inlineStr">
        <is>
          <t>Водоспад</t>
        </is>
      </c>
      <c r="C448" s="22" t="inlineStr">
        <is>
          <t>1070674</t>
        </is>
      </c>
      <c r="D448" s="22" t="inlineStr">
        <is>
          <t>37397</t>
        </is>
      </c>
      <c r="E448" s="21" t="inlineStr">
        <is>
          <t>Вила для компосту Фіскарс / Fiskars Solid (1070674) Фінляндія</t>
        </is>
      </c>
      <c r="F448" s="21" t="inlineStr">
        <is>
          <t>Вили для компосту Fiskars Solid (1003459)</t>
        </is>
      </c>
      <c r="G448" s="23" t="n">
        <v>1899</v>
      </c>
      <c r="H448" s="23" t="n">
        <v>1099</v>
      </c>
      <c r="I448" s="21" t="inlineStr">
        <is>
          <t>назви схожі, але різні коди виробника</t>
        </is>
      </c>
    </row>
    <row r="449">
      <c r="A449" s="22" t="n">
        <v>76.5</v>
      </c>
      <c r="B449" s="22" t="inlineStr">
        <is>
          <t>Водоспад</t>
        </is>
      </c>
      <c r="C449" s="22" t="inlineStr">
        <is>
          <t>3.90.10</t>
        </is>
      </c>
      <c r="D449" s="22" t="inlineStr">
        <is>
          <t>32375</t>
        </is>
      </c>
      <c r="E449" s="21" t="inlineStr">
        <is>
          <t>Ніж для щеплення Victorinox 3.90.10 Швейцарія</t>
        </is>
      </c>
      <c r="F449" s="21" t="inlineStr">
        <is>
          <t>Ніж для щеплень FELCO Victorinox (3.90.20)</t>
        </is>
      </c>
      <c r="G449" s="23" t="n">
        <v>998</v>
      </c>
      <c r="H449" s="23" t="n">
        <v>1449</v>
      </c>
      <c r="I449" s="21" t="inlineStr">
        <is>
          <t>назви схожі, різняться словами: felco, щеплення, щеплень</t>
        </is>
      </c>
    </row>
    <row r="450">
      <c r="A450" s="22" t="n">
        <v>76.5</v>
      </c>
      <c r="B450" s="22" t="inlineStr">
        <is>
          <t>Клуб Рослин</t>
        </is>
      </c>
      <c r="C450" s="22" t="inlineStr">
        <is>
          <t>3130</t>
        </is>
      </c>
      <c r="D450" s="22" t="inlineStr">
        <is>
          <t>12847</t>
        </is>
      </c>
      <c r="E450" s="21" t="inlineStr">
        <is>
          <t>Фунгіцид Акробат МЦ 1 кг Basf Басф Німеччина</t>
        </is>
      </c>
      <c r="F450" s="21" t="inlineStr">
        <is>
          <t>Фунгіцид Акробат МЦ, 20 г</t>
        </is>
      </c>
      <c r="G450" s="23" t="n">
        <v>875</v>
      </c>
      <c r="H450" s="23" t="n">
        <v>8</v>
      </c>
      <c r="I450" s="21" t="inlineStr">
        <is>
          <t>назви схожі, але різні об'єми або розміри</t>
        </is>
      </c>
    </row>
    <row r="451">
      <c r="A451" s="22" t="n">
        <v>76.40000000000001</v>
      </c>
      <c r="B451" s="22" t="inlineStr">
        <is>
          <t>Клуб Рослин</t>
        </is>
      </c>
      <c r="C451" s="22" t="inlineStr">
        <is>
          <t>1015618</t>
        </is>
      </c>
      <c r="D451" s="22" t="inlineStr">
        <is>
          <t>12315</t>
        </is>
      </c>
      <c r="E451" s="21" t="inlineStr">
        <is>
          <t>Універсальна сокира Фіскарс Fiskars XS X7 121423 (1015618) Фінляндія</t>
        </is>
      </c>
      <c r="F451" s="21" t="inlineStr">
        <is>
          <t>Сокира Fiskars Х10 універсальна</t>
        </is>
      </c>
      <c r="G451" s="23" t="n">
        <v>2199</v>
      </c>
      <c r="H451" s="23" t="n">
        <v>1407</v>
      </c>
      <c r="I451" s="21" t="inlineStr">
        <is>
          <t>назви схожі, різняться словами: xs, фінляндія, фіскарс</t>
        </is>
      </c>
    </row>
    <row r="452">
      <c r="A452" s="22" t="n">
        <v>76.40000000000001</v>
      </c>
      <c r="B452" s="22" t="inlineStr">
        <is>
          <t>Клуб Рослин</t>
        </is>
      </c>
      <c r="C452" s="22" t="inlineStr">
        <is>
          <t>8112</t>
        </is>
      </c>
      <c r="D452" s="22" t="inlineStr">
        <is>
          <t>18165</t>
        </is>
      </c>
      <c r="E452" s="21" t="inlineStr">
        <is>
          <t>Добриво Агрекол / Agrecol універсальне 0-16-20 10 кг Польща</t>
        </is>
      </c>
      <c r="F452" s="21" t="inlineStr">
        <is>
          <t>Добриво мінеральне гранульоване Agrecol осіннє універсальне 0-16-20, 1,2 кг</t>
        </is>
      </c>
      <c r="G452" s="23" t="n">
        <v>2019</v>
      </c>
      <c r="H452" s="23" t="n">
        <v>280</v>
      </c>
      <c r="I452" s="21" t="inlineStr">
        <is>
          <t>назви схожі, але різні об'єми або розміри</t>
        </is>
      </c>
    </row>
    <row r="453">
      <c r="A453" s="22" t="n">
        <v>76.40000000000001</v>
      </c>
      <c r="B453" s="22" t="inlineStr">
        <is>
          <t>Клуб Рослин</t>
        </is>
      </c>
      <c r="C453" s="22" t="inlineStr">
        <is>
          <t>40-211</t>
        </is>
      </c>
      <c r="D453" s="22" t="inlineStr">
        <is>
          <t>13750</t>
        </is>
      </c>
      <c r="E453" s="21" t="inlineStr">
        <is>
          <t>Граблі універсальні Целлфаст / Cellfast IPRO 168 см (40-211) Польща</t>
        </is>
      </c>
      <c r="F453" s="21" t="inlineStr">
        <is>
          <t>Граблі металеві універсальні ERGO Cellfast 40-100 (Целфаст Ерго)</t>
        </is>
      </c>
      <c r="G453" s="23" t="n">
        <v>965</v>
      </c>
      <c r="H453" s="23" t="n">
        <v>1592</v>
      </c>
      <c r="I453" s="21" t="inlineStr">
        <is>
          <t>назви схожі, різняться словами: ergo, ipro, ерго та ще 3</t>
        </is>
      </c>
    </row>
    <row r="454">
      <c r="A454" s="22" t="n">
        <v>76.3</v>
      </c>
      <c r="B454" s="22" t="inlineStr">
        <is>
          <t>Водоспад</t>
        </is>
      </c>
      <c r="C454" s="22" t="inlineStr">
        <is>
          <t>1066714</t>
        </is>
      </c>
      <c r="D454" s="22" t="inlineStr">
        <is>
          <t>32250</t>
        </is>
      </c>
      <c r="E454" s="21" t="inlineStr">
        <is>
          <t>Лопата садова Фіскарс / Fiskars Ergonomic (1066714) Фінляндія</t>
        </is>
      </c>
      <c r="F454" s="21" t="inlineStr">
        <is>
          <t>Лопата садова штикова Fiskars Ergonomic (1001568)</t>
        </is>
      </c>
      <c r="G454" s="23" t="n">
        <v>2499</v>
      </c>
      <c r="H454" s="23" t="n">
        <v>1699</v>
      </c>
      <c r="I454" s="21" t="inlineStr">
        <is>
          <t>назви схожі, але різні коди виробника</t>
        </is>
      </c>
    </row>
    <row r="455">
      <c r="A455" s="22" t="n">
        <v>76.3</v>
      </c>
      <c r="B455" s="22" t="inlineStr">
        <is>
          <t>Водоспад</t>
        </is>
      </c>
      <c r="C455" s="22" t="inlineStr">
        <is>
          <t>211013</t>
        </is>
      </c>
      <c r="D455" s="22" t="inlineStr">
        <is>
          <t>40750</t>
        </is>
      </c>
      <c r="E455" s="21" t="inlineStr">
        <is>
          <t>Секатор Strand Pro Premium з храповим механізмом 200 мм (211013)</t>
        </is>
      </c>
      <c r="F455" s="21" t="inlineStr">
        <is>
          <t>Секатор з храповим механізмом Due Cigni 200 мм (2C_387/20)</t>
        </is>
      </c>
      <c r="G455" s="23" t="n">
        <v>475</v>
      </c>
      <c r="H455" s="23" t="n">
        <v>899</v>
      </c>
      <c r="I455" s="21" t="inlineStr">
        <is>
          <t>назви схожі, але різні бренди</t>
        </is>
      </c>
    </row>
    <row r="456">
      <c r="A456" s="22" t="n">
        <v>76.3</v>
      </c>
      <c r="B456" s="22" t="inlineStr">
        <is>
          <t>Водоспад</t>
        </is>
      </c>
      <c r="C456" s="22" t="inlineStr">
        <is>
          <t>HT-B</t>
        </is>
      </c>
      <c r="D456" s="22" t="inlineStr">
        <is>
          <t>33292</t>
        </is>
      </c>
      <c r="E456" s="21" t="inlineStr">
        <is>
          <t>Стрічка для степлера підв'язувача Tapener Nastro Max HT-B 0.15*10мм*26м*10шт Gielle Італія</t>
        </is>
      </c>
      <c r="F456" s="21" t="inlineStr">
        <is>
          <t>Стрічка для степлера підв`язувача Tapener Max HT-B (26 метрів рулон) стандарт 0,15 мм. 10 рулонів</t>
        </is>
      </c>
      <c r="G456" s="23" t="n">
        <v>250</v>
      </c>
      <c r="H456" s="23" t="n">
        <v>250</v>
      </c>
      <c r="I456" s="21" t="inlineStr">
        <is>
          <t>назви схожі, але різні об'єми або розміри</t>
        </is>
      </c>
    </row>
    <row r="457">
      <c r="A457" s="22" t="n">
        <v>76.3</v>
      </c>
      <c r="B457" s="22" t="inlineStr">
        <is>
          <t>Клуб Рослин</t>
        </is>
      </c>
      <c r="C457" s="22" t="inlineStr">
        <is>
          <t>2.107</t>
        </is>
      </c>
      <c r="D457" s="22" t="inlineStr">
        <is>
          <t>11964</t>
        </is>
      </c>
      <c r="E457" s="21" t="inlineStr">
        <is>
          <t>Секатор з ковадлом Льове / Lowe Original (2.107) Німеччина</t>
        </is>
      </c>
      <c r="F457" s="21" t="inlineStr">
        <is>
          <t>Секатор Lowe 2.107 з коваделцем (Льове 2.107)</t>
        </is>
      </c>
      <c r="G457" s="23" t="n">
        <v>2440</v>
      </c>
      <c r="H457" s="23" t="n">
        <v>2440</v>
      </c>
      <c r="I457" s="21" t="inlineStr">
        <is>
          <t>назви схожі, різняться словами: original, коваделцем, ковадлом</t>
        </is>
      </c>
    </row>
    <row r="458">
      <c r="A458" s="22" t="n">
        <v>76.3</v>
      </c>
      <c r="B458" s="22" t="inlineStr">
        <is>
          <t>Клуб Рослин</t>
        </is>
      </c>
      <c r="C458" s="22" t="inlineStr">
        <is>
          <t>5.109</t>
        </is>
      </c>
      <c r="D458" s="22" t="inlineStr">
        <is>
          <t>11956</t>
        </is>
      </c>
      <c r="E458" s="21" t="inlineStr">
        <is>
          <t>Секатор із наковаленкою та поворотною ручкою Льове / Lowe Original (5.109) Німеччина</t>
        </is>
      </c>
      <c r="F458" s="21" t="inlineStr">
        <is>
          <t>Секатор LOWE 12.109 з поворотною ручкою (Льове 12.109)</t>
        </is>
      </c>
      <c r="G458" s="23" t="n">
        <v>2390</v>
      </c>
      <c r="H458" s="23" t="n">
        <v>3190</v>
      </c>
      <c r="I458" s="21" t="inlineStr">
        <is>
          <t>назви схожі, різняться словами: original, наковаленкою</t>
        </is>
      </c>
    </row>
    <row r="459">
      <c r="A459" s="22" t="n">
        <v>76.3</v>
      </c>
      <c r="B459" s="22" t="inlineStr">
        <is>
          <t>Клуб Рослин</t>
        </is>
      </c>
      <c r="C459" s="22" t="inlineStr">
        <is>
          <t>990-1</t>
        </is>
      </c>
      <c r="D459" s="22" t="inlineStr">
        <is>
          <t>16443</t>
        </is>
      </c>
      <c r="E459" s="21" t="inlineStr">
        <is>
          <t>Мастило для секаторів Felco (990-1) Швейцарія</t>
        </is>
      </c>
      <c r="F459" s="21" t="inlineStr">
        <is>
          <t>Змазка для секаторів Felco 990-1 (синтетичне мастило Фелко 990-1)</t>
        </is>
      </c>
      <c r="G459" s="23" t="n">
        <v>499</v>
      </c>
      <c r="H459" s="23" t="n">
        <v>499</v>
      </c>
      <c r="I459" s="21" t="inlineStr">
        <is>
          <t>назви схожі, різняться словами: змазка, синтетичне, фелко</t>
        </is>
      </c>
    </row>
    <row r="460">
      <c r="A460" s="22" t="n">
        <v>76.2</v>
      </c>
      <c r="B460" s="22" t="inlineStr">
        <is>
          <t>Водоспад</t>
        </is>
      </c>
      <c r="C460" s="22" t="inlineStr">
        <is>
          <t>3410.B</t>
        </is>
      </c>
      <c r="D460" s="22" t="inlineStr">
        <is>
          <t>42277</t>
        </is>
      </c>
      <c r="E460" s="21" t="inlineStr">
        <is>
          <t>Секатор 195 мм з коваделком Bellota Smart (3410.B) Іспанія</t>
        </is>
      </c>
      <c r="F460" s="21" t="inlineStr">
        <is>
          <t>Секатор 195 мм, Bellota (3409)</t>
        </is>
      </c>
      <c r="G460" s="23" t="n">
        <v>685</v>
      </c>
      <c r="H460" s="23" t="n">
        <v>625</v>
      </c>
      <c r="I460" s="21" t="inlineStr">
        <is>
          <t>назви схожі, різняться словами: smart, коваделком</t>
        </is>
      </c>
    </row>
    <row r="461">
      <c r="A461" s="22" t="n">
        <v>76.2</v>
      </c>
      <c r="B461" s="22" t="inlineStr">
        <is>
          <t>Клуб Рослин</t>
        </is>
      </c>
      <c r="C461" s="22" t="inlineStr">
        <is>
          <t>1070717</t>
        </is>
      </c>
      <c r="D461" s="22" t="inlineStr">
        <is>
          <t>8690</t>
        </is>
      </c>
      <c r="E461" s="21" t="inlineStr">
        <is>
          <t>Вила телескопічні Фіскарс / Fiskars Xact (1070717) Фінляндія</t>
        </is>
      </c>
      <c r="F461" s="21" t="inlineStr">
        <is>
          <t>Вила Fiskars (133320) телескопічні садові (Фіскарс)</t>
        </is>
      </c>
      <c r="G461" s="23" t="n">
        <v>3999</v>
      </c>
      <c r="H461" s="23" t="n">
        <v>1437.5</v>
      </c>
      <c r="I461" s="21" t="inlineStr">
        <is>
          <t>назви схожі, але різні коди виробника</t>
        </is>
      </c>
    </row>
    <row r="462">
      <c r="A462" s="22" t="n">
        <v>76.2</v>
      </c>
      <c r="B462" s="22" t="inlineStr">
        <is>
          <t>Клуб Рослин</t>
        </is>
      </c>
      <c r="C462" s="22" t="inlineStr">
        <is>
          <t>717-27</t>
        </is>
      </c>
      <c r="D462" s="22" t="inlineStr">
        <is>
          <t>11237</t>
        </is>
      </c>
      <c r="E462" s="21" t="inlineStr">
        <is>
          <t>Садова пила складна Silky Gomboy Curve 270-8 (717-27) Японія</t>
        </is>
      </c>
      <c r="F462" s="21" t="inlineStr">
        <is>
          <t>Пила Silky Gomboy 270-8 Curve серповидна складна (Сілкі Гомбой)</t>
        </is>
      </c>
      <c r="G462" s="23" t="n">
        <v>3290</v>
      </c>
      <c r="H462" s="23" t="n">
        <v>3290</v>
      </c>
      <c r="I462" s="21" t="inlineStr">
        <is>
          <t>назви схожі, різняться словами: гомбой, сілкі, садова та ще 1</t>
        </is>
      </c>
    </row>
    <row r="463">
      <c r="A463" s="22" t="n">
        <v>76.2</v>
      </c>
      <c r="B463" s="22" t="inlineStr">
        <is>
          <t>Клуб Рослин</t>
        </is>
      </c>
      <c r="C463" s="22" t="inlineStr">
        <is>
          <t>717-24</t>
        </is>
      </c>
      <c r="D463" s="22" t="inlineStr">
        <is>
          <t>11235</t>
        </is>
      </c>
      <c r="E463" s="21" t="inlineStr">
        <is>
          <t>Садова пила складна Silky Gomboy Curve 240-8 (717-24) Японія</t>
        </is>
      </c>
      <c r="F463" s="21" t="inlineStr">
        <is>
          <t>Пила Silky Gomboy 240-8 Curve серповидна складна (Сілкі Гомбой)</t>
        </is>
      </c>
      <c r="G463" s="23" t="n">
        <v>3000</v>
      </c>
      <c r="H463" s="23" t="n">
        <v>3000</v>
      </c>
      <c r="I463" s="21" t="inlineStr">
        <is>
          <t>назви схожі, різняться словами: гомбой, сілкі, садова та ще 1</t>
        </is>
      </c>
    </row>
    <row r="464">
      <c r="A464" s="22" t="n">
        <v>76.2</v>
      </c>
      <c r="B464" s="22" t="inlineStr">
        <is>
          <t>Клуб Рослин</t>
        </is>
      </c>
      <c r="C464" s="22" t="inlineStr">
        <is>
          <t>L-24R</t>
        </is>
      </c>
      <c r="D464" s="22" t="inlineStr">
        <is>
          <t>15796</t>
        </is>
      </c>
      <c r="E464" s="21" t="inlineStr">
        <is>
          <t>Садова пила Камакі / Kamaki L-24R Японія</t>
        </is>
      </c>
      <c r="F464" s="21" t="inlineStr">
        <is>
          <t>Пила Kamaki L-24 японська пряма складна (Камакі L-24)</t>
        </is>
      </c>
      <c r="G464" s="23" t="n">
        <v>1499</v>
      </c>
      <c r="H464" s="23" t="n">
        <v>1399</v>
      </c>
      <c r="I464" s="21" t="inlineStr">
        <is>
          <t>назви схожі, різняться словами: пряма, садова, складна та ще 1</t>
        </is>
      </c>
    </row>
    <row r="465">
      <c r="A465" s="22" t="n">
        <v>76.09999999999999</v>
      </c>
      <c r="B465" s="22" t="inlineStr">
        <is>
          <t>Водоспад</t>
        </is>
      </c>
      <c r="C465" s="22" t="inlineStr">
        <is>
          <t>64628351-abbb-11ee-bf43-c87f546feb15</t>
        </is>
      </c>
      <c r="D465" s="22" t="inlineStr">
        <is>
          <t>38555</t>
        </is>
      </c>
      <c r="E465" s="21" t="inlineStr">
        <is>
          <t>Сучкоріз Felco 200A-60 / Гілкоріз Felco 200A-60</t>
        </is>
      </c>
      <c r="F465" s="21" t="inlineStr">
        <is>
          <t>Сучкоріз ручний FELCO 200А-60 (Felco200А-60)</t>
        </is>
      </c>
      <c r="G465" s="23" t="n">
        <v>4690</v>
      </c>
      <c r="H465" s="23" t="n">
        <v>4690</v>
      </c>
      <c r="I465" s="21" t="inlineStr">
        <is>
          <t>назви схожі, але різні коди виробника</t>
        </is>
      </c>
    </row>
    <row r="466">
      <c r="A466" s="22" t="n">
        <v>76.09999999999999</v>
      </c>
      <c r="B466" s="22" t="inlineStr">
        <is>
          <t>Клуб Рослин</t>
        </is>
      </c>
      <c r="C466" s="22" t="inlineStr">
        <is>
          <t>121-21</t>
        </is>
      </c>
      <c r="D466" s="22" t="inlineStr">
        <is>
          <t>11233</t>
        </is>
      </c>
      <c r="E466" s="21" t="inlineStr">
        <is>
          <t>Садова пила складна Silky Gomboy 210-10 (121-21) Японія</t>
        </is>
      </c>
      <c r="F466" s="21" t="inlineStr">
        <is>
          <t>Пила Silky Gomboy 210-10 складна (Сілкі Гомбой)</t>
        </is>
      </c>
      <c r="G466" s="23" t="n">
        <v>2590</v>
      </c>
      <c r="H466" s="23" t="n">
        <v>2590</v>
      </c>
      <c r="I466" s="21" t="inlineStr">
        <is>
          <t>назви схожі, різняться словами: гомбой, сілкі, садова</t>
        </is>
      </c>
    </row>
    <row r="467">
      <c r="A467" s="22" t="n">
        <v>76.09999999999999</v>
      </c>
      <c r="B467" s="22" t="inlineStr">
        <is>
          <t>Клуб Рослин</t>
        </is>
      </c>
      <c r="C467" s="22" t="inlineStr">
        <is>
          <t>DUKE-25</t>
        </is>
      </c>
      <c r="D467" s="22" t="inlineStr">
        <is>
          <t>11184</t>
        </is>
      </c>
      <c r="E467" s="21" t="inlineStr">
        <is>
          <t>Пила с кобурой АРС / ARS ( DUKE-25) Японія</t>
        </is>
      </c>
      <c r="F467" s="21" t="inlineStr">
        <is>
          <t>Пила з кобурою ARS DUKE-25 (АРС DUKE-25)</t>
        </is>
      </c>
      <c r="G467" s="23" t="n">
        <v>1470</v>
      </c>
      <c r="H467" s="23" t="n">
        <v>1470</v>
      </c>
      <c r="I467" s="21" t="inlineStr">
        <is>
          <t>назви схожі, але різні коди виробника</t>
        </is>
      </c>
    </row>
    <row r="468">
      <c r="A468" s="22" t="n">
        <v>76</v>
      </c>
      <c r="B468" s="22" t="inlineStr">
        <is>
          <t>Водоспад</t>
        </is>
      </c>
      <c r="C468" s="22" t="inlineStr">
        <is>
          <t>905</t>
        </is>
      </c>
      <c r="D468" s="22" t="inlineStr">
        <is>
          <t>41513</t>
        </is>
      </c>
      <c r="E468" s="21" t="inlineStr">
        <is>
          <t>Точильний інструмент Фелко / Felco 905 Швейцарія</t>
        </is>
      </c>
      <c r="F468" s="21" t="inlineStr">
        <is>
          <t>Точильний інструмент Felco (Felco905)</t>
        </is>
      </c>
      <c r="G468" s="23" t="n">
        <v>1480</v>
      </c>
      <c r="H468" s="23" t="n">
        <v>1479</v>
      </c>
      <c r="I468" s="21" t="inlineStr">
        <is>
          <t>назви схожі, різняться словами: фелко</t>
        </is>
      </c>
    </row>
    <row r="469">
      <c r="A469" s="22" t="n">
        <v>76</v>
      </c>
      <c r="B469" s="22" t="inlineStr">
        <is>
          <t>Водоспад</t>
        </is>
      </c>
      <c r="C469" s="22" t="inlineStr">
        <is>
          <t>23604-21.B</t>
        </is>
      </c>
      <c r="D469" s="22" t="inlineStr">
        <is>
          <t>42458</t>
        </is>
      </c>
      <c r="E469" s="21" t="inlineStr">
        <is>
          <t>Секатор 210 мм Bellota (23604-21.B) Іспанія</t>
        </is>
      </c>
      <c r="F469" s="21" t="inlineStr">
        <is>
          <t>Секатор Bellota 3604-21</t>
        </is>
      </c>
      <c r="G469" s="23" t="n">
        <v>1079</v>
      </c>
      <c r="H469" s="23" t="n">
        <v>1839</v>
      </c>
      <c r="I469" s="21" t="inlineStr">
        <is>
          <t>назви схожі, але різні коди виробника</t>
        </is>
      </c>
    </row>
    <row r="470">
      <c r="A470" s="22" t="n">
        <v>76</v>
      </c>
      <c r="B470" s="22" t="inlineStr">
        <is>
          <t>Водоспад</t>
        </is>
      </c>
      <c r="C470" s="22" t="inlineStr">
        <is>
          <t>912</t>
        </is>
      </c>
      <c r="D470" s="22" t="inlineStr">
        <is>
          <t>42575</t>
        </is>
      </c>
      <c r="E470" s="21" t="inlineStr">
        <is>
          <t>Чохол для секатора Фелко / Felco 912 Швейцарія</t>
        </is>
      </c>
      <c r="F470" s="21" t="inlineStr">
        <is>
          <t>Чохол для секатора (Felco 910 Black)</t>
        </is>
      </c>
      <c r="G470" s="23" t="n">
        <v>1038</v>
      </c>
      <c r="H470" s="23" t="n">
        <v>1349</v>
      </c>
      <c r="I470" s="21" t="inlineStr">
        <is>
          <t>назви схожі, різняться словами: black, фелко</t>
        </is>
      </c>
    </row>
    <row r="471">
      <c r="A471" s="22" t="n">
        <v>76</v>
      </c>
      <c r="B471" s="22" t="inlineStr">
        <is>
          <t>Водоспад</t>
        </is>
      </c>
      <c r="C471" s="22" t="inlineStr">
        <is>
          <t>906</t>
        </is>
      </c>
      <c r="D471" s="22" t="inlineStr">
        <is>
          <t>41513</t>
        </is>
      </c>
      <c r="E471" s="21" t="inlineStr">
        <is>
          <t>Точильний інструмент Фелко / Felco 906 Швейцарія</t>
        </is>
      </c>
      <c r="F471" s="21" t="inlineStr">
        <is>
          <t>Точильний інструмент Felco (Felco905)</t>
        </is>
      </c>
      <c r="G471" s="23" t="n">
        <v>930</v>
      </c>
      <c r="H471" s="23" t="n">
        <v>1479</v>
      </c>
      <c r="I471" s="21" t="inlineStr">
        <is>
          <t>назви схожі, різняться словами: фелко</t>
        </is>
      </c>
    </row>
    <row r="472">
      <c r="A472" s="22" t="n">
        <v>76</v>
      </c>
      <c r="B472" s="22" t="inlineStr">
        <is>
          <t>Водоспад</t>
        </is>
      </c>
      <c r="C472" s="22" t="inlineStr">
        <is>
          <t>555400100</t>
        </is>
      </c>
      <c r="D472" s="22" t="inlineStr">
        <is>
          <t>32812</t>
        </is>
      </c>
      <c r="E472" s="21" t="inlineStr">
        <is>
          <t>Точильний камінь Старк / Stark 400/1000 гріт (555400100) Німеччина</t>
        </is>
      </c>
      <c r="F472" s="21" t="inlineStr">
        <is>
          <t>Точильний камінь TINA 940 (Німеччина)</t>
        </is>
      </c>
      <c r="G472" s="23" t="n">
        <v>355</v>
      </c>
      <c r="H472" s="23" t="n">
        <v>1370</v>
      </c>
      <c r="I472" s="21" t="inlineStr">
        <is>
          <t>назви схожі, але різні бренди</t>
        </is>
      </c>
    </row>
    <row r="473">
      <c r="A473" s="22" t="n">
        <v>76</v>
      </c>
      <c r="B473" s="22" t="inlineStr">
        <is>
          <t>Клуб Рослин</t>
        </is>
      </c>
      <c r="C473" s="22" t="inlineStr">
        <is>
          <t>3419</t>
        </is>
      </c>
      <c r="D473" s="22" t="inlineStr">
        <is>
          <t>17271</t>
        </is>
      </c>
      <c r="E473" s="21" t="inlineStr">
        <is>
          <t>Фунгіцид Малахіт 75 мл Basf Басф Німеччина</t>
        </is>
      </c>
      <c r="F473" s="21" t="inlineStr">
        <is>
          <t>Фунгіцид Малахіт, к.с. 15 мл</t>
        </is>
      </c>
      <c r="G473" s="23" t="n">
        <v>388</v>
      </c>
      <c r="H473" s="23" t="n">
        <v>115</v>
      </c>
      <c r="I473" s="21" t="inlineStr">
        <is>
          <t>назви схожі, але різні об'єми або розміри</t>
        </is>
      </c>
    </row>
    <row r="474">
      <c r="A474" s="22" t="n">
        <v>76</v>
      </c>
      <c r="B474" s="22" t="inlineStr">
        <is>
          <t>Клуб Рослин</t>
        </is>
      </c>
      <c r="C474" s="22" t="inlineStr">
        <is>
          <t>7363</t>
        </is>
      </c>
      <c r="D474" s="22" t="inlineStr">
        <is>
          <t>9203</t>
        </is>
      </c>
      <c r="E474" s="21" t="inlineStr">
        <is>
          <t>Добриво Бор-150 1 л SmartGrow Україна</t>
        </is>
      </c>
      <c r="F474" s="21" t="inlineStr">
        <is>
          <t>Добриво SmartGrow БОР-150 стимулятор запилення Смарт Гроу, 1 л</t>
        </is>
      </c>
      <c r="G474" s="23" t="n">
        <v>248</v>
      </c>
      <c r="H474" s="23" t="n">
        <v>244</v>
      </c>
      <c r="I474" s="21" t="inlineStr">
        <is>
          <t>назви схожі, різняться словами: гроу, запилення, смарт та ще 1</t>
        </is>
      </c>
    </row>
    <row r="475">
      <c r="A475" s="22" t="n">
        <v>76</v>
      </c>
      <c r="B475" s="22" t="inlineStr">
        <is>
          <t>Клуб Рослин</t>
        </is>
      </c>
      <c r="C475" s="22" t="inlineStr">
        <is>
          <t>292-S</t>
        </is>
      </c>
      <c r="D475" s="22" t="inlineStr">
        <is>
          <t>12283</t>
        </is>
      </c>
      <c r="E475" s="21" t="inlineStr">
        <is>
          <t>Скоби для садового підв'язувального степлера My Garden 10000 штук (292-S)</t>
        </is>
      </c>
      <c r="F475" s="21" t="inlineStr">
        <is>
          <t>Скоби до степлера садового TITAN (10000 шт)</t>
        </is>
      </c>
      <c r="G475" s="23" t="n">
        <v>100</v>
      </c>
      <c r="H475" s="23" t="n">
        <v>99</v>
      </c>
      <c r="I475" s="21" t="inlineStr">
        <is>
          <t>назви схожі, але різні бренди</t>
        </is>
      </c>
    </row>
    <row r="476">
      <c r="A476" s="22" t="n">
        <v>75.90000000000001</v>
      </c>
      <c r="B476" s="22" t="inlineStr">
        <is>
          <t>Водоспад</t>
        </is>
      </c>
      <c r="C476" s="22" t="inlineStr">
        <is>
          <t>HT-3</t>
        </is>
      </c>
      <c r="D476" s="22" t="inlineStr">
        <is>
          <t>40560</t>
        </is>
      </c>
      <c r="E476" s="21" t="inlineStr">
        <is>
          <t>Набір для підв'язки рослин Tapener HT-3 (Степлер підв'язувальний Max HT-R1 + Стрічка + Скоби)</t>
        </is>
      </c>
      <c r="F476" s="21" t="inlineStr">
        <is>
          <t>Степлер садовий для підв`язки Max Tapener HT-R1 GUN MAX + стрічка та скоби (MAX_R1-KIT1)</t>
        </is>
      </c>
      <c r="G476" s="23" t="n">
        <v>2595</v>
      </c>
      <c r="H476" s="23" t="n">
        <v>2449</v>
      </c>
      <c r="I476" s="21" t="inlineStr">
        <is>
          <t>назви схожі, різняться словами: gun, набір, підвязувальний та ще 2</t>
        </is>
      </c>
    </row>
    <row r="477">
      <c r="A477" s="22" t="n">
        <v>75.90000000000001</v>
      </c>
      <c r="B477" s="22" t="inlineStr">
        <is>
          <t>Клуб Рослин</t>
        </is>
      </c>
      <c r="C477" s="22" t="inlineStr">
        <is>
          <t>921</t>
        </is>
      </c>
      <c r="D477" s="22" t="inlineStr">
        <is>
          <t>10080</t>
        </is>
      </c>
      <c r="E477" s="21" t="inlineStr">
        <is>
          <t>Шкіряний чохол-кобура для секатора Фелко / Felco 921 Швейцарія</t>
        </is>
      </c>
      <c r="F477" s="21" t="inlineStr">
        <is>
          <t>Кобура для секаторів Felco 921 (Фелко 921)</t>
        </is>
      </c>
      <c r="G477" s="23" t="n">
        <v>2590</v>
      </c>
      <c r="H477" s="23" t="n">
        <v>2590</v>
      </c>
      <c r="I477" s="21" t="inlineStr">
        <is>
          <t>назви схожі, різняться словами: секаторів, секатора, чохол та ще 1</t>
        </is>
      </c>
    </row>
    <row r="478">
      <c r="A478" s="22" t="n">
        <v>75.90000000000001</v>
      </c>
      <c r="B478" s="22" t="inlineStr">
        <is>
          <t>Клуб Рослин</t>
        </is>
      </c>
      <c r="C478" s="22" t="inlineStr">
        <is>
          <t>1020127</t>
        </is>
      </c>
      <c r="D478" s="22" t="inlineStr">
        <is>
          <t>9844</t>
        </is>
      </c>
      <c r="E478" s="21" t="inlineStr">
        <is>
          <t>Інструмент для видалення бур’янів Фіскарс / Fiskars White полегшений 139940 (1020127) Фінляндія</t>
        </is>
      </c>
      <c r="F478" s="21" t="inlineStr">
        <is>
          <t>Інструмент для видалення бур'янів Fiskars QuikFit 139970</t>
        </is>
      </c>
      <c r="G478" s="23" t="n">
        <v>2499</v>
      </c>
      <c r="H478" s="23" t="n">
        <v>504</v>
      </c>
      <c r="I478" s="21" t="inlineStr">
        <is>
          <t>назви схожі, але різні коди виробника</t>
        </is>
      </c>
    </row>
    <row r="479">
      <c r="A479" s="22" t="n">
        <v>75.90000000000001</v>
      </c>
      <c r="B479" s="22" t="inlineStr">
        <is>
          <t>Клуб Рослин</t>
        </is>
      </c>
      <c r="C479" s="22" t="inlineStr">
        <is>
          <t>m3005</t>
        </is>
      </c>
      <c r="D479" s="22" t="inlineStr">
        <is>
          <t>14744</t>
        </is>
      </c>
      <c r="E479" s="21" t="inlineStr">
        <is>
          <t>Фунгіцид Амістар Голд 250 SC к.с. 40мл</t>
        </is>
      </c>
      <c r="F479" s="21" t="inlineStr">
        <is>
          <t>Фунгіцид Амістар Голд 250 (азоксистробін 125 г/л + дифенконазол 125 г/л) SC к.с. 100 мл, Syngenta</t>
        </is>
      </c>
      <c r="G479" s="23" t="n">
        <v>100</v>
      </c>
      <c r="H479" s="23" t="n">
        <v>275</v>
      </c>
      <c r="I479" s="21" t="inlineStr">
        <is>
          <t>назви схожі, але різні об'єми або розміри</t>
        </is>
      </c>
    </row>
    <row r="480">
      <c r="A480" s="22" t="n">
        <v>75.8</v>
      </c>
      <c r="B480" s="22" t="inlineStr">
        <is>
          <t>Водоспад</t>
        </is>
      </c>
      <c r="C480" s="22" t="inlineStr">
        <is>
          <t>1082130</t>
        </is>
      </c>
      <c r="D480" s="22" t="inlineStr">
        <is>
          <t>32123</t>
        </is>
      </c>
      <c r="E480" s="21" t="inlineStr">
        <is>
          <t>Універсальна сокира Fiskars Ultra XU14 (1082130) Фінляндія</t>
        </is>
      </c>
      <c r="F480" s="21" t="inlineStr">
        <is>
          <t>Сокира універсальна Fiskars X10 - S (1015619)</t>
        </is>
      </c>
      <c r="G480" s="23" t="n">
        <v>4499</v>
      </c>
      <c r="H480" s="23" t="n">
        <v>2199</v>
      </c>
      <c r="I480" s="21" t="inlineStr">
        <is>
          <t>назви схожі, але різні коди виробника</t>
        </is>
      </c>
    </row>
    <row r="481">
      <c r="A481" s="22" t="n">
        <v>75.8</v>
      </c>
      <c r="B481" s="22" t="inlineStr">
        <is>
          <t>Водоспад</t>
        </is>
      </c>
      <c r="C481" s="22" t="inlineStr">
        <is>
          <t>KT-100</t>
        </is>
      </c>
      <c r="D481" s="22" t="inlineStr">
        <is>
          <t>37719</t>
        </is>
      </c>
      <c r="E481" s="21" t="inlineStr">
        <is>
          <t>Олія камелії антикорозійна Kurobara Tsubaki 100 мл (KT-100) Hanakumagawa Японія</t>
        </is>
      </c>
      <c r="F481" s="21" t="inlineStr">
        <is>
          <t>Олія камелії для сталі 245 мл Kurobara Tsubaki HANAKUMAGAWA (1110122)</t>
        </is>
      </c>
      <c r="G481" s="23" t="n">
        <v>455</v>
      </c>
      <c r="H481" s="23" t="n">
        <v>795</v>
      </c>
      <c r="I481" s="21" t="inlineStr">
        <is>
          <t>назви схожі, але різні об'єми або розміри</t>
        </is>
      </c>
    </row>
    <row r="482">
      <c r="A482" s="22" t="n">
        <v>75.8</v>
      </c>
      <c r="B482" s="22" t="inlineStr">
        <is>
          <t>Водоспад</t>
        </is>
      </c>
      <c r="C482" s="22" t="inlineStr">
        <is>
          <t>1080704</t>
        </is>
      </c>
      <c r="D482" s="22" t="inlineStr">
        <is>
          <t>32276</t>
        </is>
      </c>
      <c r="E482" s="21" t="inlineStr">
        <is>
          <t>Адаптер універсальний Fiskars OneClick (1080704) Фінляндія</t>
        </is>
      </c>
      <c r="F482" s="21" t="inlineStr">
        <is>
          <t>Універсальний адаптер Fiskars QuikFit (1000617)</t>
        </is>
      </c>
      <c r="G482" s="23" t="n">
        <v>299</v>
      </c>
      <c r="H482" s="23" t="n">
        <v>499</v>
      </c>
      <c r="I482" s="21" t="inlineStr">
        <is>
          <t>назви схожі, але різні коди виробника</t>
        </is>
      </c>
    </row>
    <row r="483">
      <c r="A483" s="22" t="n">
        <v>75.8</v>
      </c>
      <c r="B483" s="22" t="inlineStr">
        <is>
          <t>Клуб Рослин</t>
        </is>
      </c>
      <c r="C483" s="22" t="inlineStr">
        <is>
          <t>12057</t>
        </is>
      </c>
      <c r="D483" s="22" t="inlineStr">
        <is>
          <t>10926</t>
        </is>
      </c>
      <c r="E483" s="21" t="inlineStr">
        <is>
          <t>Ніж Morakniv Outdoor Mora 2000 (S) Orange (12057) Швеція</t>
        </is>
      </c>
      <c r="F483" s="21" t="inlineStr">
        <is>
          <t>Ніж Mora Outdoor Stainless 2000 Orange</t>
        </is>
      </c>
      <c r="G483" s="23" t="n">
        <v>1339</v>
      </c>
      <c r="H483" s="23" t="n">
        <v>640.8</v>
      </c>
      <c r="I483" s="21" t="inlineStr">
        <is>
          <t>назви схожі, різняться словами: stainless</t>
        </is>
      </c>
    </row>
    <row r="484">
      <c r="A484" s="22" t="n">
        <v>75.8</v>
      </c>
      <c r="B484" s="22" t="inlineStr">
        <is>
          <t>Клуб Рослин</t>
        </is>
      </c>
      <c r="C484" s="22" t="inlineStr">
        <is>
          <t>7375</t>
        </is>
      </c>
      <c r="D484" s="22" t="inlineStr">
        <is>
          <t>9209</t>
        </is>
      </c>
      <c r="E484" s="21" t="inlineStr">
        <is>
          <t>Добриво Залізо 1 л SmartGrow Україна</t>
        </is>
      </c>
      <c r="F484" s="21" t="inlineStr">
        <is>
          <t>Добриво SmartGrow ЗАЛІЗО мікродобриво від хлорозу Смарт Гроу, 1 л</t>
        </is>
      </c>
      <c r="G484" s="23" t="n">
        <v>275</v>
      </c>
      <c r="H484" s="23" t="n">
        <v>309</v>
      </c>
      <c r="I484" s="21" t="inlineStr">
        <is>
          <t>назви схожі, різняться словами: гроу, мікродобриво, смарт та ще 1</t>
        </is>
      </c>
    </row>
    <row r="485">
      <c r="A485" s="22" t="n">
        <v>75.7</v>
      </c>
      <c r="B485" s="22" t="inlineStr">
        <is>
          <t>Водоспад</t>
        </is>
      </c>
      <c r="C485" s="22" t="inlineStr">
        <is>
          <t>EPR123P.B</t>
        </is>
      </c>
      <c r="D485" s="22" t="inlineStr">
        <is>
          <t>42835</t>
        </is>
      </c>
      <c r="E485" s="21" t="inlineStr">
        <is>
          <t>Електричний акумуляторний секатор Bellota (EPR123P.B) Іспанія</t>
        </is>
      </c>
      <c r="F485" s="21" t="inlineStr">
        <is>
          <t>Акумуляторний секатор Bellota EPR123P (2 акумулятори та зарядка)</t>
        </is>
      </c>
      <c r="G485" s="23" t="n">
        <v>19900</v>
      </c>
      <c r="H485" s="23" t="n">
        <v>19240</v>
      </c>
      <c r="I485" s="21" t="inlineStr">
        <is>
          <t>назви схожі, але різні коди виробника</t>
        </is>
      </c>
    </row>
    <row r="486">
      <c r="A486" s="22" t="n">
        <v>75.7</v>
      </c>
      <c r="B486" s="22" t="inlineStr">
        <is>
          <t>Водоспад</t>
        </is>
      </c>
      <c r="C486" s="22" t="inlineStr">
        <is>
          <t>1080136</t>
        </is>
      </c>
      <c r="D486" s="22" t="inlineStr">
        <is>
          <t>36456</t>
        </is>
      </c>
      <c r="E486" s="21" t="inlineStr">
        <is>
          <t>Ремкомплект мотузок для висоторіза Fiskars UPX96 (1080136)</t>
        </is>
      </c>
      <c r="F486" s="21" t="inlineStr">
        <is>
          <t>Набір ручок та мотузок для висоторізу Fiskars UPX86 (1026296)</t>
        </is>
      </c>
      <c r="G486" s="23" t="n">
        <v>1499</v>
      </c>
      <c r="H486" s="23" t="n">
        <v>949</v>
      </c>
      <c r="I486" s="21" t="inlineStr">
        <is>
          <t>назви схожі, але різні коди виробника</t>
        </is>
      </c>
    </row>
    <row r="487">
      <c r="A487" s="22" t="n">
        <v>75.7</v>
      </c>
      <c r="B487" s="22" t="inlineStr">
        <is>
          <t>Клуб Рослин</t>
        </is>
      </c>
      <c r="C487" s="22" t="inlineStr">
        <is>
          <t>3185</t>
        </is>
      </c>
      <c r="D487" s="22" t="inlineStr">
        <is>
          <t>16168</t>
        </is>
      </c>
      <c r="E487" s="21" t="inlineStr">
        <is>
          <t>Фунгіцид Залізний купорос 10 кг Садівник Україна</t>
        </is>
      </c>
      <c r="F487" s="21" t="inlineStr">
        <is>
          <t>Фунгіцид Залізний купорос Садівник (сульфат заліза) 500 г, Агрохімпак</t>
        </is>
      </c>
      <c r="G487" s="23" t="n">
        <v>598</v>
      </c>
      <c r="H487" s="23" t="n">
        <v>40</v>
      </c>
      <c r="I487" s="21" t="inlineStr">
        <is>
          <t>назви схожі, але різні об'єми або розміри</t>
        </is>
      </c>
    </row>
    <row r="488">
      <c r="A488" s="22" t="n">
        <v>75.7</v>
      </c>
      <c r="B488" s="22" t="inlineStr">
        <is>
          <t>Клуб Рослин</t>
        </is>
      </c>
      <c r="C488" s="22" t="inlineStr">
        <is>
          <t>226410</t>
        </is>
      </c>
      <c r="D488" s="22" t="inlineStr">
        <is>
          <t>11708</t>
        </is>
      </c>
      <c r="E488" s="21" t="inlineStr">
        <is>
          <t>Садова пила обрізна з дерев'яною ручкою Strend Pro 300мм (226410),Словаччина</t>
        </is>
      </c>
      <c r="F488" s="21" t="inlineStr">
        <is>
          <t>Садова обрізна пила Bahco 4212-11-6T з дерев'яною ручкою, 280 мм</t>
        </is>
      </c>
      <c r="G488" s="23" t="n">
        <v>300</v>
      </c>
      <c r="H488" s="23" t="n">
        <v>890</v>
      </c>
      <c r="I488" s="21" t="inlineStr">
        <is>
          <t>назви схожі, але різні об'єми або розміри</t>
        </is>
      </c>
    </row>
    <row r="489">
      <c r="A489" s="22" t="n">
        <v>75.59999999999999</v>
      </c>
      <c r="B489" s="22" t="inlineStr">
        <is>
          <t>Водоспад</t>
        </is>
      </c>
      <c r="C489" s="22" t="inlineStr">
        <is>
          <t>PS-34</t>
        </is>
      </c>
      <c r="D489" s="22" t="inlineStr">
        <is>
          <t>42785</t>
        </is>
      </c>
      <c r="E489" s="21" t="inlineStr">
        <is>
          <t>Ножиці для топічної стрижки 270 мм Тобішо / Tobisho (PS-34) Японія</t>
        </is>
      </c>
      <c r="F489" s="21" t="inlineStr">
        <is>
          <t>Ножиці для топіарної стрижки з дужкою 230 мм. (PS-39D) TOBISHO</t>
        </is>
      </c>
      <c r="G489" s="23" t="n">
        <v>9999</v>
      </c>
      <c r="H489" s="23" t="n">
        <v>8699</v>
      </c>
      <c r="I489" s="21" t="inlineStr">
        <is>
          <t>назви схожі, але різні об'єми або розміри</t>
        </is>
      </c>
    </row>
    <row r="490">
      <c r="A490" s="22" t="n">
        <v>75.59999999999999</v>
      </c>
      <c r="B490" s="22" t="inlineStr">
        <is>
          <t>Водоспад</t>
        </is>
      </c>
      <c r="C490" s="22" t="inlineStr">
        <is>
          <t>3556.B</t>
        </is>
      </c>
      <c r="D490" s="22" t="inlineStr">
        <is>
          <t>39929</t>
        </is>
      </c>
      <c r="E490" s="21" t="inlineStr">
        <is>
          <t>Ножиці довгомірні для підрізування трави Bellota (3556.B) Іспанія</t>
        </is>
      </c>
      <c r="F490" s="21" t="inlineStr">
        <is>
          <t>Ножиці для трави Bellota (3555/B)</t>
        </is>
      </c>
      <c r="G490" s="23" t="n">
        <v>2314</v>
      </c>
      <c r="H490" s="23" t="n">
        <v>1029</v>
      </c>
      <c r="I490" s="21" t="inlineStr">
        <is>
          <t>назви схожі, але різні коди виробника</t>
        </is>
      </c>
    </row>
    <row r="491">
      <c r="A491" s="22" t="n">
        <v>75.59999999999999</v>
      </c>
      <c r="B491" s="22" t="inlineStr">
        <is>
          <t>Водоспад</t>
        </is>
      </c>
      <c r="C491" s="22" t="inlineStr">
        <is>
          <t>FB-7</t>
        </is>
      </c>
      <c r="D491" s="22" t="inlineStr">
        <is>
          <t>42731</t>
        </is>
      </c>
      <c r="E491" s="21" t="inlineStr">
        <is>
          <t>Секатор АРС / ARS (FB-7) садовий обвідний Японія</t>
        </is>
      </c>
      <c r="F491" s="21" t="inlineStr">
        <is>
          <t>Секатор ARS FB-7 зріз 19мм, обвідний (Довжина 18 см S) Японія</t>
        </is>
      </c>
      <c r="G491" s="23" t="n">
        <v>1365</v>
      </c>
      <c r="H491" s="23" t="n">
        <v>1369</v>
      </c>
      <c r="I491" s="21" t="inlineStr">
        <is>
          <t>назви схожі, різняться словами: довжина, зріз, садовий</t>
        </is>
      </c>
    </row>
    <row r="492">
      <c r="A492" s="22" t="n">
        <v>75.59999999999999</v>
      </c>
      <c r="B492" s="22" t="inlineStr">
        <is>
          <t>Водоспад</t>
        </is>
      </c>
      <c r="C492" s="22" t="inlineStr">
        <is>
          <t>555100400</t>
        </is>
      </c>
      <c r="D492" s="22" t="inlineStr">
        <is>
          <t>32812</t>
        </is>
      </c>
      <c r="E492" s="21" t="inlineStr">
        <is>
          <t>Точильний камінь Старк / Stark 1000/4000 гріт (555100400) Німеччина</t>
        </is>
      </c>
      <c r="F492" s="21" t="inlineStr">
        <is>
          <t>Точильний камінь TINA 940 (Німеччина)</t>
        </is>
      </c>
      <c r="G492" s="23" t="n">
        <v>300</v>
      </c>
      <c r="H492" s="23" t="n">
        <v>1370</v>
      </c>
      <c r="I492" s="21" t="inlineStr">
        <is>
          <t>назви схожі, але різні бренди</t>
        </is>
      </c>
    </row>
    <row r="493">
      <c r="A493" s="22" t="n">
        <v>75.59999999999999</v>
      </c>
      <c r="B493" s="22" t="inlineStr">
        <is>
          <t>Клуб Рослин</t>
        </is>
      </c>
      <c r="C493" s="22" t="inlineStr">
        <is>
          <t>BCL226</t>
        </is>
      </c>
      <c r="D493" s="22" t="inlineStr">
        <is>
          <t>12034</t>
        </is>
      </c>
      <c r="E493" s="21" t="inlineStr">
        <is>
          <t>Секатор акумуляторний Bahco BCL226 Швеція</t>
        </is>
      </c>
      <c r="F493" s="21" t="inlineStr">
        <is>
          <t>Секатор акумуляторний з електроприводом Bahco BCL22</t>
        </is>
      </c>
      <c r="G493" s="23" t="n">
        <v>11250</v>
      </c>
      <c r="H493" s="23" t="n">
        <v>59999</v>
      </c>
      <c r="I493" s="21" t="inlineStr">
        <is>
          <t>назви схожі, різняться словами: електроприводом</t>
        </is>
      </c>
    </row>
    <row r="494">
      <c r="A494" s="22" t="n">
        <v>75.59999999999999</v>
      </c>
      <c r="B494" s="22" t="inlineStr">
        <is>
          <t>Клуб Рослин</t>
        </is>
      </c>
      <c r="C494" s="22" t="inlineStr">
        <is>
          <t>1052044</t>
        </is>
      </c>
      <c r="D494" s="22" t="inlineStr">
        <is>
          <t>12330</t>
        </is>
      </c>
      <c r="E494" s="21" t="inlineStr">
        <is>
          <t>Сокира-колун Фіскарс Fiskars Solid A19 (1052044) Фінляндія</t>
        </is>
      </c>
      <c r="F494" s="21" t="inlineStr">
        <is>
          <t>Сокира колун Fiskars Solid L 122260</t>
        </is>
      </c>
      <c r="G494" s="23" t="n">
        <v>4599</v>
      </c>
      <c r="H494" s="23" t="n">
        <v>1512.5</v>
      </c>
      <c r="I494" s="21" t="inlineStr">
        <is>
          <t>назви схожі, але різні коди виробника</t>
        </is>
      </c>
    </row>
    <row r="495">
      <c r="A495" s="22" t="n">
        <v>75.59999999999999</v>
      </c>
      <c r="B495" s="22" t="inlineStr">
        <is>
          <t>Клуб Рослин</t>
        </is>
      </c>
      <c r="C495" s="22" t="inlineStr">
        <is>
          <t>P140-F</t>
        </is>
      </c>
      <c r="D495" s="22" t="inlineStr">
        <is>
          <t>12482</t>
        </is>
      </c>
      <c r="E495" s="21" t="inlineStr">
        <is>
          <t>Гілкоріз Bahco P140-F Бахо</t>
        </is>
      </c>
      <c r="F495" s="21" t="inlineStr">
        <is>
          <t>Сучкоріз Bahco P140-F</t>
        </is>
      </c>
      <c r="G495" s="23" t="n">
        <v>2925</v>
      </c>
      <c r="H495" s="23" t="n">
        <v>2590</v>
      </c>
      <c r="I495" s="21" t="inlineStr">
        <is>
          <t>назви схожі, різняться словами: бахо, гілкоріз, сучкоріз</t>
        </is>
      </c>
    </row>
    <row r="496">
      <c r="A496" s="22" t="n">
        <v>75.59999999999999</v>
      </c>
      <c r="B496" s="22" t="inlineStr">
        <is>
          <t>Клуб Рослин</t>
        </is>
      </c>
      <c r="C496" s="22" t="inlineStr">
        <is>
          <t>3.91.10</t>
        </is>
      </c>
      <c r="D496" s="22" t="inlineStr">
        <is>
          <t>10969</t>
        </is>
      </c>
      <c r="E496" s="21" t="inlineStr">
        <is>
          <t>​​​​​​​Ніж для щеплення Victorinox 3.91.10 Швейцарія</t>
        </is>
      </c>
      <c r="F496" s="21" t="inlineStr">
        <is>
          <t>Ніж для щеплення Victorinox 3.91.16 (Вікторінокс 3.91.16)</t>
        </is>
      </c>
      <c r="G496" s="23" t="n">
        <v>1699</v>
      </c>
      <c r="H496" s="23" t="n">
        <v>1990</v>
      </c>
      <c r="I496" s="21" t="inlineStr">
        <is>
          <t>назви схожі, різняться словами: вікторінокс</t>
        </is>
      </c>
    </row>
    <row r="497">
      <c r="A497" s="22" t="n">
        <v>75.59999999999999</v>
      </c>
      <c r="B497" s="22" t="inlineStr">
        <is>
          <t>Клуб Рослин</t>
        </is>
      </c>
      <c r="C497" s="22" t="inlineStr">
        <is>
          <t>3.90.20</t>
        </is>
      </c>
      <c r="D497" s="22" t="inlineStr">
        <is>
          <t>10967</t>
        </is>
      </c>
      <c r="E497" s="21" t="inlineStr">
        <is>
          <t>​​​​​​​Ніж для щеплення Victorinox 3.90.20 Швейцарія</t>
        </is>
      </c>
      <c r="F497" s="21" t="inlineStr">
        <is>
          <t>Ніж для щеплення Victorinox 3.90.60 (Вікторінокс 3.90.60)</t>
        </is>
      </c>
      <c r="G497" s="23" t="n">
        <v>1449</v>
      </c>
      <c r="H497" s="23" t="n">
        <v>919</v>
      </c>
      <c r="I497" s="21" t="inlineStr">
        <is>
          <t>назви схожі, різняться словами: вікторінокс</t>
        </is>
      </c>
    </row>
    <row r="498">
      <c r="A498" s="22" t="n">
        <v>75.59999999999999</v>
      </c>
      <c r="B498" s="22" t="inlineStr">
        <is>
          <t>Клуб Рослин</t>
        </is>
      </c>
      <c r="C498" s="22" t="inlineStr">
        <is>
          <t>3.90.10</t>
        </is>
      </c>
      <c r="D498" s="22" t="inlineStr">
        <is>
          <t>10967</t>
        </is>
      </c>
      <c r="E498" s="21" t="inlineStr">
        <is>
          <t>Ніж для щеплення Victorinox 3.90.10 Швейцарія</t>
        </is>
      </c>
      <c r="F498" s="21" t="inlineStr">
        <is>
          <t>Ніж для щеплення Victorinox 3.90.60 (Вікторінокс 3.90.60)</t>
        </is>
      </c>
      <c r="G498" s="23" t="n">
        <v>998</v>
      </c>
      <c r="H498" s="23" t="n">
        <v>919</v>
      </c>
      <c r="I498" s="21" t="inlineStr">
        <is>
          <t>назви схожі, різняться словами: вікторінокс</t>
        </is>
      </c>
    </row>
    <row r="499">
      <c r="A499" s="22" t="n">
        <v>75.59999999999999</v>
      </c>
      <c r="B499" s="22" t="inlineStr">
        <is>
          <t>Клуб Рослин</t>
        </is>
      </c>
      <c r="C499" s="22" t="inlineStr">
        <is>
          <t>11827</t>
        </is>
      </c>
      <c r="D499" s="22" t="inlineStr">
        <is>
          <t>10924</t>
        </is>
      </c>
      <c r="E499" s="21" t="inlineStr">
        <is>
          <t>Ніж Morakniv Companion MG Olive (11827) Mora Швеція</t>
        </is>
      </c>
      <c r="F499" s="21" t="inlineStr">
        <is>
          <t>Ніж Mora Morakniv 748 MG</t>
        </is>
      </c>
      <c r="G499" s="23" t="n">
        <v>699</v>
      </c>
      <c r="H499" s="23" t="n">
        <v>444</v>
      </c>
      <c r="I499" s="21" t="inlineStr">
        <is>
          <t>назви схожі, різняться словами: companion, olive</t>
        </is>
      </c>
    </row>
    <row r="500">
      <c r="A500" s="22" t="n">
        <v>75.5</v>
      </c>
      <c r="B500" s="22" t="inlineStr">
        <is>
          <t>Водоспад</t>
        </is>
      </c>
      <c r="C500" s="22" t="inlineStr">
        <is>
          <t>19</t>
        </is>
      </c>
      <c r="D500" s="22" t="inlineStr">
        <is>
          <t>37088</t>
        </is>
      </c>
      <c r="E500" s="21" t="inlineStr">
        <is>
          <t>Секатор Фелко / Felco 19 з пульверизатором Швейцарія</t>
        </is>
      </c>
      <c r="F500" s="21" t="inlineStr">
        <is>
          <t>Садовий секатор з пульверизатором FELCO 19 (Felco19)</t>
        </is>
      </c>
      <c r="G500" s="23" t="n">
        <v>11780</v>
      </c>
      <c r="H500" s="23" t="n">
        <v>11780</v>
      </c>
      <c r="I500" s="21" t="inlineStr">
        <is>
          <t>назви схожі, різняться словами: садовий, фелко</t>
        </is>
      </c>
    </row>
    <row r="501">
      <c r="A501" s="22" t="n">
        <v>75.5</v>
      </c>
      <c r="B501" s="22" t="inlineStr">
        <is>
          <t>Клуб Рослин</t>
        </is>
      </c>
      <c r="C501" s="22" t="inlineStr">
        <is>
          <t>BCL23</t>
        </is>
      </c>
      <c r="D501" s="22" t="inlineStr">
        <is>
          <t>12033</t>
        </is>
      </c>
      <c r="E501" s="21" t="inlineStr">
        <is>
          <t>Секатор акумуляторний Bahco BCL23 Швеція</t>
        </is>
      </c>
      <c r="F501" s="21" t="inlineStr">
        <is>
          <t>Секатор акумуляторний з електроприводом Bahco BCL21</t>
        </is>
      </c>
      <c r="G501" s="23" t="n">
        <v>49500</v>
      </c>
      <c r="H501" s="23" t="n">
        <v>49900</v>
      </c>
      <c r="I501" s="21" t="inlineStr">
        <is>
          <t>назви схожі, різняться словами: електроприводом</t>
        </is>
      </c>
    </row>
    <row r="502">
      <c r="A502" s="22" t="n">
        <v>75.5</v>
      </c>
      <c r="B502" s="22" t="inlineStr">
        <is>
          <t>Клуб Рослин</t>
        </is>
      </c>
      <c r="C502" s="22" t="inlineStr">
        <is>
          <t>354-36</t>
        </is>
      </c>
      <c r="D502" s="22" t="inlineStr">
        <is>
          <t>11228</t>
        </is>
      </c>
      <c r="E502" s="21" t="inlineStr">
        <is>
          <t>Пила садова складна Silky Bigboy 360-7 (354-36) Японія</t>
        </is>
      </c>
      <c r="F502" s="21" t="inlineStr">
        <is>
          <t>Пила Silky Bigboy 360-7 складна (Сілкі Бігбой)</t>
        </is>
      </c>
      <c r="G502" s="23" t="n">
        <v>3995</v>
      </c>
      <c r="H502" s="23" t="n">
        <v>3995</v>
      </c>
      <c r="I502" s="21" t="inlineStr">
        <is>
          <t>назви схожі, різняться словами: бігбой, сілкі, садова</t>
        </is>
      </c>
    </row>
    <row r="503">
      <c r="A503" s="22" t="n">
        <v>75.5</v>
      </c>
      <c r="B503" s="22" t="inlineStr">
        <is>
          <t>Клуб Рослин</t>
        </is>
      </c>
      <c r="C503" s="22" t="inlineStr">
        <is>
          <t>21002</t>
        </is>
      </c>
      <c r="D503" s="22" t="inlineStr">
        <is>
          <t>10447</t>
        </is>
      </c>
      <c r="E503" s="21" t="inlineStr">
        <is>
          <t>Опорне лезо для сучкоріза LOWE 21 Lowe 21002 Німеччина</t>
        </is>
      </c>
      <c r="F503" s="21" t="inlineStr">
        <is>
          <t>Лезо для сучкоріза Lowe 22 (22001)</t>
        </is>
      </c>
      <c r="G503" s="23" t="n">
        <v>1430</v>
      </c>
      <c r="H503" s="23" t="n">
        <v>1790</v>
      </c>
      <c r="I503" s="21" t="inlineStr">
        <is>
          <t>назви схожі, різняться словами: опорне</t>
        </is>
      </c>
    </row>
    <row r="504">
      <c r="A504" s="22" t="n">
        <v>75.40000000000001</v>
      </c>
      <c r="B504" s="22" t="inlineStr">
        <is>
          <t>Водоспад</t>
        </is>
      </c>
      <c r="C504" s="22" t="inlineStr">
        <is>
          <t>6.109</t>
        </is>
      </c>
      <c r="D504" s="22" t="inlineStr">
        <is>
          <t>32739</t>
        </is>
      </c>
      <c r="E504" s="21" t="inlineStr">
        <is>
          <t>Секатор із наковаленкою та оборотною ручкою Льове / Lowe Original (6.109) Німеччина</t>
        </is>
      </c>
      <c r="F504" s="21" t="inlineStr">
        <is>
          <t>Секатор з наковаленкою LOWE Original 1.102 (1.102)</t>
        </is>
      </c>
      <c r="G504" s="23" t="n">
        <v>3390</v>
      </c>
      <c r="H504" s="23" t="n">
        <v>1045</v>
      </c>
      <c r="I504" s="21" t="inlineStr">
        <is>
          <t>назви схожі, різняться словами: льове, оборотною, ручкою</t>
        </is>
      </c>
    </row>
    <row r="505">
      <c r="A505" s="22" t="n">
        <v>75.40000000000001</v>
      </c>
      <c r="B505" s="22" t="inlineStr">
        <is>
          <t>Водоспад</t>
        </is>
      </c>
      <c r="C505" s="22" t="inlineStr">
        <is>
          <t>1071936</t>
        </is>
      </c>
      <c r="D505" s="22" t="inlineStr">
        <is>
          <t>37397</t>
        </is>
      </c>
      <c r="E505" s="21" t="inlineStr">
        <is>
          <t>Вила для компосту Фіскарс / Fiskars Solid (1071936) Фінляндія</t>
        </is>
      </c>
      <c r="F505" s="21" t="inlineStr">
        <is>
          <t>Вили для компосту Fiskars Solid (1003459)</t>
        </is>
      </c>
      <c r="G505" s="23" t="n">
        <v>2549</v>
      </c>
      <c r="H505" s="23" t="n">
        <v>1099</v>
      </c>
      <c r="I505" s="21" t="inlineStr">
        <is>
          <t>назви схожі, але різні коди виробника</t>
        </is>
      </c>
    </row>
    <row r="506">
      <c r="A506" s="22" t="n">
        <v>75.40000000000001</v>
      </c>
      <c r="B506" s="22" t="inlineStr">
        <is>
          <t>Клуб Рослин</t>
        </is>
      </c>
      <c r="C506" s="22" t="inlineStr">
        <is>
          <t>AP_8-10-500</t>
        </is>
      </c>
      <c r="D506" s="22" t="inlineStr">
        <is>
          <t>16476</t>
        </is>
      </c>
      <c r="E506" s="21" t="inlineStr">
        <is>
          <t>Крапельна стрічка щілинна AquaPlus (Аква Плюс) 8 mil 10 см 500 м (AP_8-10-500) Україна</t>
        </is>
      </c>
      <c r="F506" s="21" t="inlineStr">
        <is>
          <t>Крапельна стрічка Aqua Plus (щільова) 8 мм × 30 см × 300 м Аква Плюс</t>
        </is>
      </c>
      <c r="G506" s="23" t="n">
        <v>1188</v>
      </c>
      <c r="H506" s="23" t="n">
        <v>669</v>
      </c>
      <c r="I506" s="21" t="inlineStr">
        <is>
          <t>назви схожі, але різні об'єми або розміри</t>
        </is>
      </c>
    </row>
    <row r="507">
      <c r="A507" s="22" t="n">
        <v>75.40000000000001</v>
      </c>
      <c r="B507" s="22" t="inlineStr">
        <is>
          <t>Клуб Рослин</t>
        </is>
      </c>
      <c r="C507" s="22" t="inlineStr">
        <is>
          <t>3294</t>
        </is>
      </c>
      <c r="D507" s="22" t="inlineStr">
        <is>
          <t>15604</t>
        </is>
      </c>
      <c r="E507" s="21" t="inlineStr">
        <is>
          <t>Фунгіцид Залізний купорос (Сульфат заліза) 25 кг Kütahya Kimya Туреччина</t>
        </is>
      </c>
      <c r="F507" s="21" t="inlineStr">
        <is>
          <t>Фунгіцид Залізний купорос (залізо сірчанокисле, сульфат заліза), 1 кг</t>
        </is>
      </c>
      <c r="G507" s="23" t="n">
        <v>800</v>
      </c>
      <c r="H507" s="23" t="n">
        <v>80</v>
      </c>
      <c r="I507" s="21" t="inlineStr">
        <is>
          <t>назви схожі, але різні об'єми або розміри</t>
        </is>
      </c>
    </row>
    <row r="508">
      <c r="A508" s="22" t="n">
        <v>75.40000000000001</v>
      </c>
      <c r="B508" s="22" t="inlineStr">
        <is>
          <t>Клуб Рослин</t>
        </is>
      </c>
      <c r="C508" s="22" t="inlineStr">
        <is>
          <t>2337</t>
        </is>
      </c>
      <c r="D508" s="22" t="inlineStr">
        <is>
          <t>14715</t>
        </is>
      </c>
      <c r="E508" s="21" t="inlineStr">
        <is>
          <t>Інсектицид Актара 25 WG ВГ 60 г Syngenta Сингента Швейцарія</t>
        </is>
      </c>
      <c r="F508" s="21" t="inlineStr">
        <is>
          <t>Інсектицид Актара 25 (тіаметоксам 250 г/кг) WG в.г. 6 г, Syngenta</t>
        </is>
      </c>
      <c r="G508" s="23" t="n">
        <v>448</v>
      </c>
      <c r="H508" s="23" t="n">
        <v>66</v>
      </c>
      <c r="I508" s="21" t="inlineStr">
        <is>
          <t>назви схожі, але різні об'єми або розміри</t>
        </is>
      </c>
    </row>
    <row r="509">
      <c r="A509" s="22" t="n">
        <v>75.40000000000001</v>
      </c>
      <c r="B509" s="22" t="inlineStr">
        <is>
          <t>Клуб Рослин</t>
        </is>
      </c>
      <c r="C509" s="22" t="inlineStr">
        <is>
          <t>2242</t>
        </is>
      </c>
      <c r="D509" s="22" t="inlineStr">
        <is>
          <t>14715</t>
        </is>
      </c>
      <c r="E509" s="21" t="inlineStr">
        <is>
          <t>Інсектицид Актара 25 WG ВГ 40 г Syngenta Сингента Швейцарія</t>
        </is>
      </c>
      <c r="F509" s="21" t="inlineStr">
        <is>
          <t>Інсектицид Актара 25 (тіаметоксам 250 г/кг) WG в.г. 6 г, Syngenta</t>
        </is>
      </c>
      <c r="G509" s="23" t="n">
        <v>425</v>
      </c>
      <c r="H509" s="23" t="n">
        <v>66</v>
      </c>
      <c r="I509" s="21" t="inlineStr">
        <is>
          <t>назви схожі, але різні об'єми або розміри</t>
        </is>
      </c>
    </row>
    <row r="510">
      <c r="A510" s="22" t="n">
        <v>75.3</v>
      </c>
      <c r="B510" s="22" t="inlineStr">
        <is>
          <t>Водоспад</t>
        </is>
      </c>
      <c r="C510" s="22" t="inlineStr">
        <is>
          <t>3.90.40</t>
        </is>
      </c>
      <c r="D510" s="22" t="inlineStr">
        <is>
          <t>32375</t>
        </is>
      </c>
      <c r="E510" s="21" t="inlineStr">
        <is>
          <t>Ніж для щеплення Victorinox 3.90.40 Швейцарія</t>
        </is>
      </c>
      <c r="F510" s="21" t="inlineStr">
        <is>
          <t>Ніж для щеплень FELCO Victorinox (3.90.20)</t>
        </is>
      </c>
      <c r="G510" s="23" t="n">
        <v>1290</v>
      </c>
      <c r="H510" s="23" t="n">
        <v>1449</v>
      </c>
      <c r="I510" s="21" t="inlineStr">
        <is>
          <t>назви схожі, різняться словами: felco, щеплення, щеплень</t>
        </is>
      </c>
    </row>
    <row r="511">
      <c r="A511" s="22" t="n">
        <v>75.3</v>
      </c>
      <c r="B511" s="22" t="inlineStr">
        <is>
          <t>Водоспад</t>
        </is>
      </c>
      <c r="C511" s="22" t="inlineStr">
        <is>
          <t>3.90.50</t>
        </is>
      </c>
      <c r="D511" s="22" t="inlineStr">
        <is>
          <t>32375</t>
        </is>
      </c>
      <c r="E511" s="21" t="inlineStr">
        <is>
          <t>Ніж для щеплення Victorinox 3.90.50 Швейцарія</t>
        </is>
      </c>
      <c r="F511" s="21" t="inlineStr">
        <is>
          <t>Ніж для щеплень FELCO Victorinox (3.90.20)</t>
        </is>
      </c>
      <c r="G511" s="23" t="n">
        <v>919</v>
      </c>
      <c r="H511" s="23" t="n">
        <v>1449</v>
      </c>
      <c r="I511" s="21" t="inlineStr">
        <is>
          <t>назви схожі, різняться словами: felco, щеплення, щеплень</t>
        </is>
      </c>
    </row>
    <row r="512">
      <c r="A512" s="22" t="n">
        <v>75.3</v>
      </c>
      <c r="B512" s="22" t="inlineStr">
        <is>
          <t>Водоспад</t>
        </is>
      </c>
      <c r="C512" s="22" t="inlineStr">
        <is>
          <t>3.90.60</t>
        </is>
      </c>
      <c r="D512" s="22" t="inlineStr">
        <is>
          <t>32375</t>
        </is>
      </c>
      <c r="E512" s="21" t="inlineStr">
        <is>
          <t>Ніж для щеплення Victorinox 3.90.60 Швейцарія</t>
        </is>
      </c>
      <c r="F512" s="21" t="inlineStr">
        <is>
          <t>Ніж для щеплень FELCO Victorinox (3.90.20)</t>
        </is>
      </c>
      <c r="G512" s="23" t="n">
        <v>919</v>
      </c>
      <c r="H512" s="23" t="n">
        <v>1449</v>
      </c>
      <c r="I512" s="21" t="inlineStr">
        <is>
          <t>назви схожі, різняться словами: felco, щеплення, щеплень</t>
        </is>
      </c>
    </row>
    <row r="513">
      <c r="A513" s="22" t="n">
        <v>75.3</v>
      </c>
      <c r="B513" s="22" t="inlineStr">
        <is>
          <t>Водоспад</t>
        </is>
      </c>
      <c r="C513" s="22" t="inlineStr">
        <is>
          <t>3621 INOX.B</t>
        </is>
      </c>
      <c r="D513" s="22" t="inlineStr">
        <is>
          <t>41531</t>
        </is>
      </c>
      <c r="E513" s="21" t="inlineStr">
        <is>
          <t>Секатор для збирання винограду (довгі леза) Bellota (3621 INOX.B) Іспанія</t>
        </is>
      </c>
      <c r="F513" s="21" t="inlineStr">
        <is>
          <t>Секатор Bellota для збирання винограду/зрізання часнику Bellota (3629)</t>
        </is>
      </c>
      <c r="G513" s="23" t="n">
        <v>585</v>
      </c>
      <c r="H513" s="23" t="n">
        <v>589</v>
      </c>
      <c r="I513" s="21" t="inlineStr">
        <is>
          <t>назви схожі, різняться словами: inox, довгі, зрізання та ще 2</t>
        </is>
      </c>
    </row>
    <row r="514">
      <c r="A514" s="22" t="n">
        <v>75.3</v>
      </c>
      <c r="B514" s="22" t="inlineStr">
        <is>
          <t>Водоспад</t>
        </is>
      </c>
      <c r="C514" s="22" t="inlineStr">
        <is>
          <t>3601-21.B</t>
        </is>
      </c>
      <c r="D514" s="22" t="inlineStr">
        <is>
          <t>42760</t>
        </is>
      </c>
      <c r="E514" s="21" t="inlineStr">
        <is>
          <t>Секатор 210 мм кований Bellota (3601-21.B) Іспанія</t>
        </is>
      </c>
      <c r="F514" s="21" t="inlineStr">
        <is>
          <t>Секатор 21 см, обвідний Bellota 23604-21</t>
        </is>
      </c>
      <c r="G514" s="23" t="n">
        <v>581</v>
      </c>
      <c r="H514" s="23" t="n">
        <v>1079</v>
      </c>
      <c r="I514" s="21" t="inlineStr">
        <is>
          <t>назви схожі, але різні коди виробника</t>
        </is>
      </c>
    </row>
    <row r="515">
      <c r="A515" s="22" t="n">
        <v>75.3</v>
      </c>
      <c r="B515" s="22" t="inlineStr">
        <is>
          <t>Клуб Рослин</t>
        </is>
      </c>
      <c r="C515" s="22" t="inlineStr">
        <is>
          <t>350-36</t>
        </is>
      </c>
      <c r="D515" s="22" t="inlineStr">
        <is>
          <t>11227</t>
        </is>
      </c>
      <c r="E515" s="21" t="inlineStr">
        <is>
          <t>Пилка складна Silky Bigboy 360-10 (350-36) Японія</t>
        </is>
      </c>
      <c r="F515" s="21" t="inlineStr">
        <is>
          <t>Пила Silky Bigboy 360-10 складна (Сілкі Бігбой)</t>
        </is>
      </c>
      <c r="G515" s="23" t="n">
        <v>3995</v>
      </c>
      <c r="H515" s="23" t="n">
        <v>3995</v>
      </c>
      <c r="I515" s="21" t="inlineStr">
        <is>
          <t>назви схожі, різняться словами: бігбой, пила, пилка та ще 1</t>
        </is>
      </c>
    </row>
    <row r="516">
      <c r="A516" s="22" t="n">
        <v>75.3</v>
      </c>
      <c r="B516" s="22" t="inlineStr">
        <is>
          <t>Клуб Рослин</t>
        </is>
      </c>
      <c r="C516" s="22" t="inlineStr">
        <is>
          <t>3.91.40</t>
        </is>
      </c>
      <c r="D516" s="22" t="inlineStr">
        <is>
          <t>10964</t>
        </is>
      </c>
      <c r="E516" s="21" t="inlineStr">
        <is>
          <t>​​​​​​​Ніж для щеплення Victorinox 3.91.40 Швейцарія</t>
        </is>
      </c>
      <c r="F516" s="21" t="inlineStr">
        <is>
          <t>Ніж для щеплення Victorinox 3.90.40 (Вікторінокс 3.90.40)</t>
        </is>
      </c>
      <c r="G516" s="23" t="n">
        <v>1799</v>
      </c>
      <c r="H516" s="23" t="n">
        <v>1290</v>
      </c>
      <c r="I516" s="21" t="inlineStr">
        <is>
          <t>назви схожі, різняться словами: вікторінокс</t>
        </is>
      </c>
    </row>
    <row r="517">
      <c r="A517" s="22" t="n">
        <v>75.3</v>
      </c>
      <c r="B517" s="22" t="inlineStr">
        <is>
          <t>Клуб Рослин</t>
        </is>
      </c>
      <c r="C517" s="22" t="inlineStr">
        <is>
          <t>7468</t>
        </is>
      </c>
      <c r="D517" s="22" t="inlineStr">
        <is>
          <t>9224</t>
        </is>
      </c>
      <c r="E517" s="21" t="inlineStr">
        <is>
          <t>Добриво Цинк 1 л SmartGrow Україна</t>
        </is>
      </c>
      <c r="F517" s="21" t="inlineStr">
        <is>
          <t>Добриво SmartGrow ЦИНК хелатне мікродобриво EDTA Смарт Гроу, 1 л</t>
        </is>
      </c>
      <c r="G517" s="23" t="n">
        <v>215</v>
      </c>
      <c r="H517" s="23" t="n">
        <v>183</v>
      </c>
      <c r="I517" s="21" t="inlineStr">
        <is>
          <t>назви схожі, різняться словами: edta, гроу, мікродобриво та ще 2</t>
        </is>
      </c>
    </row>
    <row r="518">
      <c r="A518" s="22" t="n">
        <v>75.2</v>
      </c>
      <c r="B518" s="22" t="inlineStr">
        <is>
          <t>Водоспад</t>
        </is>
      </c>
      <c r="C518" s="22" t="inlineStr">
        <is>
          <t>23523-21.B</t>
        </is>
      </c>
      <c r="D518" s="22" t="inlineStr">
        <is>
          <t>42422</t>
        </is>
      </c>
      <c r="E518" s="21" t="inlineStr">
        <is>
          <t>Секатор 210 мм Bellota (23523-21.B) Іспанія</t>
        </is>
      </c>
      <c r="F518" s="21" t="inlineStr">
        <is>
          <t>Секатор 210 мм, різ 25 мм Bellota, арт.23523-21</t>
        </is>
      </c>
      <c r="G518" s="23" t="n">
        <v>769</v>
      </c>
      <c r="H518" s="23" t="n">
        <v>769</v>
      </c>
      <c r="I518" s="21" t="inlineStr">
        <is>
          <t>назви схожі, але різні коди виробника</t>
        </is>
      </c>
    </row>
    <row r="519">
      <c r="A519" s="22" t="n">
        <v>75.2</v>
      </c>
      <c r="B519" s="22" t="inlineStr">
        <is>
          <t>Клуб Рослин</t>
        </is>
      </c>
      <c r="C519" s="22" t="inlineStr">
        <is>
          <t>1020125</t>
        </is>
      </c>
      <c r="D519" s="22" t="inlineStr">
        <is>
          <t>9844</t>
        </is>
      </c>
      <c r="E519" s="21" t="inlineStr">
        <is>
          <t>Інструмент для видалення бур’янів Фіскарс / Fiskars SmartFit телескопічний 139960 1020125) Фінляндія</t>
        </is>
      </c>
      <c r="F519" s="21" t="inlineStr">
        <is>
          <t>Інструмент для видалення бур'янів Fiskars QuikFit 139970</t>
        </is>
      </c>
      <c r="G519" s="23" t="n">
        <v>3999</v>
      </c>
      <c r="H519" s="23" t="n">
        <v>504</v>
      </c>
      <c r="I519" s="21" t="inlineStr">
        <is>
          <t>назви схожі, але різні коди виробника</t>
        </is>
      </c>
    </row>
    <row r="520">
      <c r="A520" s="22" t="n">
        <v>75.2</v>
      </c>
      <c r="B520" s="22" t="inlineStr">
        <is>
          <t>Клуб Рослин</t>
        </is>
      </c>
      <c r="C520" s="22" t="inlineStr">
        <is>
          <t>3186</t>
        </is>
      </c>
      <c r="D520" s="22" t="inlineStr">
        <is>
          <t>16168</t>
        </is>
      </c>
      <c r="E520" s="21" t="inlineStr">
        <is>
          <t>Фунгіцид Айрон Залізний купорос 10 кг Агрохімпак Україна</t>
        </is>
      </c>
      <c r="F520" s="21" t="inlineStr">
        <is>
          <t>Фунгіцид Залізний купорос Садівник (сульфат заліза) 500 г, Агрохімпак</t>
        </is>
      </c>
      <c r="G520" s="23" t="n">
        <v>426</v>
      </c>
      <c r="H520" s="23" t="n">
        <v>40</v>
      </c>
      <c r="I520" s="21" t="inlineStr">
        <is>
          <t>назви схожі, але різні об'єми або розміри</t>
        </is>
      </c>
    </row>
    <row r="521">
      <c r="A521" s="22" t="n">
        <v>75.2</v>
      </c>
      <c r="B521" s="22" t="inlineStr">
        <is>
          <t>Клуб Рослин</t>
        </is>
      </c>
      <c r="C521" s="22" t="inlineStr">
        <is>
          <t>3198</t>
        </is>
      </c>
      <c r="D521" s="22" t="inlineStr">
        <is>
          <t>14744</t>
        </is>
      </c>
      <c r="E521" s="21" t="inlineStr">
        <is>
          <t>Фунгіцид Амістар Голд 250 SC 100 мл Syngenta Швейцарія</t>
        </is>
      </c>
      <c r="F521" s="21" t="inlineStr">
        <is>
          <t>Фунгіцид Амістар Голд 250 (азоксистробін 125 г/л + дифенконазол 125 г/л) SC к.с. 100 мл, Syngenta</t>
        </is>
      </c>
      <c r="G521" s="23" t="n">
        <v>275</v>
      </c>
      <c r="H521" s="23" t="n">
        <v>275</v>
      </c>
      <c r="I521" s="21" t="inlineStr">
        <is>
          <t>назви схожі, різняться словами: азоксистробін, дифенконазол</t>
        </is>
      </c>
    </row>
    <row r="522">
      <c r="A522" s="22" t="n">
        <v>75.09999999999999</v>
      </c>
      <c r="B522" s="22" t="inlineStr">
        <is>
          <t>Водоспад</t>
        </is>
      </c>
      <c r="C522" s="22" t="inlineStr">
        <is>
          <t>HT-B1</t>
        </is>
      </c>
      <c r="D522" s="22" t="inlineStr">
        <is>
          <t>38886</t>
        </is>
      </c>
      <c r="E522" s="21" t="inlineStr">
        <is>
          <t>Степлер підв'язувальний MAX Tapener HT-B1</t>
        </is>
      </c>
      <c r="F522" s="21" t="inlineStr">
        <is>
          <t>Степлер садовий для підв`язки (Тапенер) Max Tapener HT-B1</t>
        </is>
      </c>
      <c r="G522" s="23" t="n">
        <v>2190</v>
      </c>
      <c r="H522" s="23" t="n">
        <v>2190</v>
      </c>
      <c r="I522" s="21" t="inlineStr">
        <is>
          <t>назви схожі, різняться словами: підвязки, підвязувальний, садовий та ще 1</t>
        </is>
      </c>
    </row>
    <row r="523">
      <c r="A523" s="22" t="n">
        <v>75.09999999999999</v>
      </c>
      <c r="B523" s="22" t="inlineStr">
        <is>
          <t>Клуб Рослин</t>
        </is>
      </c>
      <c r="C523" s="22" t="inlineStr">
        <is>
          <t>1001705</t>
        </is>
      </c>
      <c r="D523" s="22" t="inlineStr">
        <is>
          <t>12353</t>
        </is>
      </c>
      <c r="E523" s="21" t="inlineStr">
        <is>
          <t>Сокира-молот Фіскарс Fiskars X46 (1001705) Фінляндія</t>
        </is>
      </c>
      <c r="F523" s="21" t="inlineStr">
        <is>
          <t>Сокира-молот Fiskars 2500</t>
        </is>
      </c>
      <c r="G523" s="23" t="n">
        <v>5999</v>
      </c>
      <c r="H523" s="23" t="n">
        <v>2236.1</v>
      </c>
      <c r="I523" s="21" t="inlineStr">
        <is>
          <t>назви схожі, різняться словами: фінляндія, фіскарс</t>
        </is>
      </c>
    </row>
    <row r="524">
      <c r="A524" s="22" t="n">
        <v>75.09999999999999</v>
      </c>
      <c r="B524" s="22" t="inlineStr">
        <is>
          <t>Клуб Рослин</t>
        </is>
      </c>
      <c r="C524" s="22" t="inlineStr">
        <is>
          <t>3578-TEL.B</t>
        </is>
      </c>
      <c r="D524" s="22" t="inlineStr">
        <is>
          <t>11877</t>
        </is>
      </c>
      <c r="E524" s="21" t="inlineStr">
        <is>
          <t>Гілкоріз (секатор дворучний) телескопічний 600/900 мм 3578-TEL.B Bellota (Іспанія)</t>
        </is>
      </c>
      <c r="F524" s="21" t="inlineStr">
        <is>
          <t>Секатор Bellota 3612 телескопічний</t>
        </is>
      </c>
      <c r="G524" s="23" t="n">
        <v>3169</v>
      </c>
      <c r="H524" s="23" t="n">
        <v>3429</v>
      </c>
      <c r="I524" s="21" t="inlineStr">
        <is>
          <t>назви схожі, різняться словами: гілкоріз, дворучний</t>
        </is>
      </c>
    </row>
    <row r="525">
      <c r="A525" s="22" t="n">
        <v>75.09999999999999</v>
      </c>
      <c r="B525" s="22" t="inlineStr">
        <is>
          <t>Клуб Рослин</t>
        </is>
      </c>
      <c r="C525" s="22" t="inlineStr">
        <is>
          <t>3440-TEL.B</t>
        </is>
      </c>
      <c r="D525" s="22" t="inlineStr">
        <is>
          <t>11877</t>
        </is>
      </c>
      <c r="E525" s="21" t="inlineStr">
        <is>
          <t>Гілкоріз (секатор дворучний) телескопічний 600/900 мм 3440-TEL.B Bellota (Іспанія)</t>
        </is>
      </c>
      <c r="F525" s="21" t="inlineStr">
        <is>
          <t>Секатор Bellota 3612 телескопічний</t>
        </is>
      </c>
      <c r="G525" s="23" t="n">
        <v>1522</v>
      </c>
      <c r="H525" s="23" t="n">
        <v>3429</v>
      </c>
      <c r="I525" s="21" t="inlineStr">
        <is>
          <t>назви схожі, різняться словами: гілкоріз, дворучний</t>
        </is>
      </c>
    </row>
    <row r="526">
      <c r="A526" s="22" t="n">
        <v>75</v>
      </c>
      <c r="B526" s="22" t="inlineStr">
        <is>
          <t>Водоспад</t>
        </is>
      </c>
      <c r="C526" s="22" t="inlineStr">
        <is>
          <t>200А-60</t>
        </is>
      </c>
      <c r="D526" s="22" t="inlineStr">
        <is>
          <t>42520</t>
        </is>
      </c>
      <c r="E526" s="21" t="inlineStr">
        <is>
          <t>Сучкоріз / Гілкоріз Felco 200A-60</t>
        </is>
      </c>
      <c r="F526" s="21" t="inlineStr">
        <is>
          <t>Сучкоріз FELCO 201-60 (60 см)</t>
        </is>
      </c>
      <c r="G526" s="23" t="n">
        <v>4690</v>
      </c>
      <c r="H526" s="23" t="n">
        <v>4690</v>
      </c>
      <c r="I526" s="21" t="inlineStr">
        <is>
          <t>назви схожі, різняться словами: гілкоріз</t>
        </is>
      </c>
    </row>
    <row r="527">
      <c r="A527" s="22" t="n">
        <v>75</v>
      </c>
      <c r="B527" s="22" t="inlineStr">
        <is>
          <t>Водоспад</t>
        </is>
      </c>
      <c r="C527" s="22" t="inlineStr">
        <is>
          <t>200a-60</t>
        </is>
      </c>
      <c r="D527" s="22" t="inlineStr">
        <is>
          <t>42520</t>
        </is>
      </c>
      <c r="E527" s="21" t="inlineStr">
        <is>
          <t>Сучкоріз / Гілкоріз Felco 200A-60</t>
        </is>
      </c>
      <c r="F527" s="21" t="inlineStr">
        <is>
          <t>Сучкоріз FELCO 201-60 (60 см)</t>
        </is>
      </c>
      <c r="G527" s="23" t="n">
        <v>4690</v>
      </c>
      <c r="H527" s="23" t="n">
        <v>4690</v>
      </c>
      <c r="I527" s="21" t="inlineStr">
        <is>
          <t>назви схожі, різняться словами: гілкоріз</t>
        </is>
      </c>
    </row>
    <row r="528">
      <c r="A528" s="22" t="n">
        <v>75</v>
      </c>
      <c r="B528" s="22" t="inlineStr">
        <is>
          <t>Водоспад</t>
        </is>
      </c>
      <c r="C528" s="22" t="inlineStr">
        <is>
          <t>9387/19LN</t>
        </is>
      </c>
      <c r="D528" s="22" t="inlineStr">
        <is>
          <t>40605</t>
        </is>
      </c>
      <c r="E528" s="21" t="inlineStr">
        <is>
          <t>Ніж грибника Антоніні / Antonini 19.8 см Old Bear (9387/19LN) Італія</t>
        </is>
      </c>
      <c r="F528" s="21" t="inlineStr">
        <is>
          <t>Ніж Antonini Old Bear</t>
        </is>
      </c>
      <c r="G528" s="23" t="n">
        <v>1490</v>
      </c>
      <c r="H528" s="23" t="n">
        <v>820</v>
      </c>
      <c r="I528" s="21" t="inlineStr">
        <is>
          <t>назви схожі, різняться словами: антоніні, грибника</t>
        </is>
      </c>
    </row>
    <row r="529">
      <c r="A529" s="22" t="n">
        <v>75</v>
      </c>
      <c r="B529" s="22" t="inlineStr">
        <is>
          <t>Клуб Рослин</t>
        </is>
      </c>
      <c r="C529" s="22" t="inlineStr">
        <is>
          <t>19</t>
        </is>
      </c>
      <c r="D529" s="22" t="inlineStr">
        <is>
          <t>11742</t>
        </is>
      </c>
      <c r="E529" s="21" t="inlineStr">
        <is>
          <t>Секатор Фелко / Felco 19 з пульверизатором Швейцарія</t>
        </is>
      </c>
      <c r="F529" s="21" t="inlineStr">
        <is>
          <t>Садовий секатор FELCO 19 великий обвідний ергономічний з пульверизатором (Фелко 19)</t>
        </is>
      </c>
      <c r="G529" s="23" t="n">
        <v>11780</v>
      </c>
      <c r="H529" s="23" t="n">
        <v>11780</v>
      </c>
      <c r="I529" s="21" t="inlineStr">
        <is>
          <t>назви схожі, різняться словами: великий, ергономічний, обвідний та ще 1</t>
        </is>
      </c>
    </row>
    <row r="530">
      <c r="A530" s="22" t="n">
        <v>75</v>
      </c>
      <c r="B530" s="22" t="inlineStr">
        <is>
          <t>Клуб Рослин</t>
        </is>
      </c>
      <c r="C530" s="22" t="inlineStr">
        <is>
          <t>641/10</t>
        </is>
      </c>
      <c r="D530" s="22" t="inlineStr">
        <is>
          <t>10945</t>
        </is>
      </c>
      <c r="E530" s="21" t="inlineStr">
        <is>
          <t>Щеплювальний ніж Тіна / Tina (641/10) Німеччина</t>
        </is>
      </c>
      <c r="F530" s="21" t="inlineStr">
        <is>
          <t>Ніж Tina 641/10</t>
        </is>
      </c>
      <c r="G530" s="23" t="n">
        <v>5999</v>
      </c>
      <c r="H530" s="23" t="n">
        <v>5999</v>
      </c>
      <c r="I530" s="21" t="inlineStr">
        <is>
          <t>назви схожі, різняться словами: тіна, щеплювальний</t>
        </is>
      </c>
    </row>
    <row r="531">
      <c r="A531" s="22" t="n">
        <v>75</v>
      </c>
      <c r="B531" s="22" t="inlineStr">
        <is>
          <t>Клуб Рослин</t>
        </is>
      </c>
      <c r="C531" s="22" t="inlineStr">
        <is>
          <t>640/10</t>
        </is>
      </c>
      <c r="D531" s="22" t="inlineStr">
        <is>
          <t>10943</t>
        </is>
      </c>
      <c r="E531" s="21" t="inlineStr">
        <is>
          <t>Щеплювальний ніж Тіна / Tina (640/10) Німеччина</t>
        </is>
      </c>
      <c r="F531" s="21" t="inlineStr">
        <is>
          <t>Ніж Tina 640/10</t>
        </is>
      </c>
      <c r="G531" s="23" t="n">
        <v>5699</v>
      </c>
      <c r="H531" s="23" t="n">
        <v>5299</v>
      </c>
      <c r="I531" s="21" t="inlineStr">
        <is>
          <t>назви схожі, різняться словами: тіна, щеплювальний</t>
        </is>
      </c>
    </row>
    <row r="532">
      <c r="A532" s="22" t="n">
        <v>75</v>
      </c>
      <c r="B532" s="22" t="inlineStr">
        <is>
          <t>Клуб Рослин</t>
        </is>
      </c>
      <c r="C532" s="22" t="inlineStr">
        <is>
          <t>600/11</t>
        </is>
      </c>
      <c r="D532" s="22" t="inlineStr">
        <is>
          <t>10933</t>
        </is>
      </c>
      <c r="E532" s="21" t="inlineStr">
        <is>
          <t>Щеплювальний ніж Тіна / Tina (600/11) Німеччина</t>
        </is>
      </c>
      <c r="F532" s="21" t="inlineStr">
        <is>
          <t>Ніж Tina 600/11</t>
        </is>
      </c>
      <c r="G532" s="23" t="n">
        <v>5499</v>
      </c>
      <c r="H532" s="23" t="n">
        <v>5499</v>
      </c>
      <c r="I532" s="21" t="inlineStr">
        <is>
          <t>назви схожі, різняться словами: тіна, щеплювальний</t>
        </is>
      </c>
    </row>
    <row r="533">
      <c r="A533" s="22" t="n">
        <v>75</v>
      </c>
      <c r="B533" s="22" t="inlineStr">
        <is>
          <t>Клуб Рослин</t>
        </is>
      </c>
      <c r="C533" s="22" t="inlineStr">
        <is>
          <t>AP_8-20-1000</t>
        </is>
      </c>
      <c r="D533" s="22" t="inlineStr">
        <is>
          <t>16475</t>
        </is>
      </c>
      <c r="E533" s="21" t="inlineStr">
        <is>
          <t>Крапельна стрічка щілинна AquaPlus (Аква Плюс) 8 mil 20 см 1000 м (AP_8-20-1000) Україна</t>
        </is>
      </c>
      <c r="F533" s="21" t="inlineStr">
        <is>
          <t>Крапельна стрічка Aqua Plus (щільова) 8 мм × 20 см × 300 м Аква Плюс</t>
        </is>
      </c>
      <c r="G533" s="23" t="n">
        <v>2327</v>
      </c>
      <c r="H533" s="23" t="n">
        <v>669</v>
      </c>
      <c r="I533" s="21" t="inlineStr">
        <is>
          <t>назви схожі, але різні об'єми або розміри</t>
        </is>
      </c>
    </row>
    <row r="534">
      <c r="A534" s="22" t="n">
        <v>75</v>
      </c>
      <c r="B534" s="22" t="inlineStr">
        <is>
          <t>Клуб Рослин</t>
        </is>
      </c>
      <c r="C534" s="22" t="inlineStr">
        <is>
          <t>143-18</t>
        </is>
      </c>
      <c r="D534" s="22" t="inlineStr">
        <is>
          <t>11229</t>
        </is>
      </c>
      <c r="E534" s="21" t="inlineStr">
        <is>
          <t>Садова складна пилка Silky F-180-7,5 (143-18) Японія</t>
        </is>
      </c>
      <c r="F534" s="21" t="inlineStr">
        <is>
          <t>Пила Silky F-180-7,5 складна (Сілкі F180)</t>
        </is>
      </c>
      <c r="G534" s="23" t="n">
        <v>1490</v>
      </c>
      <c r="H534" s="23" t="n">
        <v>1490</v>
      </c>
      <c r="I534" s="21" t="inlineStr">
        <is>
          <t>назви схожі, але різні коди виробника</t>
        </is>
      </c>
    </row>
    <row r="535">
      <c r="A535" s="22" t="n">
        <v>75</v>
      </c>
      <c r="B535" s="22" t="inlineStr">
        <is>
          <t>Клуб Рослин</t>
        </is>
      </c>
      <c r="C535" s="22" t="inlineStr">
        <is>
          <t>4980005N</t>
        </is>
      </c>
      <c r="D535" s="22" t="inlineStr">
        <is>
          <t>11355</t>
        </is>
      </c>
      <c r="E535" s="21" t="inlineStr">
        <is>
          <t>Стрічка-плівка для щеплення Agrichem 50 м (32мм х 0.1мм) без перфорації (самоклейна) (4980005N) Італія</t>
        </is>
      </c>
      <c r="F535" s="21" t="inlineStr">
        <is>
          <t>Плівка для щеплення MaxiFilm без перфорації 32мм х 70м, 1 рулон, стрічка Максіфільм</t>
        </is>
      </c>
      <c r="G535" s="23" t="n">
        <v>795</v>
      </c>
      <c r="H535" s="23" t="n">
        <v>740</v>
      </c>
      <c r="I535" s="21" t="inlineStr">
        <is>
          <t>назви схожі, але різні об'єми або розміри</t>
        </is>
      </c>
    </row>
    <row r="536">
      <c r="A536" s="22" t="n">
        <v>74.8</v>
      </c>
      <c r="B536" s="22" t="inlineStr">
        <is>
          <t>Водоспад</t>
        </is>
      </c>
      <c r="C536" s="22" t="inlineStr">
        <is>
          <t>1062936</t>
        </is>
      </c>
      <c r="D536" s="22" t="inlineStr">
        <is>
          <t>37201</t>
        </is>
      </c>
      <c r="E536" s="21" t="inlineStr">
        <is>
          <t>Сокира-молот Фіскарс / Fiskars Pro IsoCore (1062936) Фінляндія</t>
        </is>
      </c>
      <c r="F536" s="21" t="inlineStr">
        <is>
          <t>Сокира-молот Fiskars IsoCore (XXL) (1020220)</t>
        </is>
      </c>
      <c r="G536" s="23" t="n">
        <v>4399</v>
      </c>
      <c r="H536" s="23" t="n">
        <v>4299</v>
      </c>
      <c r="I536" s="21" t="inlineStr">
        <is>
          <t>назви схожі, але різні коди виробника</t>
        </is>
      </c>
    </row>
    <row r="537">
      <c r="A537" s="22" t="n">
        <v>74.8</v>
      </c>
      <c r="B537" s="22" t="inlineStr">
        <is>
          <t>Водоспад</t>
        </is>
      </c>
      <c r="C537" s="22" t="inlineStr">
        <is>
          <t>210/33</t>
        </is>
      </c>
      <c r="D537" s="22" t="inlineStr">
        <is>
          <t>36615</t>
        </is>
      </c>
      <c r="E537" s="21" t="inlineStr">
        <is>
          <t>Пила 330 мм Due Buoi RS 210/33 Італія</t>
        </is>
      </c>
      <c r="F537" s="21" t="inlineStr">
        <is>
          <t>Пила 330 мм Due Buoi RS 210/33 (8 зубів/ 30 мм; висота зуба 6 мм)</t>
        </is>
      </c>
      <c r="G537" s="23" t="n">
        <v>1490</v>
      </c>
      <c r="H537" s="23" t="n">
        <v>1399</v>
      </c>
      <c r="I537" s="21" t="inlineStr">
        <is>
          <t>назви схожі, різняться словами: висота, зубів, зуба</t>
        </is>
      </c>
    </row>
    <row r="538">
      <c r="A538" s="22" t="n">
        <v>74.8</v>
      </c>
      <c r="B538" s="22" t="inlineStr">
        <is>
          <t>Клуб Рослин</t>
        </is>
      </c>
      <c r="C538" s="22" t="inlineStr">
        <is>
          <t>3629 INOX.B</t>
        </is>
      </c>
      <c r="D538" s="22" t="inlineStr">
        <is>
          <t>11883</t>
        </is>
      </c>
      <c r="E538" s="21" t="inlineStr">
        <is>
          <t>Секатор для збору винограду (довгі леза) Bellota (3629 INOX.B) Іспанія</t>
        </is>
      </c>
      <c r="F538" s="21" t="inlineStr">
        <is>
          <t>Секатор Bellota 3629 INOX для збору винограду і фруктів типу ножиці (Беллота 3629)</t>
        </is>
      </c>
      <c r="G538" s="23" t="n">
        <v>585</v>
      </c>
      <c r="H538" s="23" t="n">
        <v>585</v>
      </c>
      <c r="I538" s="21" t="inlineStr">
        <is>
          <t>назви схожі, але різні коди виробника</t>
        </is>
      </c>
    </row>
    <row r="539">
      <c r="A539" s="22" t="n">
        <v>74.8</v>
      </c>
      <c r="B539" s="22" t="inlineStr">
        <is>
          <t>Клуб Рослин</t>
        </is>
      </c>
      <c r="C539" s="22" t="inlineStr">
        <is>
          <t>7209</t>
        </is>
      </c>
      <c r="D539" s="22" t="inlineStr">
        <is>
          <t>9304</t>
        </is>
      </c>
      <c r="E539" s="21" t="inlineStr">
        <is>
          <t>Добриво сульфат калію Солюпотас 1 кг Бельгія</t>
        </is>
      </c>
      <c r="F539" s="21" t="inlineStr">
        <is>
          <t>Добриво водорозчинне SoluPotasse Калію Сульфат - 51% K2O, 25 кг Солюпотас для фертигації</t>
        </is>
      </c>
      <c r="G539" s="23" t="n">
        <v>275</v>
      </c>
      <c r="H539" s="23" t="n">
        <v>1650</v>
      </c>
      <c r="I539" s="21" t="inlineStr">
        <is>
          <t>назви схожі, але різні об'єми або розміри</t>
        </is>
      </c>
    </row>
    <row r="540">
      <c r="A540" s="22" t="n">
        <v>74.7</v>
      </c>
      <c r="B540" s="22" t="inlineStr">
        <is>
          <t>Водоспад</t>
        </is>
      </c>
      <c r="C540" s="22" t="inlineStr">
        <is>
          <t>29604RE330.A</t>
        </is>
      </c>
      <c r="D540" s="22" t="inlineStr">
        <is>
          <t>42752</t>
        </is>
      </c>
      <c r="E540" s="21" t="inlineStr">
        <is>
          <t>Ножівка садова професійна з чохлом 330 мм японська заточка (29604RE330.A) Altuna Іспанія</t>
        </is>
      </c>
      <c r="F540" s="21" t="inlineStr">
        <is>
          <t>Пила садова з чохлом 330 мм, Altuna 29604RE330 (Bellota)</t>
        </is>
      </c>
      <c r="G540" s="23" t="n">
        <v>1559</v>
      </c>
      <c r="H540" s="23" t="n">
        <v>1559</v>
      </c>
      <c r="I540" s="21" t="inlineStr">
        <is>
          <t>назви схожі, але різні коди виробника</t>
        </is>
      </c>
    </row>
    <row r="541">
      <c r="A541" s="22" t="n">
        <v>74.7</v>
      </c>
      <c r="B541" s="22" t="inlineStr">
        <is>
          <t>Водоспад</t>
        </is>
      </c>
      <c r="C541" s="22" t="inlineStr">
        <is>
          <t>5116/N</t>
        </is>
      </c>
      <c r="D541" s="22" t="inlineStr">
        <is>
          <t>43487</t>
        </is>
      </c>
      <c r="E541" s="21" t="inlineStr">
        <is>
          <t>Ніж для щеплення з відокремлювачем кори Антоніні / Antonini (5116/N) Італія</t>
        </is>
      </c>
      <c r="F541" s="21" t="inlineStr">
        <is>
          <t>Ніж садовий для щеплення ANTONINI PRO 5016/L, C67, Sapelli, 170 мм, з відокремлювачем кори</t>
        </is>
      </c>
      <c r="G541" s="23" t="n">
        <v>1490</v>
      </c>
      <c r="H541" s="23" t="n">
        <v>1260</v>
      </c>
      <c r="I541" s="21" t="inlineStr">
        <is>
          <t>назви схожі, різняться словами: pro, sapelli, антоніні та ще 1</t>
        </is>
      </c>
    </row>
    <row r="542">
      <c r="A542" s="22" t="n">
        <v>74.7</v>
      </c>
      <c r="B542" s="22" t="inlineStr">
        <is>
          <t>Клуб Рослин</t>
        </is>
      </c>
      <c r="C542" s="22" t="inlineStr">
        <is>
          <t>550</t>
        </is>
      </c>
      <c r="D542" s="22" t="inlineStr">
        <is>
          <t>15814</t>
        </is>
      </c>
      <c r="E542" s="21" t="inlineStr">
        <is>
          <t>Кущоріз Камакі / Kamaki (550) Японія</t>
        </is>
      </c>
      <c r="F542" s="21" t="inlineStr">
        <is>
          <t>Садові ножиці Kamaki 550 японські (кущорізи Камакі 550)</t>
        </is>
      </c>
      <c r="G542" s="23" t="n">
        <v>3380</v>
      </c>
      <c r="H542" s="23" t="n">
        <v>3380</v>
      </c>
      <c r="I542" s="21" t="inlineStr">
        <is>
          <t>назви схожі, різняться словами: кущоріз, кущорізи, ножиці та ще 2</t>
        </is>
      </c>
    </row>
    <row r="543">
      <c r="A543" s="22" t="n">
        <v>74.7</v>
      </c>
      <c r="B543" s="22" t="inlineStr">
        <is>
          <t>Клуб Рослин</t>
        </is>
      </c>
      <c r="C543" s="22" t="inlineStr">
        <is>
          <t>HT-3</t>
        </is>
      </c>
      <c r="D543" s="22" t="inlineStr">
        <is>
          <t>12383</t>
        </is>
      </c>
      <c r="E543" s="21" t="inlineStr">
        <is>
          <t>Набір для підв'язки рослин Tapener HT-3 (Степлер підв'язувальний Max HT-R1 + Стрічка + Скоби)</t>
        </is>
      </c>
      <c r="F543" s="21" t="inlineStr">
        <is>
          <t>Степлер для рослин MAX Tapener HT-R1 + Італійська стрічка + Оригінальні скоби (Тапенер Акційний Набір)</t>
        </is>
      </c>
      <c r="G543" s="23" t="n">
        <v>2595</v>
      </c>
      <c r="H543" s="23" t="n">
        <v>2374</v>
      </c>
      <c r="I543" s="21" t="inlineStr">
        <is>
          <t>назви схожі, різняться словами: італійська, акційний, оригінальні та ще 3</t>
        </is>
      </c>
    </row>
    <row r="544">
      <c r="A544" s="22" t="n">
        <v>74.7</v>
      </c>
      <c r="B544" s="22" t="inlineStr">
        <is>
          <t>Клуб Рослин</t>
        </is>
      </c>
      <c r="C544" s="22" t="inlineStr">
        <is>
          <t>HT-5</t>
        </is>
      </c>
      <c r="D544" s="22" t="inlineStr">
        <is>
          <t>12388</t>
        </is>
      </c>
      <c r="E544" s="21" t="inlineStr">
        <is>
          <t>Набір для підв'язки рослин Tapener HT-5 (Степлер підв'язувальний Max HT-RS + Стрічка + Скоби)</t>
        </is>
      </c>
      <c r="F544" s="21" t="inlineStr">
        <is>
          <t>Степлер для рослин MAX Tapener HT-RS + Італійська стрічка + Оригінальні скоби (Тапенер Акційний Набір)</t>
        </is>
      </c>
      <c r="G544" s="23" t="n">
        <v>2575</v>
      </c>
      <c r="H544" s="23" t="n">
        <v>2549</v>
      </c>
      <c r="I544" s="21" t="inlineStr">
        <is>
          <t>назви схожі, різняться словами: італійська, акційний, оригінальні та ще 3</t>
        </is>
      </c>
    </row>
    <row r="545">
      <c r="A545" s="22" t="n">
        <v>74.7</v>
      </c>
      <c r="B545" s="22" t="inlineStr">
        <is>
          <t>Клуб Рослин</t>
        </is>
      </c>
      <c r="C545" s="22" t="inlineStr">
        <is>
          <t>3140</t>
        </is>
      </c>
      <c r="D545" s="22" t="inlineStr">
        <is>
          <t>15851</t>
        </is>
      </c>
      <c r="E545" s="21" t="inlineStr">
        <is>
          <t>Фунгіцид Магнікур Фіно 500 мл Bayer Байєр Німеччина</t>
        </is>
      </c>
      <c r="F545" s="21" t="inlineStr">
        <is>
          <t>Фунгіцид Магнікур Сенсейшен 500 SC 3,5 мл, Bayer</t>
        </is>
      </c>
      <c r="G545" s="23" t="n">
        <v>1148</v>
      </c>
      <c r="H545" s="23" t="n">
        <v>65</v>
      </c>
      <c r="I545" s="21" t="inlineStr">
        <is>
          <t>назви схожі, але різні об'єми або розміри</t>
        </is>
      </c>
    </row>
    <row r="546">
      <c r="A546" s="22" t="n">
        <v>74.7</v>
      </c>
      <c r="B546" s="22" t="inlineStr">
        <is>
          <t>Клуб Рослин</t>
        </is>
      </c>
      <c r="C546" s="22" t="inlineStr">
        <is>
          <t>23604-21.B</t>
        </is>
      </c>
      <c r="D546" s="22" t="inlineStr">
        <is>
          <t>11864</t>
        </is>
      </c>
      <c r="E546" s="21" t="inlineStr">
        <is>
          <t>Секатор 210 мм Bellota (23604-21.B) Іспанія</t>
        </is>
      </c>
      <c r="F546" s="21" t="inlineStr">
        <is>
          <t>Секатор Bellota 23604-21 універсальний</t>
        </is>
      </c>
      <c r="G546" s="23" t="n">
        <v>1079</v>
      </c>
      <c r="H546" s="23" t="n">
        <v>1079</v>
      </c>
      <c r="I546" s="21" t="inlineStr">
        <is>
          <t>назви схожі, але різні коди виробника</t>
        </is>
      </c>
    </row>
    <row r="547">
      <c r="A547" s="22" t="n">
        <v>74.7</v>
      </c>
      <c r="B547" s="22" t="inlineStr">
        <is>
          <t>Клуб Рослин</t>
        </is>
      </c>
      <c r="C547" s="22" t="inlineStr">
        <is>
          <t>3408.B.</t>
        </is>
      </c>
      <c r="D547" s="22" t="inlineStr">
        <is>
          <t>16153</t>
        </is>
      </c>
      <c r="E547" s="21" t="inlineStr">
        <is>
          <t>Секатор 195 мм Bellota (3408.B.) Іспанія</t>
        </is>
      </c>
      <c r="F547" s="21" t="inlineStr">
        <is>
          <t>Секатор Bellota 3408 обвідний 195 мм (Беллота 3408)</t>
        </is>
      </c>
      <c r="G547" s="23" t="n">
        <v>729</v>
      </c>
      <c r="H547" s="23" t="n">
        <v>729</v>
      </c>
      <c r="I547" s="21" t="inlineStr">
        <is>
          <t>назви схожі, але різні коди виробника</t>
        </is>
      </c>
    </row>
    <row r="548">
      <c r="A548" s="22" t="n">
        <v>74.7</v>
      </c>
      <c r="B548" s="22" t="inlineStr">
        <is>
          <t>Клуб Рослин</t>
        </is>
      </c>
      <c r="C548" s="22" t="inlineStr">
        <is>
          <t>3425</t>
        </is>
      </c>
      <c r="D548" s="22" t="inlineStr">
        <is>
          <t>14102</t>
        </is>
      </c>
      <c r="E548" s="21" t="inlineStr">
        <is>
          <t>Фунгіцид Кітч 120 г Сімейний Сад Україна</t>
        </is>
      </c>
      <c r="F548" s="21" t="inlineStr">
        <is>
          <t>Фунгіцид Скутер В.Г. (сірка) 200 г Сімейний Сад</t>
        </is>
      </c>
      <c r="G548" s="23" t="n">
        <v>648</v>
      </c>
      <c r="H548" s="23" t="n">
        <v>95</v>
      </c>
      <c r="I548" s="21" t="inlineStr">
        <is>
          <t>назви схожі, але різні об'єми або розміри</t>
        </is>
      </c>
    </row>
    <row r="549">
      <c r="A549" s="22" t="n">
        <v>74.7</v>
      </c>
      <c r="B549" s="22" t="inlineStr">
        <is>
          <t>Клуб Рослин</t>
        </is>
      </c>
      <c r="C549" s="22" t="inlineStr">
        <is>
          <t>8002</t>
        </is>
      </c>
      <c r="D549" s="22" t="inlineStr">
        <is>
          <t>10088</t>
        </is>
      </c>
      <c r="E549" s="21" t="inlineStr">
        <is>
          <t>Змінне ковадло для секаторів Löwe 8 (8002)</t>
        </is>
      </c>
      <c r="F549" s="21" t="inlineStr">
        <is>
          <t>Коваделко та гвинт для секатора Lowe 8 (8002)</t>
        </is>
      </c>
      <c r="G549" s="23" t="n">
        <v>150</v>
      </c>
      <c r="H549" s="23" t="n">
        <v>180</v>
      </c>
      <c r="I549" s="21" t="inlineStr">
        <is>
          <t>назви схожі, різняться словами: гвинт, змінне, коваделко та ще 3</t>
        </is>
      </c>
    </row>
    <row r="550">
      <c r="A550" s="22" t="n">
        <v>74.59999999999999</v>
      </c>
      <c r="B550" s="22" t="inlineStr">
        <is>
          <t>Водоспад</t>
        </is>
      </c>
      <c r="C550" s="22" t="inlineStr">
        <is>
          <t>4587-11.B</t>
        </is>
      </c>
      <c r="D550" s="22" t="inlineStr">
        <is>
          <t>42410</t>
        </is>
      </c>
      <c r="E550" s="21" t="inlineStr">
        <is>
          <t>Ножівка садова з чохлом 280 мм Bellota (4587-11.B) Іспанія</t>
        </is>
      </c>
      <c r="F550" s="21" t="inlineStr">
        <is>
          <t>Ножівка садова дерев`яна з чохлом 330мм Bellota, арт.450MC13.B</t>
        </is>
      </c>
      <c r="G550" s="23" t="n">
        <v>1265</v>
      </c>
      <c r="H550" s="23" t="n">
        <v>1220</v>
      </c>
      <c r="I550" s="21" t="inlineStr">
        <is>
          <t>назви схожі, але різні об'єми або розміри</t>
        </is>
      </c>
    </row>
    <row r="551">
      <c r="A551" s="22" t="n">
        <v>74.59999999999999</v>
      </c>
      <c r="B551" s="22" t="inlineStr">
        <is>
          <t>Водоспад</t>
        </is>
      </c>
      <c r="C551" s="22" t="inlineStr">
        <is>
          <t>555300800</t>
        </is>
      </c>
      <c r="D551" s="22" t="inlineStr">
        <is>
          <t>32812</t>
        </is>
      </c>
      <c r="E551" s="21" t="inlineStr">
        <is>
          <t>Точильний камінь Старк / Stark 3000/8000 гріт (555300800) Німеччина</t>
        </is>
      </c>
      <c r="F551" s="21" t="inlineStr">
        <is>
          <t>Точильний камінь TINA 940 (Німеччина)</t>
        </is>
      </c>
      <c r="G551" s="23" t="n">
        <v>395</v>
      </c>
      <c r="H551" s="23" t="n">
        <v>1370</v>
      </c>
      <c r="I551" s="21" t="inlineStr">
        <is>
          <t>назви схожі, але різні бренди</t>
        </is>
      </c>
    </row>
    <row r="552">
      <c r="A552" s="22" t="n">
        <v>74.59999999999999</v>
      </c>
      <c r="B552" s="22" t="inlineStr">
        <is>
          <t>Клуб Рослин</t>
        </is>
      </c>
      <c r="C552" s="22" t="inlineStr">
        <is>
          <t>710-65</t>
        </is>
      </c>
      <c r="D552" s="22" t="inlineStr">
        <is>
          <t>11254</t>
        </is>
      </c>
      <c r="E552" s="21" t="inlineStr">
        <is>
          <t>Садова пила складна Silky Katanaboy 650-4 (710-65) Японія</t>
        </is>
      </c>
      <c r="F552" s="21" t="inlineStr">
        <is>
          <t>Пила Silky Katanaboy 650-4 складна (Сілкі Катанабой)</t>
        </is>
      </c>
      <c r="G552" s="23" t="n">
        <v>13990</v>
      </c>
      <c r="H552" s="23" t="n">
        <v>13990</v>
      </c>
      <c r="I552" s="21" t="inlineStr">
        <is>
          <t>назви схожі, різняться словами: катанабой, сілкі, садова</t>
        </is>
      </c>
    </row>
    <row r="553">
      <c r="A553" s="22" t="n">
        <v>74.59999999999999</v>
      </c>
      <c r="B553" s="22" t="inlineStr">
        <is>
          <t>Клуб Рослин</t>
        </is>
      </c>
      <c r="C553" s="22" t="inlineStr">
        <is>
          <t>403-50</t>
        </is>
      </c>
      <c r="D553" s="22" t="inlineStr">
        <is>
          <t>11253</t>
        </is>
      </c>
      <c r="E553" s="21" t="inlineStr">
        <is>
          <t>Пила садова складна Silky Katanaboy 500-5 (403-50) Японія</t>
        </is>
      </c>
      <c r="F553" s="21" t="inlineStr">
        <is>
          <t>Пила Silky Katanaboy 500-5 складна (Сілкі Катанабой)</t>
        </is>
      </c>
      <c r="G553" s="23" t="n">
        <v>8990</v>
      </c>
      <c r="H553" s="23" t="n">
        <v>8990</v>
      </c>
      <c r="I553" s="21" t="inlineStr">
        <is>
          <t>назви схожі, різняться словами: катанабой, сілкі, садова</t>
        </is>
      </c>
    </row>
    <row r="554">
      <c r="A554" s="22" t="n">
        <v>74.59999999999999</v>
      </c>
      <c r="B554" s="22" t="inlineStr">
        <is>
          <t>Клуб Рослин</t>
        </is>
      </c>
      <c r="C554" s="22" t="inlineStr">
        <is>
          <t>0101</t>
        </is>
      </c>
      <c r="D554" s="22" t="inlineStr">
        <is>
          <t>15800</t>
        </is>
      </c>
      <c r="E554" s="21" t="inlineStr">
        <is>
          <t>Кущоріз 700 мм Доукан / Doukan ( 0101) Японія</t>
        </is>
      </c>
      <c r="F554" s="21" t="inlineStr">
        <is>
          <t>Садові ножиці Doukan 0101 японські (кущорізи Доукан 0101)</t>
        </is>
      </c>
      <c r="G554" s="23" t="n">
        <v>3490</v>
      </c>
      <c r="H554" s="23" t="n">
        <v>3490</v>
      </c>
      <c r="I554" s="21" t="inlineStr">
        <is>
          <t>назви схожі, різняться словами: кущоріз, кущорізи, ножиці та ще 2</t>
        </is>
      </c>
    </row>
    <row r="555">
      <c r="A555" s="22" t="n">
        <v>74.59999999999999</v>
      </c>
      <c r="B555" s="22" t="inlineStr">
        <is>
          <t>Клуб Рослин</t>
        </is>
      </c>
      <c r="C555" s="22" t="inlineStr">
        <is>
          <t>3200</t>
        </is>
      </c>
      <c r="D555" s="22" t="inlineStr">
        <is>
          <t>15047</t>
        </is>
      </c>
      <c r="E555" s="21" t="inlineStr">
        <is>
          <t>Фунгіцид Біошок 5 л Агропромніка Україна</t>
        </is>
      </c>
      <c r="F555" s="21" t="inlineStr">
        <is>
          <t>Фунгіцид Біошок (хлорокис міді 340 г/л) к.с. 40 г саше, Агропромніка</t>
        </is>
      </c>
      <c r="G555" s="23" t="n">
        <v>2860</v>
      </c>
      <c r="H555" s="23" t="n">
        <v>65</v>
      </c>
      <c r="I555" s="21" t="inlineStr">
        <is>
          <t>назви схожі, але різні об'єми або розміри</t>
        </is>
      </c>
    </row>
    <row r="556">
      <c r="A556" s="22" t="n">
        <v>74.59999999999999</v>
      </c>
      <c r="B556" s="22" t="inlineStr">
        <is>
          <t>Клуб Рослин</t>
        </is>
      </c>
      <c r="C556" s="22" t="inlineStr">
        <is>
          <t>135/20</t>
        </is>
      </c>
      <c r="D556" s="22" t="inlineStr">
        <is>
          <t>11888</t>
        </is>
      </c>
      <c r="E556" s="21" t="inlineStr">
        <is>
          <t>Секатор Due Buoi 135/20 Італія</t>
        </is>
      </c>
      <c r="F556" s="21" t="inlineStr">
        <is>
          <t>Секатор Due Buoi 135/20 італійський алюмінієві ручки (Дюе Буоі)</t>
        </is>
      </c>
      <c r="G556" s="23" t="n">
        <v>2550</v>
      </c>
      <c r="H556" s="23" t="n">
        <v>2550</v>
      </c>
      <c r="I556" s="21" t="inlineStr">
        <is>
          <t>назви схожі, різняться словами: італійський, алюмінієві, буоі та ще 1</t>
        </is>
      </c>
    </row>
    <row r="557">
      <c r="A557" s="22" t="n">
        <v>74.59999999999999</v>
      </c>
      <c r="B557" s="22" t="inlineStr">
        <is>
          <t>Клуб Рослин</t>
        </is>
      </c>
      <c r="C557" s="22" t="inlineStr">
        <is>
          <t>1.92.00</t>
        </is>
      </c>
      <c r="D557" s="22" t="inlineStr">
        <is>
          <t>10960</t>
        </is>
      </c>
      <c r="E557" s="21" t="inlineStr">
        <is>
          <t>Садовий ніж для обрізки Victorinox 1.92.00 Швейцарія</t>
        </is>
      </c>
      <c r="F557" s="21" t="inlineStr">
        <is>
          <t>Ніж для обрізки Victorinox 1.92.00 (Вікторінокс 1.92.00)</t>
        </is>
      </c>
      <c r="G557" s="23" t="n">
        <v>1000</v>
      </c>
      <c r="H557" s="23" t="n">
        <v>1155</v>
      </c>
      <c r="I557" s="21" t="inlineStr">
        <is>
          <t>назви схожі, різняться словами: вікторінокс, садовий</t>
        </is>
      </c>
    </row>
    <row r="558">
      <c r="A558" s="22" t="n">
        <v>74.5</v>
      </c>
      <c r="B558" s="22" t="inlineStr">
        <is>
          <t>Водоспад</t>
        </is>
      </c>
      <c r="C558" s="22" t="inlineStr">
        <is>
          <t>SH-VSZ</t>
        </is>
      </c>
      <c r="D558" s="22" t="inlineStr">
        <is>
          <t>33326</t>
        </is>
      </c>
      <c r="E558" s="21" t="inlineStr">
        <is>
          <t>Чохол для секатора АРС / ARS (SH-VSZ) Японія</t>
        </is>
      </c>
      <c r="F558" s="21" t="inlineStr">
        <is>
          <t>Чохол для секатора (1105)</t>
        </is>
      </c>
      <c r="G558" s="23" t="n">
        <v>890</v>
      </c>
      <c r="H558" s="23" t="n">
        <v>890</v>
      </c>
      <c r="I558" s="21" t="inlineStr">
        <is>
          <t>назви схожі, різняться словами: ars, shvsz</t>
        </is>
      </c>
    </row>
    <row r="559">
      <c r="A559" s="22" t="n">
        <v>74.5</v>
      </c>
      <c r="B559" s="22" t="inlineStr">
        <is>
          <t>Клуб Рослин</t>
        </is>
      </c>
      <c r="C559" s="22" t="inlineStr">
        <is>
          <t>BCL235</t>
        </is>
      </c>
      <c r="D559" s="22" t="inlineStr">
        <is>
          <t>12033</t>
        </is>
      </c>
      <c r="E559" s="21" t="inlineStr">
        <is>
          <t>Секатор акумуляторний Bahco​​​​​​​ BCL235 Швеція</t>
        </is>
      </c>
      <c r="F559" s="21" t="inlineStr">
        <is>
          <t>Секатор акумуляторний з електроприводом Bahco BCL21</t>
        </is>
      </c>
      <c r="G559" s="23" t="n">
        <v>15975</v>
      </c>
      <c r="H559" s="23" t="n">
        <v>49900</v>
      </c>
      <c r="I559" s="21" t="inlineStr">
        <is>
          <t>назви схожі, різняться словами: електроприводом</t>
        </is>
      </c>
    </row>
    <row r="560">
      <c r="A560" s="22" t="n">
        <v>74.5</v>
      </c>
      <c r="B560" s="22" t="inlineStr">
        <is>
          <t>Клуб Рослин</t>
        </is>
      </c>
      <c r="C560" s="22" t="inlineStr">
        <is>
          <t>220</t>
        </is>
      </c>
      <c r="D560" s="22" t="inlineStr">
        <is>
          <t>12528</t>
        </is>
      </c>
      <c r="E560" s="21" t="inlineStr">
        <is>
          <t>Гілкоріз обвідний з храповим механізмом Фелко / Felco 220 Швейцарія</t>
        </is>
      </c>
      <c r="F560" s="21" t="inlineStr">
        <is>
          <t>Сучкоріз Felco 220 обвідний з храповим механізмом для твердої деревини (Фелко 220)</t>
        </is>
      </c>
      <c r="G560" s="23" t="n">
        <v>9590</v>
      </c>
      <c r="H560" s="23" t="n">
        <v>9590</v>
      </c>
      <c r="I560" s="21" t="inlineStr">
        <is>
          <t>назви схожі, різняться словами: гілкоріз, деревини, сучкоріз та ще 1</t>
        </is>
      </c>
    </row>
    <row r="561">
      <c r="A561" s="22" t="n">
        <v>74.5</v>
      </c>
      <c r="B561" s="22" t="inlineStr">
        <is>
          <t>Клуб Рослин</t>
        </is>
      </c>
      <c r="C561" s="22" t="inlineStr">
        <is>
          <t>1051086</t>
        </is>
      </c>
      <c r="D561" s="22" t="inlineStr">
        <is>
          <t>12330</t>
        </is>
      </c>
      <c r="E561" s="21" t="inlineStr">
        <is>
          <t>Сокира-колун Фіскарс Fiskars Solid A11 (1051086) Фінляндія</t>
        </is>
      </c>
      <c r="F561" s="21" t="inlineStr">
        <is>
          <t>Сокира колун Fiskars Solid L 122260</t>
        </is>
      </c>
      <c r="G561" s="23" t="n">
        <v>3549</v>
      </c>
      <c r="H561" s="23" t="n">
        <v>1512.5</v>
      </c>
      <c r="I561" s="21" t="inlineStr">
        <is>
          <t>назви схожі, але різні коди виробника</t>
        </is>
      </c>
    </row>
    <row r="562">
      <c r="A562" s="22" t="n">
        <v>74.5</v>
      </c>
      <c r="B562" s="22" t="inlineStr">
        <is>
          <t>Клуб Рослин</t>
        </is>
      </c>
      <c r="C562" s="22" t="inlineStr">
        <is>
          <t>7235</t>
        </is>
      </c>
      <c r="D562" s="22" t="inlineStr">
        <is>
          <t>9207</t>
        </is>
      </c>
      <c r="E562" s="21" t="inlineStr">
        <is>
          <t>Добриво Phoenix (Відновлення) 1 л SmartGrow Україна</t>
        </is>
      </c>
      <c r="F562" s="21" t="inlineStr">
        <is>
          <t>Добриво SmartGrow ВІДНОВЛЕННЯ 25 мл, Смарт Гроу</t>
        </is>
      </c>
      <c r="G562" s="23" t="n">
        <v>625</v>
      </c>
      <c r="H562" s="23" t="n">
        <v>29</v>
      </c>
      <c r="I562" s="21" t="inlineStr">
        <is>
          <t>назви схожі, але різні об'єми або розміри</t>
        </is>
      </c>
    </row>
    <row r="563">
      <c r="A563" s="22" t="n">
        <v>74.40000000000001</v>
      </c>
      <c r="B563" s="22" t="inlineStr">
        <is>
          <t>Клуб Рослин</t>
        </is>
      </c>
      <c r="C563" s="22" t="inlineStr">
        <is>
          <t>HT-2</t>
        </is>
      </c>
      <c r="D563" s="22" t="inlineStr">
        <is>
          <t>15477</t>
        </is>
      </c>
      <c r="E563" s="21" t="inlineStr">
        <is>
          <t>Набір для підв'язки рослин Tapener HT-2 (Степлер підв'язувальний Max HT-S45E + Стрічка + Скоби)</t>
        </is>
      </c>
      <c r="F563" s="21" t="inlineStr">
        <is>
          <t>Степлер для рослин MAX Tapener HT-S45E + посилена стрічка T32B 5 шт + скоби 404F-L (Тапенер Акційний набір)</t>
        </is>
      </c>
      <c r="G563" s="23" t="n">
        <v>6949</v>
      </c>
      <c r="H563" s="23" t="n">
        <v>5199</v>
      </c>
      <c r="I563" s="21" t="inlineStr">
        <is>
          <t>назви схожі, різняться словами: акційний, підвязки, підвязувальний та ще 2</t>
        </is>
      </c>
    </row>
    <row r="564">
      <c r="A564" s="22" t="n">
        <v>74.40000000000001</v>
      </c>
      <c r="B564" s="22" t="inlineStr">
        <is>
          <t>Клуб Рослин</t>
        </is>
      </c>
      <c r="C564" s="22" t="inlineStr">
        <is>
          <t>8055</t>
        </is>
      </c>
      <c r="D564" s="22" t="inlineStr">
        <is>
          <t>9177</t>
        </is>
      </c>
      <c r="E564" s="21" t="inlineStr">
        <is>
          <t>Добриво Вітазим БІО Смарт Гроу / Vitazyme BIO 1 л Smart Grow США</t>
        </is>
      </c>
      <c r="F564" s="21" t="inlineStr">
        <is>
          <t>Добриво Smart Grow ТОМАТ 25 мл, Смарт Гроу</t>
        </is>
      </c>
      <c r="G564" s="23" t="n">
        <v>1748</v>
      </c>
      <c r="H564" s="23" t="n">
        <v>25</v>
      </c>
      <c r="I564" s="21" t="inlineStr">
        <is>
          <t>назви схожі, але різні об'єми або розміри</t>
        </is>
      </c>
    </row>
    <row r="565">
      <c r="A565" s="22" t="n">
        <v>74.40000000000001</v>
      </c>
      <c r="B565" s="22" t="inlineStr">
        <is>
          <t>Клуб Рослин</t>
        </is>
      </c>
      <c r="C565" s="22" t="inlineStr">
        <is>
          <t>ddd10bd9-abba-11ee-bf43-c87f546feb15</t>
        </is>
      </c>
      <c r="D565" s="22" t="inlineStr">
        <is>
          <t>13041</t>
        </is>
      </c>
      <c r="E565" s="21" t="inlineStr">
        <is>
          <t>Кріплення та підв`язка рослин</t>
        </is>
      </c>
      <c r="F565" s="21" t="inlineStr">
        <is>
          <t>Якірні кріплення Cordioli 8 см, 1 кг, 650 шт. підв'язка для рослин (Кордіолі)</t>
        </is>
      </c>
      <c r="G565" s="23" t="n"/>
      <c r="H565" s="23" t="n">
        <v>745</v>
      </c>
      <c r="I565" s="21" t="inlineStr">
        <is>
          <t>назви схожі, різняться словами: cordioli, кордіолі, якірні</t>
        </is>
      </c>
    </row>
    <row r="566">
      <c r="A566" s="22" t="n">
        <v>74.3</v>
      </c>
      <c r="B566" s="22" t="inlineStr">
        <is>
          <t>Водоспад</t>
        </is>
      </c>
      <c r="C566" s="22" t="inlineStr">
        <is>
          <t>6195</t>
        </is>
      </c>
      <c r="D566" s="22" t="inlineStr">
        <is>
          <t>43393</t>
        </is>
      </c>
      <c r="E566" s="21" t="inlineStr">
        <is>
          <t>Пила складна Альпен / Alpen Bernina (6195) Швейцарія</t>
        </is>
      </c>
      <c r="F566" s="21" t="inlineStr">
        <is>
          <t>Пила складна ALPEN Bernina 6195, пряме лезо 195 мм</t>
        </is>
      </c>
      <c r="G566" s="23" t="n">
        <v>1327</v>
      </c>
      <c r="H566" s="23" t="n">
        <v>1329</v>
      </c>
      <c r="I566" s="21" t="inlineStr">
        <is>
          <t>назви схожі, різняться словами: альпен, лезо, пряме</t>
        </is>
      </c>
    </row>
    <row r="567">
      <c r="A567" s="22" t="n">
        <v>74.3</v>
      </c>
      <c r="B567" s="22" t="inlineStr">
        <is>
          <t>Клуб Рослин</t>
        </is>
      </c>
      <c r="C567" s="22" t="inlineStr">
        <is>
          <t>1069103</t>
        </is>
      </c>
      <c r="D567" s="22" t="inlineStr">
        <is>
          <t>12315</t>
        </is>
      </c>
      <c r="E567" s="21" t="inlineStr">
        <is>
          <t>Сокира універсальна Фіскарс Fiskars X-Series X18 Universal S (1069103) Фінляндія</t>
        </is>
      </c>
      <c r="F567" s="21" t="inlineStr">
        <is>
          <t>Сокира Fiskars Х10 універсальна</t>
        </is>
      </c>
      <c r="G567" s="23" t="n">
        <v>3499</v>
      </c>
      <c r="H567" s="23" t="n">
        <v>1407</v>
      </c>
      <c r="I567" s="21" t="inlineStr">
        <is>
          <t>назви схожі, різняться словами: universal, xseries, фінляндія та ще 1</t>
        </is>
      </c>
    </row>
    <row r="568">
      <c r="A568" s="22" t="n">
        <v>74.3</v>
      </c>
      <c r="B568" s="22" t="inlineStr">
        <is>
          <t>Клуб Рослин</t>
        </is>
      </c>
      <c r="C568" s="22" t="inlineStr">
        <is>
          <t>AP_8-10-1000</t>
        </is>
      </c>
      <c r="D568" s="22" t="inlineStr">
        <is>
          <t>16476</t>
        </is>
      </c>
      <c r="E568" s="21" t="inlineStr">
        <is>
          <t>Крапельна стрічка щілинна AquaPlus (Аква Плюс) 8 mil 10 см 1000 м (AP_8-10-1000) Україна</t>
        </is>
      </c>
      <c r="F568" s="21" t="inlineStr">
        <is>
          <t>Крапельна стрічка Aqua Plus (щільова) 8 мм × 30 см × 300 м Аква Плюс</t>
        </is>
      </c>
      <c r="G568" s="23" t="n">
        <v>2327</v>
      </c>
      <c r="H568" s="23" t="n">
        <v>669</v>
      </c>
      <c r="I568" s="21" t="inlineStr">
        <is>
          <t>назви схожі, але різні об'єми або розміри</t>
        </is>
      </c>
    </row>
    <row r="569">
      <c r="A569" s="22" t="n">
        <v>74.3</v>
      </c>
      <c r="B569" s="22" t="inlineStr">
        <is>
          <t>Клуб Рослин</t>
        </is>
      </c>
      <c r="C569" s="22" t="inlineStr">
        <is>
          <t>910 +</t>
        </is>
      </c>
      <c r="D569" s="22" t="inlineStr">
        <is>
          <t>10075</t>
        </is>
      </c>
      <c r="E569" s="21" t="inlineStr">
        <is>
          <t>Шкіряний чохол-кобура для секатора Фелко / Felco 910 +(Plus) Швейцарія</t>
        </is>
      </c>
      <c r="F569" s="21" t="inlineStr">
        <is>
          <t>Кобура для секаторів Felco 910+ (Фелко 910+)</t>
        </is>
      </c>
      <c r="G569" s="23" t="n">
        <v>1399</v>
      </c>
      <c r="H569" s="23" t="n">
        <v>1399</v>
      </c>
      <c r="I569" s="21" t="inlineStr">
        <is>
          <t>назви схожі, різняться словами: plus, секаторів, секатора та ще 2</t>
        </is>
      </c>
    </row>
    <row r="570">
      <c r="A570" s="22" t="n">
        <v>74.2</v>
      </c>
      <c r="B570" s="22" t="inlineStr">
        <is>
          <t>Водоспад</t>
        </is>
      </c>
      <c r="C570" s="22" t="inlineStr">
        <is>
          <t>685L</t>
        </is>
      </c>
      <c r="D570" s="22" t="inlineStr">
        <is>
          <t>42917</t>
        </is>
      </c>
      <c r="E570" s="21" t="inlineStr">
        <is>
          <t>Щеплювальний стаціонарний ніж для шульги ​​​​​​​Тіна / Tina (685L) Німеччина</t>
        </is>
      </c>
      <c r="F570" s="21" t="inlineStr">
        <is>
          <t>Ніж садовий для щеплення (для ШУЛЬГИ) TINA 640/10,5L (Німеччина)</t>
        </is>
      </c>
      <c r="G570" s="23" t="n">
        <v>2799</v>
      </c>
      <c r="H570" s="23" t="n">
        <v>6899</v>
      </c>
      <c r="I570" s="21" t="inlineStr">
        <is>
          <t>назви схожі, але різні об'єми або розміри</t>
        </is>
      </c>
    </row>
    <row r="571">
      <c r="A571" s="22" t="n">
        <v>74.2</v>
      </c>
      <c r="B571" s="22" t="inlineStr">
        <is>
          <t>Водоспад</t>
        </is>
      </c>
      <c r="C571" s="22" t="inlineStr">
        <is>
          <t>MF20ММ</t>
        </is>
      </c>
      <c r="D571" s="22" t="inlineStr">
        <is>
          <t>38076</t>
        </is>
      </c>
      <c r="E571" s="21" t="inlineStr">
        <is>
          <t>Ніж-кільце для обрізки кембрика металевий IMF 20 мм Італія</t>
        </is>
      </c>
      <c r="F571" s="21" t="inlineStr">
        <is>
          <t>Ніж для обрізки кембрика, металевий (knife_tie) 12ANTALL</t>
        </is>
      </c>
      <c r="G571" s="23" t="n">
        <v>290</v>
      </c>
      <c r="H571" s="23" t="n">
        <v>145</v>
      </c>
      <c r="I571" s="21" t="inlineStr">
        <is>
          <t>назви схожі, але різні бренди</t>
        </is>
      </c>
    </row>
    <row r="572">
      <c r="A572" s="22" t="n">
        <v>74.2</v>
      </c>
      <c r="B572" s="22" t="inlineStr">
        <is>
          <t>Клуб Рослин</t>
        </is>
      </c>
      <c r="C572" s="22" t="inlineStr">
        <is>
          <t>1020204</t>
        </is>
      </c>
      <c r="D572" s="22" t="inlineStr">
        <is>
          <t>11923</t>
        </is>
      </c>
      <c r="E572" s="21" t="inlineStr">
        <is>
          <t>Секатор професійний Фіскарс Fiskars PB-8 M 111850 (1020204) Фінляндія</t>
        </is>
      </c>
      <c r="F572" s="21" t="inlineStr">
        <is>
          <t>Секатор Fiskars P9O 111960 професійний</t>
        </is>
      </c>
      <c r="G572" s="23" t="n">
        <v>3999</v>
      </c>
      <c r="H572" s="23" t="n">
        <v>1060</v>
      </c>
      <c r="I572" s="21" t="inlineStr">
        <is>
          <t>назви схожі, але різні коди виробника</t>
        </is>
      </c>
    </row>
    <row r="573">
      <c r="A573" s="22" t="n">
        <v>74.2</v>
      </c>
      <c r="B573" s="22" t="inlineStr">
        <is>
          <t>Клуб Рослин</t>
        </is>
      </c>
      <c r="C573" s="22" t="inlineStr">
        <is>
          <t>HT-1</t>
        </is>
      </c>
      <c r="D573" s="22" t="inlineStr">
        <is>
          <t>14125</t>
        </is>
      </c>
      <c r="E573" s="21" t="inlineStr">
        <is>
          <t>Набір для підв'язки рослин Tapener HT-1 (Степлер підв'язувальний Max HT-R45C + Стрічка + Скоби)</t>
        </is>
      </c>
      <c r="F573" s="21" t="inlineStr">
        <is>
          <t>Степлер для рослин MAX Tapener HT-R45C(RD) + Італійська стрічка 20 шт + Оригінальні скоби (Тапенер Акційний набір)</t>
        </is>
      </c>
      <c r="G573" s="23" t="n">
        <v>3699</v>
      </c>
      <c r="H573" s="23" t="n">
        <v>3167</v>
      </c>
      <c r="I573" s="21" t="inlineStr">
        <is>
          <t>назви схожі, різняться словами: rd, італійська, акційний та ще 4</t>
        </is>
      </c>
    </row>
    <row r="574">
      <c r="A574" s="22" t="n">
        <v>74.2</v>
      </c>
      <c r="B574" s="22" t="inlineStr">
        <is>
          <t>Клуб Рослин</t>
        </is>
      </c>
      <c r="C574" s="22" t="inlineStr">
        <is>
          <t>1020203</t>
        </is>
      </c>
      <c r="D574" s="22" t="inlineStr">
        <is>
          <t>11923</t>
        </is>
      </c>
      <c r="E574" s="21" t="inlineStr">
        <is>
          <t>Секатор професійний Фіскарс Fiskars PB-8 L 111870 (1020203) Фінляндія</t>
        </is>
      </c>
      <c r="F574" s="21" t="inlineStr">
        <is>
          <t>Секатор Fiskars P9O 111960 професійний</t>
        </is>
      </c>
      <c r="G574" s="23" t="n">
        <v>3299</v>
      </c>
      <c r="H574" s="23" t="n">
        <v>1060</v>
      </c>
      <c r="I574" s="21" t="inlineStr">
        <is>
          <t>назви схожі, але різні коди виробника</t>
        </is>
      </c>
    </row>
    <row r="575">
      <c r="A575" s="22" t="n">
        <v>74.2</v>
      </c>
      <c r="B575" s="22" t="inlineStr">
        <is>
          <t>Клуб Рослин</t>
        </is>
      </c>
      <c r="C575" s="22" t="inlineStr">
        <is>
          <t>7378</t>
        </is>
      </c>
      <c r="D575" s="22" t="inlineStr">
        <is>
          <t>9189</t>
        </is>
      </c>
      <c r="E575" s="21" t="inlineStr">
        <is>
          <t>Добриво Газон 1 л SmartGrow Україна</t>
        </is>
      </c>
      <c r="F575" s="21" t="inlineStr">
        <is>
          <t>Добриво SmartGrow AMINO (Аміно), 1 л</t>
        </is>
      </c>
      <c r="G575" s="23" t="n">
        <v>535</v>
      </c>
      <c r="H575" s="23" t="n">
        <v>472</v>
      </c>
      <c r="I575" s="21" t="inlineStr">
        <is>
          <t>назви схожі, різняться словами: amino, аміно, газон</t>
        </is>
      </c>
    </row>
    <row r="576">
      <c r="A576" s="22" t="n">
        <v>74.2</v>
      </c>
      <c r="B576" s="22" t="inlineStr">
        <is>
          <t>Клуб Рослин</t>
        </is>
      </c>
      <c r="C576" s="22" t="inlineStr">
        <is>
          <t>m3003</t>
        </is>
      </c>
      <c r="D576" s="22" t="inlineStr">
        <is>
          <t>15851</t>
        </is>
      </c>
      <c r="E576" s="21" t="inlineStr">
        <is>
          <t>Фунгіцид Магнікур Стар 520 SC к.с. 5мл</t>
        </is>
      </c>
      <c r="F576" s="21" t="inlineStr">
        <is>
          <t>Фунгіцид Магнікур Сенсейшен 500 SC 3,5 мл, Bayer</t>
        </is>
      </c>
      <c r="G576" s="23" t="n">
        <v>50</v>
      </c>
      <c r="H576" s="23" t="n">
        <v>65</v>
      </c>
      <c r="I576" s="21" t="inlineStr">
        <is>
          <t>назви схожі, але різні об'єми або розміри</t>
        </is>
      </c>
    </row>
    <row r="577">
      <c r="A577" s="22" t="n">
        <v>74.09999999999999</v>
      </c>
      <c r="B577" s="22" t="inlineStr">
        <is>
          <t>Водоспад</t>
        </is>
      </c>
      <c r="C577" s="22" t="inlineStr">
        <is>
          <t>3.91.10</t>
        </is>
      </c>
      <c r="D577" s="22" t="inlineStr">
        <is>
          <t>32375</t>
        </is>
      </c>
      <c r="E577" s="21" t="inlineStr">
        <is>
          <t>​​​​​​​Ніж для щеплення Victorinox 3.91.10 Швейцарія</t>
        </is>
      </c>
      <c r="F577" s="21" t="inlineStr">
        <is>
          <t>Ніж для щеплень FELCO Victorinox (3.90.20)</t>
        </is>
      </c>
      <c r="G577" s="23" t="n">
        <v>1699</v>
      </c>
      <c r="H577" s="23" t="n">
        <v>1449</v>
      </c>
      <c r="I577" s="21" t="inlineStr">
        <is>
          <t>назви схожі, різняться словами: felco, щеплення, щеплень</t>
        </is>
      </c>
    </row>
    <row r="578">
      <c r="A578" s="22" t="n">
        <v>74.09999999999999</v>
      </c>
      <c r="B578" s="22" t="inlineStr">
        <is>
          <t>Клуб Рослин</t>
        </is>
      </c>
      <c r="C578" s="22" t="inlineStr">
        <is>
          <t>7236</t>
        </is>
      </c>
      <c r="D578" s="22" t="inlineStr">
        <is>
          <t>9207</t>
        </is>
      </c>
      <c r="E578" s="21" t="inlineStr">
        <is>
          <t>Добриво Phoenix (Відновлення) 10 л SmartGrow Україна</t>
        </is>
      </c>
      <c r="F578" s="21" t="inlineStr">
        <is>
          <t>Добриво SmartGrow ВІДНОВЛЕННЯ 25 мл, Смарт Гроу</t>
        </is>
      </c>
      <c r="G578" s="23" t="n">
        <v>4557</v>
      </c>
      <c r="H578" s="23" t="n">
        <v>29</v>
      </c>
      <c r="I578" s="21" t="inlineStr">
        <is>
          <t>назви схожі, але різні об'єми або розміри</t>
        </is>
      </c>
    </row>
    <row r="579">
      <c r="A579" s="22" t="n">
        <v>74.09999999999999</v>
      </c>
      <c r="B579" s="22" t="inlineStr">
        <is>
          <t>Клуб Рослин</t>
        </is>
      </c>
      <c r="C579" s="22" t="inlineStr">
        <is>
          <t>3578-90.B</t>
        </is>
      </c>
      <c r="D579" s="22" t="inlineStr">
        <is>
          <t>11871</t>
        </is>
      </c>
      <c r="E579" s="21" t="inlineStr">
        <is>
          <t>Гілкоріз (секатор дворучний) 900 мм професійний 3578-90.B Bellota (Іспанія)</t>
        </is>
      </c>
      <c r="F579" s="21" t="inlineStr">
        <is>
          <t>Секатор Bellota 3510-21 професійний</t>
        </is>
      </c>
      <c r="G579" s="23" t="n">
        <v>3745</v>
      </c>
      <c r="H579" s="23" t="n">
        <v>2649</v>
      </c>
      <c r="I579" s="21" t="inlineStr">
        <is>
          <t>назви схожі, але різні коди виробника</t>
        </is>
      </c>
    </row>
    <row r="580">
      <c r="A580" s="22" t="n">
        <v>74.09999999999999</v>
      </c>
      <c r="B580" s="22" t="inlineStr">
        <is>
          <t>Клуб Рослин</t>
        </is>
      </c>
      <c r="C580" s="22" t="inlineStr">
        <is>
          <t>3578-75.B</t>
        </is>
      </c>
      <c r="D580" s="22" t="inlineStr">
        <is>
          <t>11871</t>
        </is>
      </c>
      <c r="E580" s="21" t="inlineStr">
        <is>
          <t>Гілкоріз (секатор дворучний) 750 мм професійний 3578-75.B Bellota (Іспанія)</t>
        </is>
      </c>
      <c r="F580" s="21" t="inlineStr">
        <is>
          <t>Секатор Bellota 3510-21 професійний</t>
        </is>
      </c>
      <c r="G580" s="23" t="n">
        <v>3729</v>
      </c>
      <c r="H580" s="23" t="n">
        <v>2649</v>
      </c>
      <c r="I580" s="21" t="inlineStr">
        <is>
          <t>назви схожі, але різні коди виробника</t>
        </is>
      </c>
    </row>
    <row r="581">
      <c r="A581" s="22" t="n">
        <v>74.09999999999999</v>
      </c>
      <c r="B581" s="22" t="inlineStr">
        <is>
          <t>Клуб Рослин</t>
        </is>
      </c>
      <c r="C581" s="22" t="inlineStr">
        <is>
          <t>3580-90.B</t>
        </is>
      </c>
      <c r="D581" s="22" t="inlineStr">
        <is>
          <t>11871</t>
        </is>
      </c>
      <c r="E581" s="21" t="inlineStr">
        <is>
          <t>Гілкоріз (секатор дворучний) 900 мм професійний 3580-90.B Bellota (Іспанія)</t>
        </is>
      </c>
      <c r="F581" s="21" t="inlineStr">
        <is>
          <t>Секатор Bellota 3510-21 професійний</t>
        </is>
      </c>
      <c r="G581" s="23" t="n">
        <v>3665</v>
      </c>
      <c r="H581" s="23" t="n">
        <v>2649</v>
      </c>
      <c r="I581" s="21" t="inlineStr">
        <is>
          <t>назви схожі, але різні коди виробника</t>
        </is>
      </c>
    </row>
    <row r="582">
      <c r="A582" s="22" t="n">
        <v>74.09999999999999</v>
      </c>
      <c r="B582" s="22" t="inlineStr">
        <is>
          <t>Клуб Рослин</t>
        </is>
      </c>
      <c r="C582" s="22" t="inlineStr">
        <is>
          <t>3580-75.B</t>
        </is>
      </c>
      <c r="D582" s="22" t="inlineStr">
        <is>
          <t>11871</t>
        </is>
      </c>
      <c r="E582" s="21" t="inlineStr">
        <is>
          <t>Гілкоріз (секатор дворучний) 750 мм професійний 3580-75.B Bellota (Іспанія)</t>
        </is>
      </c>
      <c r="F582" s="21" t="inlineStr">
        <is>
          <t>Секатор Bellota 3510-21 професійний</t>
        </is>
      </c>
      <c r="G582" s="23" t="n">
        <v>3499</v>
      </c>
      <c r="H582" s="23" t="n">
        <v>2649</v>
      </c>
      <c r="I582" s="21" t="inlineStr">
        <is>
          <t>назви схожі, але різні коди виробника</t>
        </is>
      </c>
    </row>
    <row r="583">
      <c r="A583" s="22" t="n">
        <v>74.09999999999999</v>
      </c>
      <c r="B583" s="22" t="inlineStr">
        <is>
          <t>Клуб Рослин</t>
        </is>
      </c>
      <c r="C583" s="22" t="inlineStr">
        <is>
          <t>3580-60.B</t>
        </is>
      </c>
      <c r="D583" s="22" t="inlineStr">
        <is>
          <t>11871</t>
        </is>
      </c>
      <c r="E583" s="21" t="inlineStr">
        <is>
          <t>Гілкоріз (секатор дворучний) 600 мм професійний 3580-60.B Bellota (Іспанія)</t>
        </is>
      </c>
      <c r="F583" s="21" t="inlineStr">
        <is>
          <t>Секатор Bellota 3510-21 професійний</t>
        </is>
      </c>
      <c r="G583" s="23" t="n">
        <v>3419</v>
      </c>
      <c r="H583" s="23" t="n">
        <v>2649</v>
      </c>
      <c r="I583" s="21" t="inlineStr">
        <is>
          <t>назви схожі, але різні коди виробника</t>
        </is>
      </c>
    </row>
    <row r="584">
      <c r="A584" s="22" t="n">
        <v>74.09999999999999</v>
      </c>
      <c r="B584" s="22" t="inlineStr">
        <is>
          <t>Клуб Рослин</t>
        </is>
      </c>
      <c r="C584" s="22" t="inlineStr">
        <is>
          <t>1069102</t>
        </is>
      </c>
      <c r="D584" s="22" t="inlineStr">
        <is>
          <t>12315</t>
        </is>
      </c>
      <c r="E584" s="21" t="inlineStr">
        <is>
          <t>Сокира універсальна Фіскарс Fiskars X-Series X14 XS Universal (1069102) Фінляндія</t>
        </is>
      </c>
      <c r="F584" s="21" t="inlineStr">
        <is>
          <t>Сокира Fiskars Х10 універсальна</t>
        </is>
      </c>
      <c r="G584" s="23" t="n">
        <v>3299</v>
      </c>
      <c r="H584" s="23" t="n">
        <v>1407</v>
      </c>
      <c r="I584" s="21" t="inlineStr">
        <is>
          <t>назви схожі, різняться словами: universal, xs, xseries та ще 2</t>
        </is>
      </c>
    </row>
    <row r="585">
      <c r="A585" s="22" t="n">
        <v>74.09999999999999</v>
      </c>
      <c r="B585" s="22" t="inlineStr">
        <is>
          <t>Клуб Рослин</t>
        </is>
      </c>
      <c r="C585" s="22" t="inlineStr">
        <is>
          <t>1026826</t>
        </is>
      </c>
      <c r="D585" s="22" t="inlineStr">
        <is>
          <t>11041</t>
        </is>
      </c>
      <c r="E585" s="21" t="inlineStr">
        <is>
          <t>Ножиці для трави Фіскарс / Fiskars Solid GS21 (1026826) Фінляндія</t>
        </is>
      </c>
      <c r="F585" s="21" t="inlineStr">
        <is>
          <t>Ножиці для трави Fiskars 113680</t>
        </is>
      </c>
      <c r="G585" s="23" t="n">
        <v>1499</v>
      </c>
      <c r="H585" s="23" t="n">
        <v>972.8</v>
      </c>
      <c r="I585" s="21" t="inlineStr">
        <is>
          <t>назви схожі, але різні коди виробника</t>
        </is>
      </c>
    </row>
    <row r="586">
      <c r="A586" s="22" t="n">
        <v>74.09999999999999</v>
      </c>
      <c r="B586" s="22" t="inlineStr">
        <is>
          <t>Клуб Рослин</t>
        </is>
      </c>
      <c r="C586" s="22" t="inlineStr">
        <is>
          <t>1027043</t>
        </is>
      </c>
      <c r="D586" s="22" t="inlineStr">
        <is>
          <t>12301</t>
        </is>
      </c>
      <c r="E586" s="21" t="inlineStr">
        <is>
          <t>Садовий совок Фіскарс / Fiskars Xact (1027043) Фінляндія</t>
        </is>
      </c>
      <c r="F586" s="21" t="inlineStr">
        <is>
          <t>Совок садовий Fiskars 137000</t>
        </is>
      </c>
      <c r="G586" s="23" t="n">
        <v>999</v>
      </c>
      <c r="H586" s="23" t="n">
        <v>696</v>
      </c>
      <c r="I586" s="21" t="inlineStr">
        <is>
          <t>назви схожі, але різні коди виробника</t>
        </is>
      </c>
    </row>
    <row r="587">
      <c r="A587" s="22" t="n">
        <v>74.09999999999999</v>
      </c>
      <c r="B587" s="22" t="inlineStr">
        <is>
          <t>Клуб Рослин</t>
        </is>
      </c>
      <c r="C587" s="22" t="inlineStr">
        <is>
          <t>1027017</t>
        </is>
      </c>
      <c r="D587" s="22" t="inlineStr">
        <is>
          <t>12301</t>
        </is>
      </c>
      <c r="E587" s="21" t="inlineStr">
        <is>
          <t>Садовий совок Фіскарс / Fiskars Ergo (1027017) Фінляндія</t>
        </is>
      </c>
      <c r="F587" s="21" t="inlineStr">
        <is>
          <t>Совок садовий Fiskars 137000</t>
        </is>
      </c>
      <c r="G587" s="23" t="n">
        <v>699</v>
      </c>
      <c r="H587" s="23" t="n">
        <v>696</v>
      </c>
      <c r="I587" s="21" t="inlineStr">
        <is>
          <t>назви схожі, але різні коди виробника</t>
        </is>
      </c>
    </row>
    <row r="588">
      <c r="A588" s="22" t="n">
        <v>74.09999999999999</v>
      </c>
      <c r="B588" s="22" t="inlineStr">
        <is>
          <t>Клуб Рослин</t>
        </is>
      </c>
      <c r="C588" s="22" t="inlineStr">
        <is>
          <t>1027018</t>
        </is>
      </c>
      <c r="D588" s="22" t="inlineStr">
        <is>
          <t>12301</t>
        </is>
      </c>
      <c r="E588" s="21" t="inlineStr">
        <is>
          <t>Садовий совок Фіскарс / Fiskars Ergo (1027018) Фінляндія</t>
        </is>
      </c>
      <c r="F588" s="21" t="inlineStr">
        <is>
          <t>Совок садовий Fiskars 137000</t>
        </is>
      </c>
      <c r="G588" s="23" t="n">
        <v>699</v>
      </c>
      <c r="H588" s="23" t="n">
        <v>696</v>
      </c>
      <c r="I588" s="21" t="inlineStr">
        <is>
          <t>назви схожі, але різні коди виробника</t>
        </is>
      </c>
    </row>
    <row r="589">
      <c r="A589" s="22" t="n">
        <v>74</v>
      </c>
      <c r="B589" s="22" t="inlineStr">
        <is>
          <t>Клуб Рослин</t>
        </is>
      </c>
      <c r="C589" s="22" t="inlineStr">
        <is>
          <t>8089</t>
        </is>
      </c>
      <c r="D589" s="22" t="inlineStr">
        <is>
          <t>13633</t>
        </is>
      </c>
      <c r="E589" s="21" t="inlineStr">
        <is>
          <t>Добриво Осмокот / Osmocote Standard 15-9-11 (12-14 M) 25 кг ICL Нідерланди</t>
        </is>
      </c>
      <c r="F589" s="21" t="inlineStr">
        <is>
          <t>Добриво тривалої дії Osmocote Standard 15-9-11+2MgO+TE (12-14 місяців), 25 кг</t>
        </is>
      </c>
      <c r="G589" s="23" t="n">
        <v>9356</v>
      </c>
      <c r="H589" s="23" t="n">
        <v>6990</v>
      </c>
      <c r="I589" s="21" t="inlineStr">
        <is>
          <t>назви схожі, але різні коди виробника</t>
        </is>
      </c>
    </row>
    <row r="590">
      <c r="A590" s="22" t="n">
        <v>74</v>
      </c>
      <c r="B590" s="22" t="inlineStr">
        <is>
          <t>Клуб Рослин</t>
        </is>
      </c>
      <c r="C590" s="22" t="inlineStr">
        <is>
          <t>1066729</t>
        </is>
      </c>
      <c r="D590" s="22" t="inlineStr">
        <is>
          <t>10549</t>
        </is>
      </c>
      <c r="E590" s="21" t="inlineStr">
        <is>
          <t>Лопата штикова Фіскарс Fiskars Xact (1066729) Фінляндія</t>
        </is>
      </c>
      <c r="F590" s="21" t="inlineStr">
        <is>
          <t>Лопата Fiskars Xact (М) 131482 садова штикова</t>
        </is>
      </c>
      <c r="G590" s="23" t="n">
        <v>3599</v>
      </c>
      <c r="H590" s="23" t="n">
        <v>1542.8</v>
      </c>
      <c r="I590" s="21" t="inlineStr">
        <is>
          <t>назви схожі, але різні коди виробника</t>
        </is>
      </c>
    </row>
    <row r="591">
      <c r="A591" s="22" t="n">
        <v>74</v>
      </c>
      <c r="B591" s="22" t="inlineStr">
        <is>
          <t>Клуб Рослин</t>
        </is>
      </c>
      <c r="C591" s="22" t="inlineStr">
        <is>
          <t>1070678</t>
        </is>
      </c>
      <c r="D591" s="22" t="inlineStr">
        <is>
          <t>8693</t>
        </is>
      </c>
      <c r="E591" s="21" t="inlineStr">
        <is>
          <t>Вила для компосту Фіскарс / Fiskars Ergonomic (1070678) Фінляндія</t>
        </is>
      </c>
      <c r="F591" s="21" t="inlineStr">
        <is>
          <t>Вила Fiskars (133430) для компосту</t>
        </is>
      </c>
      <c r="G591" s="23" t="n">
        <v>2699</v>
      </c>
      <c r="H591" s="23" t="n">
        <v>958.3</v>
      </c>
      <c r="I591" s="21" t="inlineStr">
        <is>
          <t>назви схожі, але різні коди виробника</t>
        </is>
      </c>
    </row>
    <row r="592">
      <c r="A592" s="22" t="n">
        <v>74</v>
      </c>
      <c r="B592" s="22" t="inlineStr">
        <is>
          <t>Клуб Рослин</t>
        </is>
      </c>
      <c r="C592" s="22" t="inlineStr">
        <is>
          <t>910 Black</t>
        </is>
      </c>
      <c r="D592" s="22" t="inlineStr">
        <is>
          <t>15293</t>
        </is>
      </c>
      <c r="E592" s="21" t="inlineStr">
        <is>
          <t>Чохол для секатора Фелко / Felco 910 Black Швейцарія</t>
        </is>
      </c>
      <c r="F592" s="21" t="inlineStr">
        <is>
          <t>Кобура для секаторів Felco 910 Black (Фелко 910 чорна)</t>
        </is>
      </c>
      <c r="G592" s="23" t="n">
        <v>1349</v>
      </c>
      <c r="H592" s="23" t="n">
        <v>1349</v>
      </c>
      <c r="I592" s="21" t="inlineStr">
        <is>
          <t>назви схожі, різняться словами: кобура, секаторів, секатора та ще 2</t>
        </is>
      </c>
    </row>
    <row r="593">
      <c r="A593" s="22" t="n">
        <v>73.90000000000001</v>
      </c>
      <c r="B593" s="22" t="inlineStr">
        <is>
          <t>Водоспад</t>
        </is>
      </c>
      <c r="C593" s="22" t="inlineStr">
        <is>
          <t>9.109</t>
        </is>
      </c>
      <c r="D593" s="22" t="inlineStr">
        <is>
          <t>32928</t>
        </is>
      </c>
      <c r="E593" s="21" t="inlineStr">
        <is>
          <t>Секатор обвідний з поворотним руків'ям​​​​​​​ Льове / Lowe Original (9.109) Німеччина</t>
        </is>
      </c>
      <c r="F593" s="21" t="inlineStr">
        <is>
          <t>Секатор садовий LOWE Original 15.107 (Німеччина)</t>
        </is>
      </c>
      <c r="G593" s="23" t="n">
        <v>3750</v>
      </c>
      <c r="H593" s="23" t="n">
        <v>1850</v>
      </c>
      <c r="I593" s="21" t="inlineStr">
        <is>
          <t>назви схожі, різняться словами: льове, обвідний, поворотним та ще 2</t>
        </is>
      </c>
    </row>
    <row r="594">
      <c r="A594" s="22" t="n">
        <v>73.90000000000001</v>
      </c>
      <c r="B594" s="22" t="inlineStr">
        <is>
          <t>Водоспад</t>
        </is>
      </c>
      <c r="C594" s="22" t="inlineStr">
        <is>
          <t>QA-0361</t>
        </is>
      </c>
      <c r="D594" s="22" t="inlineStr">
        <is>
          <t>42747</t>
        </is>
      </c>
      <c r="E594" s="21" t="inlineStr">
        <is>
          <t>Камінь точильний водний Gouken 1000 grit Наніва / Naniwa (QA-0361) Японія</t>
        </is>
      </c>
      <c r="F594" s="21" t="inlineStr">
        <is>
          <t>Точильний камінь японський водний 12000 grit GOUKEN NANIWA NK-2291 210x70x20 мм, 0,74 Kg</t>
        </is>
      </c>
      <c r="G594" s="23" t="n">
        <v>895</v>
      </c>
      <c r="H594" s="23" t="n">
        <v>6990</v>
      </c>
      <c r="I594" s="21" t="inlineStr">
        <is>
          <t>назви схожі, але різні коди виробника</t>
        </is>
      </c>
    </row>
    <row r="595">
      <c r="A595" s="22" t="n">
        <v>73.90000000000001</v>
      </c>
      <c r="B595" s="22" t="inlineStr">
        <is>
          <t>Водоспад</t>
        </is>
      </c>
      <c r="C595" s="22" t="inlineStr">
        <is>
          <t>b7ae5581-dcce-11f0-81e7-e89c257d8b8f</t>
        </is>
      </c>
      <c r="D595" s="22" t="inlineStr">
        <is>
          <t>42747</t>
        </is>
      </c>
      <c r="E595" s="21" t="inlineStr">
        <is>
          <t>Камінь точильний водний GOUKEN 1000 grit Наніва / Naniwa (QA-0361) Японія</t>
        </is>
      </c>
      <c r="F595" s="21" t="inlineStr">
        <is>
          <t>Точильний камінь японський водний 12000 grit GOUKEN NANIWA NK-2291 210x70x20 мм, 0,74 Kg</t>
        </is>
      </c>
      <c r="G595" s="23" t="n">
        <v>895</v>
      </c>
      <c r="H595" s="23" t="n">
        <v>6990</v>
      </c>
      <c r="I595" s="21" t="inlineStr">
        <is>
          <t>назви схожі, але різні коди виробника</t>
        </is>
      </c>
    </row>
    <row r="596">
      <c r="A596" s="22" t="n">
        <v>73.90000000000001</v>
      </c>
      <c r="B596" s="22" t="inlineStr">
        <is>
          <t>Клуб Рослин</t>
        </is>
      </c>
      <c r="C596" s="22" t="inlineStr">
        <is>
          <t>211P-SP-OT</t>
        </is>
      </c>
      <c r="D596" s="22" t="inlineStr">
        <is>
          <t>10856</t>
        </is>
      </c>
      <c r="E596" s="21" t="inlineStr">
        <is>
          <t>Щеплювальний ніж для окулірування з відокремлювачем кори Due Buoi 211P-SP-OT Італія</t>
        </is>
      </c>
      <c r="F596" s="21" t="inlineStr">
        <is>
          <t>Ніж Due Buoi 205P для окулірування</t>
        </is>
      </c>
      <c r="G596" s="23" t="n">
        <v>1990</v>
      </c>
      <c r="H596" s="23" t="n">
        <v>1949</v>
      </c>
      <c r="I596" s="21" t="inlineStr">
        <is>
          <t>назви схожі, різняться словами: відокремлювачем, кори, щеплювальний</t>
        </is>
      </c>
    </row>
    <row r="597">
      <c r="A597" s="22" t="n">
        <v>73.90000000000001</v>
      </c>
      <c r="B597" s="22" t="inlineStr">
        <is>
          <t>Клуб Рослин</t>
        </is>
      </c>
      <c r="C597" s="22" t="inlineStr">
        <is>
          <t>171M</t>
        </is>
      </c>
      <c r="D597" s="22" t="inlineStr">
        <is>
          <t>12519</t>
        </is>
      </c>
      <c r="E597" s="21" t="inlineStr">
        <is>
          <t>Секатор обвідний Фелко / Felco 171M Швейцарія</t>
        </is>
      </c>
      <c r="F597" s="21" t="inlineStr">
        <is>
          <t>Сучкоріз Felco 21 обвідний (Фелко 21)</t>
        </is>
      </c>
      <c r="G597" s="23" t="n">
        <v>1399</v>
      </c>
      <c r="H597" s="23" t="n">
        <v>7500</v>
      </c>
      <c r="I597" s="21" t="inlineStr">
        <is>
          <t>назви схожі, різняться словами: секатор, сучкоріз</t>
        </is>
      </c>
    </row>
    <row r="598">
      <c r="A598" s="22" t="n">
        <v>73.90000000000001</v>
      </c>
      <c r="B598" s="22" t="inlineStr">
        <is>
          <t>Клуб Рослин</t>
        </is>
      </c>
      <c r="C598" s="22" t="inlineStr">
        <is>
          <t>4587-11.B</t>
        </is>
      </c>
      <c r="D598" s="22" t="inlineStr">
        <is>
          <t>11174</t>
        </is>
      </c>
      <c r="E598" s="21" t="inlineStr">
        <is>
          <t>Ножівка садова з чохлом 280 мм Bellota (4587-11.B) Іспанія</t>
        </is>
      </c>
      <c r="F598" s="21" t="inlineStr">
        <is>
          <t>Пила (ножівка) садова Bellota 4589-12.B з чохлом (пряме лезо)</t>
        </is>
      </c>
      <c r="G598" s="23" t="n">
        <v>1265</v>
      </c>
      <c r="H598" s="23" t="n">
        <v>1245</v>
      </c>
      <c r="I598" s="21" t="inlineStr">
        <is>
          <t>назви схожі, але різні коди виробника</t>
        </is>
      </c>
    </row>
    <row r="599">
      <c r="A599" s="22" t="n">
        <v>73.90000000000001</v>
      </c>
      <c r="B599" s="22" t="inlineStr">
        <is>
          <t>Клуб Рослин</t>
        </is>
      </c>
      <c r="C599" s="22" t="inlineStr">
        <is>
          <t>7233</t>
        </is>
      </c>
      <c r="D599" s="22" t="inlineStr">
        <is>
          <t>9198</t>
        </is>
      </c>
      <c r="E599" s="21" t="inlineStr">
        <is>
          <t>Добриво укорінювач Рутмост-C60 ROOTMOST-С60 1 л SmartGrow Україна</t>
        </is>
      </c>
      <c r="F599" s="21" t="inlineStr">
        <is>
          <t>Добриво SmartGrow RootMost, укорінювач Смарт Гроу, 1 л</t>
        </is>
      </c>
      <c r="G599" s="23" t="n">
        <v>1048</v>
      </c>
      <c r="H599" s="23" t="n">
        <v>895</v>
      </c>
      <c r="I599" s="21" t="inlineStr">
        <is>
          <t>назви схожі, різняться словами: rootmost, гроу, смарт</t>
        </is>
      </c>
    </row>
    <row r="600">
      <c r="A600" s="22" t="n">
        <v>73.90000000000001</v>
      </c>
      <c r="B600" s="22" t="inlineStr">
        <is>
          <t>Клуб Рослин</t>
        </is>
      </c>
      <c r="C600" s="22" t="inlineStr">
        <is>
          <t>1623AF</t>
        </is>
      </c>
      <c r="D600" s="22" t="inlineStr">
        <is>
          <t>9622</t>
        </is>
      </c>
      <c r="E600" s="21" t="inlineStr">
        <is>
          <t>Окуляри захисні 3М 1623AF</t>
        </is>
      </c>
      <c r="F600" s="21" t="inlineStr">
        <is>
          <t>Захисні окуляри LESO-TR</t>
        </is>
      </c>
      <c r="G600" s="23" t="n">
        <v>348</v>
      </c>
      <c r="H600" s="23" t="n">
        <v>70</v>
      </c>
      <c r="I600" s="21" t="inlineStr">
        <is>
          <t>назви схожі, різняться словами: lesotr</t>
        </is>
      </c>
    </row>
    <row r="601">
      <c r="A601" s="22" t="n">
        <v>73.90000000000001</v>
      </c>
      <c r="B601" s="22" t="inlineStr">
        <is>
          <t>Клуб Рослин</t>
        </is>
      </c>
      <c r="C601" s="22" t="inlineStr">
        <is>
          <t>13001</t>
        </is>
      </c>
      <c r="D601" s="22" t="inlineStr">
        <is>
          <t>9483</t>
        </is>
      </c>
      <c r="E601" s="21" t="inlineStr">
        <is>
          <t>Ваги електронні з двома чашами 0.01-500 г</t>
        </is>
      </c>
      <c r="F601" s="21" t="inlineStr">
        <is>
          <t>Електронні ваги-ложка Admetior з двома мірками до 3000 г</t>
        </is>
      </c>
      <c r="G601" s="23" t="n">
        <v>298</v>
      </c>
      <c r="H601" s="23" t="n">
        <v>2185</v>
      </c>
      <c r="I601" s="21" t="inlineStr">
        <is>
          <t>назви схожі, але різні об'єми або розміри</t>
        </is>
      </c>
    </row>
    <row r="602">
      <c r="A602" s="22" t="n">
        <v>73.8</v>
      </c>
      <c r="B602" s="22" t="inlineStr">
        <is>
          <t>Водоспад</t>
        </is>
      </c>
      <c r="C602" s="22" t="inlineStr">
        <is>
          <t>34-171</t>
        </is>
      </c>
      <c r="D602" s="22" t="inlineStr">
        <is>
          <t>39101</t>
        </is>
      </c>
      <c r="E602" s="21" t="inlineStr">
        <is>
          <t>Секатор акумуляторний Vorhut Pro VBC20B (34-171)</t>
        </is>
      </c>
      <c r="F602" s="21" t="inlineStr">
        <is>
          <t>Акумуляторний секатор Bahco (BCL20IB)</t>
        </is>
      </c>
      <c r="G602" s="23" t="n">
        <v>3750</v>
      </c>
      <c r="H602" s="23" t="n">
        <v>16999</v>
      </c>
      <c r="I602" s="21" t="inlineStr">
        <is>
          <t>назви схожі, але різні бренди</t>
        </is>
      </c>
    </row>
    <row r="603">
      <c r="A603" s="22" t="n">
        <v>73.8</v>
      </c>
      <c r="B603" s="22" t="inlineStr">
        <is>
          <t>Клуб Рослин</t>
        </is>
      </c>
      <c r="C603" s="22" t="inlineStr">
        <is>
          <t>1082131</t>
        </is>
      </c>
      <c r="D603" s="22" t="inlineStr">
        <is>
          <t>12334</t>
        </is>
      </c>
      <c r="E603" s="21" t="inlineStr">
        <is>
          <t>Сокира-колун Фіскарс Fiskars Ultra XU32 (1082131) Фінляндія</t>
        </is>
      </c>
      <c r="F603" s="21" t="inlineStr">
        <is>
          <t>Сокира колун Fiskars Х27</t>
        </is>
      </c>
      <c r="G603" s="23" t="n">
        <v>6999</v>
      </c>
      <c r="H603" s="23" t="n">
        <v>2453.9</v>
      </c>
      <c r="I603" s="21" t="inlineStr">
        <is>
          <t>назви схожі, різняться словами: ultra, фінляндія, фіскарс</t>
        </is>
      </c>
    </row>
    <row r="604">
      <c r="A604" s="22" t="n">
        <v>73.8</v>
      </c>
      <c r="B604" s="22" t="inlineStr">
        <is>
          <t>Клуб Рослин</t>
        </is>
      </c>
      <c r="C604" s="22" t="inlineStr">
        <is>
          <t>42-204</t>
        </is>
      </c>
      <c r="D604" s="22" t="inlineStr">
        <is>
          <t>13960</t>
        </is>
      </c>
      <c r="E604" s="21" t="inlineStr">
        <is>
          <t>Сівалка ручна Целлфаст / Cellfast (42-204) Польща</t>
        </is>
      </c>
      <c r="F604" s="21" t="inlineStr">
        <is>
          <t>Сіялка ручна Cellfast 3 л 42-204 (Селлфаст)</t>
        </is>
      </c>
      <c r="G604" s="23" t="n">
        <v>730</v>
      </c>
      <c r="H604" s="23" t="n">
        <v>937</v>
      </c>
      <c r="I604" s="21" t="inlineStr">
        <is>
          <t>назви схожі, різняться словами: сівалка, сіялка, селлфаст та ще 1</t>
        </is>
      </c>
    </row>
    <row r="605">
      <c r="A605" s="22" t="n">
        <v>73.8</v>
      </c>
      <c r="B605" s="22" t="inlineStr">
        <is>
          <t>Клуб Рослин</t>
        </is>
      </c>
      <c r="C605" s="22" t="inlineStr">
        <is>
          <t>3622 INOX.B</t>
        </is>
      </c>
      <c r="D605" s="22" t="inlineStr">
        <is>
          <t>11879</t>
        </is>
      </c>
      <c r="E605" s="21" t="inlineStr">
        <is>
          <t>Секатор для збирання винограду Bellota (3622 INOX.B) Іспанія</t>
        </is>
      </c>
      <c r="F605" s="21" t="inlineStr">
        <is>
          <t>Секатор Bellota 3622 INOX для збору винограду обвідний нержавіючий (Беллота 3622)</t>
        </is>
      </c>
      <c r="G605" s="23" t="n">
        <v>585</v>
      </c>
      <c r="H605" s="23" t="n">
        <v>585</v>
      </c>
      <c r="I605" s="21" t="inlineStr">
        <is>
          <t>назви схожі, але різні коди виробника</t>
        </is>
      </c>
    </row>
    <row r="606">
      <c r="A606" s="22" t="n">
        <v>73.7</v>
      </c>
      <c r="B606" s="22" t="inlineStr">
        <is>
          <t>Водоспад</t>
        </is>
      </c>
      <c r="C606" s="22" t="inlineStr">
        <is>
          <t>3612.B</t>
        </is>
      </c>
      <c r="D606" s="22" t="inlineStr">
        <is>
          <t>33612</t>
        </is>
      </c>
      <c r="E606" s="21" t="inlineStr">
        <is>
          <t>Секатор довгомірний телескопічний 1500 мм Bellota (3612.B) Іспанія</t>
        </is>
      </c>
      <c r="F606" s="21" t="inlineStr">
        <is>
          <t>Телескопічний секатор для роботи у важкодоступних місцях 1500 мм Bellota (3612)</t>
        </is>
      </c>
      <c r="G606" s="23" t="n">
        <v>3429</v>
      </c>
      <c r="H606" s="23" t="n">
        <v>3299</v>
      </c>
      <c r="I606" s="21" t="inlineStr">
        <is>
          <t>назви схожі, різняться словами: важкодоступних, довгомірний, місцях та ще 1</t>
        </is>
      </c>
    </row>
    <row r="607">
      <c r="A607" s="22" t="n">
        <v>73.7</v>
      </c>
      <c r="B607" s="22" t="inlineStr">
        <is>
          <t>Клуб Рослин</t>
        </is>
      </c>
      <c r="C607" s="22" t="inlineStr">
        <is>
          <t>0105-1</t>
        </is>
      </c>
      <c r="D607" s="22" t="inlineStr">
        <is>
          <t>15802</t>
        </is>
      </c>
      <c r="E607" s="21" t="inlineStr">
        <is>
          <t>Кущоріз 540 мм Доукан / Doukan (0105-1) Японія</t>
        </is>
      </c>
      <c r="F607" s="21" t="inlineStr">
        <is>
          <t>Садові ножиці Doukan 0105-1 японські (кущорізи Доукан 0105-1)</t>
        </is>
      </c>
      <c r="G607" s="23" t="n">
        <v>2910</v>
      </c>
      <c r="H607" s="23" t="n">
        <v>2910</v>
      </c>
      <c r="I607" s="21" t="inlineStr">
        <is>
          <t>назви схожі, різняться словами: кущоріз, кущорізи, ножиці та ще 2</t>
        </is>
      </c>
    </row>
    <row r="608">
      <c r="A608" s="22" t="n">
        <v>73.7</v>
      </c>
      <c r="B608" s="22" t="inlineStr">
        <is>
          <t>Клуб Рослин</t>
        </is>
      </c>
      <c r="C608" s="22" t="inlineStr">
        <is>
          <t>170L</t>
        </is>
      </c>
      <c r="D608" s="22" t="inlineStr">
        <is>
          <t>16102</t>
        </is>
      </c>
      <c r="E608" s="21" t="inlineStr">
        <is>
          <t>Секатор обвідний Фелко / Felco 170L Швейцарія</t>
        </is>
      </c>
      <c r="F608" s="21" t="inlineStr">
        <is>
          <t>Садовий секатор FELCO 170L великий обвідний ергономічний (Фелко 170L)</t>
        </is>
      </c>
      <c r="G608" s="23" t="n">
        <v>1990</v>
      </c>
      <c r="H608" s="23" t="n">
        <v>1990</v>
      </c>
      <c r="I608" s="21" t="inlineStr">
        <is>
          <t>назви схожі, різняться словами: великий, ергономічний, садовий</t>
        </is>
      </c>
    </row>
    <row r="609">
      <c r="A609" s="22" t="n">
        <v>73.59999999999999</v>
      </c>
      <c r="B609" s="22" t="inlineStr">
        <is>
          <t>Водоспад</t>
        </is>
      </c>
      <c r="C609" s="22" t="inlineStr">
        <is>
          <t>P129-19</t>
        </is>
      </c>
      <c r="D609" s="22" t="inlineStr">
        <is>
          <t>31973</t>
        </is>
      </c>
      <c r="E609" s="21" t="inlineStr">
        <is>
          <t>Ножниці для збору винограду P129-19 Bahco</t>
        </is>
      </c>
      <c r="F609" s="21" t="inlineStr">
        <is>
          <t>Ножиці для обрізання винограду Bahco (P123-19-BULK)</t>
        </is>
      </c>
      <c r="G609" s="23" t="n">
        <v>585</v>
      </c>
      <c r="H609" s="23" t="n">
        <v>280</v>
      </c>
      <c r="I609" s="21" t="inlineStr">
        <is>
          <t>назви схожі, але різні коди виробника</t>
        </is>
      </c>
    </row>
    <row r="610">
      <c r="A610" s="22" t="n">
        <v>73.5</v>
      </c>
      <c r="B610" s="22" t="inlineStr">
        <is>
          <t>Водоспад</t>
        </is>
      </c>
      <c r="C610" s="22" t="inlineStr">
        <is>
          <t>1-800</t>
        </is>
      </c>
      <c r="D610" s="22" t="inlineStr">
        <is>
          <t>42918</t>
        </is>
      </c>
      <c r="E610" s="21" t="inlineStr">
        <is>
          <t>Садовий бальзам Вокс / Voks 800 г зі шпателем Агрохімпак Україна</t>
        </is>
      </c>
      <c r="F610" s="21" t="inlineStr">
        <is>
          <t>Садовий бальзам VOKS (Вокс), 200 г в тубі</t>
        </is>
      </c>
      <c r="G610" s="23" t="n">
        <v>375</v>
      </c>
      <c r="H610" s="23" t="n">
        <v>179</v>
      </c>
      <c r="I610" s="21" t="inlineStr">
        <is>
          <t>назви схожі, але різні об'єми або розміри</t>
        </is>
      </c>
    </row>
    <row r="611">
      <c r="A611" s="22" t="n">
        <v>73.5</v>
      </c>
      <c r="B611" s="22" t="inlineStr">
        <is>
          <t>Водоспад</t>
        </is>
      </c>
      <c r="C611" s="22" t="inlineStr">
        <is>
          <t>1-400</t>
        </is>
      </c>
      <c r="D611" s="22" t="inlineStr">
        <is>
          <t>42918</t>
        </is>
      </c>
      <c r="E611" s="21" t="inlineStr">
        <is>
          <t>Садовий бальзам Вокс / Voks 400 г зі шпателем Агрохімпак Україна</t>
        </is>
      </c>
      <c r="F611" s="21" t="inlineStr">
        <is>
          <t>Садовий бальзам VOKS (Вокс), 200 г в тубі</t>
        </is>
      </c>
      <c r="G611" s="23" t="n">
        <v>225</v>
      </c>
      <c r="H611" s="23" t="n">
        <v>179</v>
      </c>
      <c r="I611" s="21" t="inlineStr">
        <is>
          <t>назви схожі, але різні об'єми або розміри</t>
        </is>
      </c>
    </row>
    <row r="612">
      <c r="A612" s="22" t="n">
        <v>73.5</v>
      </c>
      <c r="B612" s="22" t="inlineStr">
        <is>
          <t>Клуб Рослин</t>
        </is>
      </c>
      <c r="C612" s="22" t="inlineStr">
        <is>
          <t>613/10.5</t>
        </is>
      </c>
      <c r="D612" s="22" t="inlineStr">
        <is>
          <t>10938</t>
        </is>
      </c>
      <c r="E612" s="21" t="inlineStr">
        <is>
          <t>Щеплювальний садовий ніж Тіна / Tina (613/10.5) Німеччина</t>
        </is>
      </c>
      <c r="F612" s="21" t="inlineStr">
        <is>
          <t>Ніж Tina 613/10,5</t>
        </is>
      </c>
      <c r="G612" s="23" t="n">
        <v>5099</v>
      </c>
      <c r="H612" s="23" t="n">
        <v>5099</v>
      </c>
      <c r="I612" s="21" t="inlineStr">
        <is>
          <t>назви схожі, різняться словами: садовий, тіна, щеплювальний</t>
        </is>
      </c>
    </row>
    <row r="613">
      <c r="A613" s="22" t="n">
        <v>73.5</v>
      </c>
      <c r="B613" s="22" t="inlineStr">
        <is>
          <t>Клуб Рослин</t>
        </is>
      </c>
      <c r="C613" s="22" t="inlineStr">
        <is>
          <t>0128</t>
        </is>
      </c>
      <c r="D613" s="22" t="inlineStr">
        <is>
          <t>15808</t>
        </is>
      </c>
      <c r="E613" s="21" t="inlineStr">
        <is>
          <t>Кущоріз 760 мм Доукан / Doukan (0128) Японія</t>
        </is>
      </c>
      <c r="F613" s="21" t="inlineStr">
        <is>
          <t>Садові ножиці Doukan 0128 японські (кущорізи Доукан 0128)</t>
        </is>
      </c>
      <c r="G613" s="23" t="n">
        <v>3750</v>
      </c>
      <c r="H613" s="23" t="n">
        <v>3750</v>
      </c>
      <c r="I613" s="21" t="inlineStr">
        <is>
          <t>назви схожі, різняться словами: кущоріз, кущорізи, ножиці та ще 2</t>
        </is>
      </c>
    </row>
    <row r="614">
      <c r="A614" s="22" t="n">
        <v>73.5</v>
      </c>
      <c r="B614" s="22" t="inlineStr">
        <is>
          <t>Клуб Рослин</t>
        </is>
      </c>
      <c r="C614" s="22" t="inlineStr">
        <is>
          <t>0123</t>
        </is>
      </c>
      <c r="D614" s="22" t="inlineStr">
        <is>
          <t>15806</t>
        </is>
      </c>
      <c r="E614" s="21" t="inlineStr">
        <is>
          <t>Кущоріз 690 мм Доукан / Doukan (0123) Японія</t>
        </is>
      </c>
      <c r="F614" s="21" t="inlineStr">
        <is>
          <t>Садові ножиці Doukan 0123 японські (кущорізи Доукан 0123)</t>
        </is>
      </c>
      <c r="G614" s="23" t="n">
        <v>3690</v>
      </c>
      <c r="H614" s="23" t="n">
        <v>3690</v>
      </c>
      <c r="I614" s="21" t="inlineStr">
        <is>
          <t>назви схожі, різняться словами: кущоріз, кущорізи, ножиці та ще 2</t>
        </is>
      </c>
    </row>
    <row r="615">
      <c r="A615" s="22" t="n">
        <v>73.5</v>
      </c>
      <c r="B615" s="22" t="inlineStr">
        <is>
          <t>Клуб Рослин</t>
        </is>
      </c>
      <c r="C615" s="22" t="inlineStr">
        <is>
          <t>0124</t>
        </is>
      </c>
      <c r="D615" s="22" t="inlineStr">
        <is>
          <t>15807</t>
        </is>
      </c>
      <c r="E615" s="21" t="inlineStr">
        <is>
          <t>Кущоріз 690 мм Доукан / Doukan (0124) Японія</t>
        </is>
      </c>
      <c r="F615" s="21" t="inlineStr">
        <is>
          <t>Садові ножиці Doukan 0124 японські (кущорізи Доукан 0124)</t>
        </is>
      </c>
      <c r="G615" s="23" t="n">
        <v>3490</v>
      </c>
      <c r="H615" s="23" t="n">
        <v>3490</v>
      </c>
      <c r="I615" s="21" t="inlineStr">
        <is>
          <t>назви схожі, різняться словами: кущоріз, кущорізи, ножиці та ще 2</t>
        </is>
      </c>
    </row>
    <row r="616">
      <c r="A616" s="22" t="n">
        <v>73.5</v>
      </c>
      <c r="B616" s="22" t="inlineStr">
        <is>
          <t>Клуб Рослин</t>
        </is>
      </c>
      <c r="C616" s="22" t="inlineStr">
        <is>
          <t>0113</t>
        </is>
      </c>
      <c r="D616" s="22" t="inlineStr">
        <is>
          <t>15804</t>
        </is>
      </c>
      <c r="E616" s="21" t="inlineStr">
        <is>
          <t>Кущоріз 670 мм Доукан / Doukan (0113) Японія</t>
        </is>
      </c>
      <c r="F616" s="21" t="inlineStr">
        <is>
          <t>Садові ножиці Doukan 0113 японські (кущорізи Доукан 0113)</t>
        </is>
      </c>
      <c r="G616" s="23" t="n">
        <v>3490</v>
      </c>
      <c r="H616" s="23" t="n">
        <v>3490</v>
      </c>
      <c r="I616" s="21" t="inlineStr">
        <is>
          <t>назви схожі, різняться словами: кущоріз, кущорізи, ножиці та ще 2</t>
        </is>
      </c>
    </row>
    <row r="617">
      <c r="A617" s="22" t="n">
        <v>73.5</v>
      </c>
      <c r="B617" s="22" t="inlineStr">
        <is>
          <t>Клуб Рослин</t>
        </is>
      </c>
      <c r="C617" s="22" t="inlineStr">
        <is>
          <t>0105</t>
        </is>
      </c>
      <c r="D617" s="22" t="inlineStr">
        <is>
          <t>15801</t>
        </is>
      </c>
      <c r="E617" s="21" t="inlineStr">
        <is>
          <t>Кущоріз 540 мм Доукан / Doukan ( 0105) Японія</t>
        </is>
      </c>
      <c r="F617" s="21" t="inlineStr">
        <is>
          <t>Садові ножиці Doukan 0105 японські (кущорізи Доукан 0105)</t>
        </is>
      </c>
      <c r="G617" s="23" t="n">
        <v>2795</v>
      </c>
      <c r="H617" s="23" t="n">
        <v>2795</v>
      </c>
      <c r="I617" s="21" t="inlineStr">
        <is>
          <t>назви схожі, різняться словами: кущоріз, кущорізи, ножиці та ще 2</t>
        </is>
      </c>
    </row>
    <row r="618">
      <c r="A618" s="22" t="n">
        <v>73.5</v>
      </c>
      <c r="B618" s="22" t="inlineStr">
        <is>
          <t>Клуб Рослин</t>
        </is>
      </c>
      <c r="C618" s="22" t="inlineStr">
        <is>
          <t>0114</t>
        </is>
      </c>
      <c r="D618" s="22" t="inlineStr">
        <is>
          <t>15805</t>
        </is>
      </c>
      <c r="E618" s="21" t="inlineStr">
        <is>
          <t>Кущоріз 550 мм Доукан / Doukan (0114) Японія</t>
        </is>
      </c>
      <c r="F618" s="21" t="inlineStr">
        <is>
          <t>Садові ножиці Doukan 0114 японські (кущорізи Доукан 0114)</t>
        </is>
      </c>
      <c r="G618" s="23" t="n">
        <v>2790</v>
      </c>
      <c r="H618" s="23" t="n">
        <v>2790</v>
      </c>
      <c r="I618" s="21" t="inlineStr">
        <is>
          <t>назви схожі, різняться словами: кущоріз, кущорізи, ножиці та ще 2</t>
        </is>
      </c>
    </row>
    <row r="619">
      <c r="A619" s="22" t="n">
        <v>73.5</v>
      </c>
      <c r="B619" s="22" t="inlineStr">
        <is>
          <t>Клуб Рослин</t>
        </is>
      </c>
      <c r="C619" s="22" t="inlineStr">
        <is>
          <t>12356</t>
        </is>
      </c>
      <c r="D619" s="22" t="inlineStr">
        <is>
          <t>10904</t>
        </is>
      </c>
      <c r="E619" s="21" t="inlineStr">
        <is>
          <t>Ніж Мора / Morakniv Bushcraft Forest Sandvik 12C27 (12356) Швеція</t>
        </is>
      </c>
      <c r="F619" s="21" t="inlineStr">
        <is>
          <t>Ніж Mora BushCraft Forest</t>
        </is>
      </c>
      <c r="G619" s="23" t="n">
        <v>1799</v>
      </c>
      <c r="H619" s="23" t="n">
        <v>669.6</v>
      </c>
      <c r="I619" s="21" t="inlineStr">
        <is>
          <t>назви схожі, різняться словами: sandvik, мора</t>
        </is>
      </c>
    </row>
    <row r="620">
      <c r="A620" s="22" t="n">
        <v>73.5</v>
      </c>
      <c r="B620" s="22" t="inlineStr">
        <is>
          <t>Клуб Рослин</t>
        </is>
      </c>
      <c r="C620" s="22" t="inlineStr">
        <is>
          <t>SR-SC-RAKE</t>
        </is>
      </c>
      <c r="D620" s="22" t="inlineStr">
        <is>
          <t>16109</t>
        </is>
      </c>
      <c r="E620" s="21" t="inlineStr">
        <is>
          <t>Граблі для скарифікації газону Смарт Рейн / Smart Rain (SR-SC-RAKE) Україна</t>
        </is>
      </c>
      <c r="F620" s="21" t="inlineStr">
        <is>
          <t>Лопата Smart Rain для газону SR-SH (Смарт Рейн SR-SH)</t>
        </is>
      </c>
      <c r="G620" s="23" t="n">
        <v>1295</v>
      </c>
      <c r="H620" s="23" t="n">
        <v>3950</v>
      </c>
      <c r="I620" s="21" t="inlineStr">
        <is>
          <t>назви схожі, різняться словами: srscrake, srsh, граблі та ще 2</t>
        </is>
      </c>
    </row>
    <row r="621">
      <c r="A621" s="22" t="n">
        <v>73.40000000000001</v>
      </c>
      <c r="B621" s="22" t="inlineStr">
        <is>
          <t>Клуб Рослин</t>
        </is>
      </c>
      <c r="C621" s="22" t="inlineStr">
        <is>
          <t>1069104</t>
        </is>
      </c>
      <c r="D621" s="22" t="inlineStr">
        <is>
          <t>12315</t>
        </is>
      </c>
      <c r="E621" s="21" t="inlineStr">
        <is>
          <t>Сокира універсальна Фіскарс Fiskars X-Series X24 Universal M (1069104) Фінляндія</t>
        </is>
      </c>
      <c r="F621" s="21" t="inlineStr">
        <is>
          <t>Сокира Fiskars Х10 універсальна</t>
        </is>
      </c>
      <c r="G621" s="23" t="n">
        <v>4999</v>
      </c>
      <c r="H621" s="23" t="n">
        <v>1407</v>
      </c>
      <c r="I621" s="21" t="inlineStr">
        <is>
          <t>назви схожі, різняться словами: universal, xseries, фінляндія та ще 1</t>
        </is>
      </c>
    </row>
    <row r="622">
      <c r="A622" s="22" t="n">
        <v>73.40000000000001</v>
      </c>
      <c r="B622" s="22" t="inlineStr">
        <is>
          <t>Клуб Рослин</t>
        </is>
      </c>
      <c r="C622" s="22" t="inlineStr">
        <is>
          <t>170M</t>
        </is>
      </c>
      <c r="D622" s="22" t="inlineStr">
        <is>
          <t>16103</t>
        </is>
      </c>
      <c r="E622" s="21" t="inlineStr">
        <is>
          <t>Секатор обвідний Фелко / Felco 170M Швейцарія</t>
        </is>
      </c>
      <c r="F622" s="21" t="inlineStr">
        <is>
          <t>Садовий секатор FELCO 170M середній обвідний ергономічний (Фелко 170M)</t>
        </is>
      </c>
      <c r="G622" s="23" t="n">
        <v>1949</v>
      </c>
      <c r="H622" s="23" t="n">
        <v>1949</v>
      </c>
      <c r="I622" s="21" t="inlineStr">
        <is>
          <t>назви схожі, різняться словами: ергономічний, садовий, середній</t>
        </is>
      </c>
    </row>
    <row r="623">
      <c r="A623" s="22" t="n">
        <v>73.40000000000001</v>
      </c>
      <c r="B623" s="22" t="inlineStr">
        <is>
          <t>Клуб Рослин</t>
        </is>
      </c>
      <c r="C623" s="22" t="inlineStr">
        <is>
          <t>3624-INOX.B</t>
        </is>
      </c>
      <c r="D623" s="22" t="inlineStr">
        <is>
          <t>11878</t>
        </is>
      </c>
      <c r="E623" s="21" t="inlineStr">
        <is>
          <t>Секатор для збору винограду Bellota (3624-INOX.B) Іспанія</t>
        </is>
      </c>
      <c r="F623" s="21" t="inlineStr">
        <is>
          <t>Секатор Bellota 3621 INOX для збору винограду типу ножиці (Беллота 3621)</t>
        </is>
      </c>
      <c r="G623" s="23" t="n">
        <v>585</v>
      </c>
      <c r="H623" s="23" t="n">
        <v>585</v>
      </c>
      <c r="I623" s="21" t="inlineStr">
        <is>
          <t>назви схожі, але різні коди виробника</t>
        </is>
      </c>
    </row>
    <row r="624">
      <c r="A624" s="22" t="n">
        <v>73.40000000000001</v>
      </c>
      <c r="B624" s="22" t="inlineStr">
        <is>
          <t>Клуб Рослин</t>
        </is>
      </c>
      <c r="C624" s="22" t="inlineStr">
        <is>
          <t>3624-INOX.B.</t>
        </is>
      </c>
      <c r="D624" s="22" t="inlineStr">
        <is>
          <t>11878</t>
        </is>
      </c>
      <c r="E624" s="21" t="inlineStr">
        <is>
          <t>Секатор для збору винограду 3624-INOX.B. Bellota (Іспанія)</t>
        </is>
      </c>
      <c r="F624" s="21" t="inlineStr">
        <is>
          <t>Секатор Bellota 3621 INOX для збору винограду типу ножиці (Беллота 3621)</t>
        </is>
      </c>
      <c r="G624" s="23" t="n">
        <v>485</v>
      </c>
      <c r="H624" s="23" t="n">
        <v>585</v>
      </c>
      <c r="I624" s="21" t="inlineStr">
        <is>
          <t>назви схожі, але різні коди виробника</t>
        </is>
      </c>
    </row>
    <row r="625">
      <c r="A625" s="22" t="n">
        <v>73.3</v>
      </c>
      <c r="B625" s="22" t="inlineStr">
        <is>
          <t>Водоспад</t>
        </is>
      </c>
      <c r="C625" s="22" t="inlineStr">
        <is>
          <t>1069102</t>
        </is>
      </c>
      <c r="D625" s="22" t="inlineStr">
        <is>
          <t>32122</t>
        </is>
      </c>
      <c r="E625" s="21" t="inlineStr">
        <is>
          <t>Сокира універсальна Фіскарс Fiskars X-Series X14 XS Universal (1069102) Фінляндія</t>
        </is>
      </c>
      <c r="F625" s="21" t="inlineStr">
        <is>
          <t>Сокира універсальна Fiskars X7 - XS (1015618)</t>
        </is>
      </c>
      <c r="G625" s="23" t="n">
        <v>3299</v>
      </c>
      <c r="H625" s="23" t="n">
        <v>1799</v>
      </c>
      <c r="I625" s="21" t="inlineStr">
        <is>
          <t>назви схожі, але різні коди виробника</t>
        </is>
      </c>
    </row>
    <row r="626">
      <c r="A626" s="22" t="n">
        <v>73.3</v>
      </c>
      <c r="B626" s="22" t="inlineStr">
        <is>
          <t>Клуб Рослин</t>
        </is>
      </c>
      <c r="C626" s="22" t="inlineStr">
        <is>
          <t>356-36</t>
        </is>
      </c>
      <c r="D626" s="22" t="inlineStr">
        <is>
          <t>11226</t>
        </is>
      </c>
      <c r="E626" s="21" t="inlineStr">
        <is>
          <t>Пила садова складна Silky Bigboy 360-6.5 (356-36) Японія</t>
        </is>
      </c>
      <c r="F626" s="21" t="inlineStr">
        <is>
          <t>Пила Silky Bigboy 2000 360-6,5 складна (Сілкі Бігбой)</t>
        </is>
      </c>
      <c r="G626" s="23" t="n">
        <v>4495</v>
      </c>
      <c r="H626" s="23" t="n">
        <v>4495</v>
      </c>
      <c r="I626" s="21" t="inlineStr">
        <is>
          <t>назви схожі, різняться словами: бігбой, сілкі, садова</t>
        </is>
      </c>
    </row>
    <row r="627">
      <c r="A627" s="22" t="n">
        <v>73.3</v>
      </c>
      <c r="B627" s="22" t="inlineStr">
        <is>
          <t>Клуб Рослин</t>
        </is>
      </c>
      <c r="C627" s="22" t="inlineStr">
        <is>
          <t>42-206</t>
        </is>
      </c>
      <c r="D627" s="22" t="inlineStr">
        <is>
          <t>13931</t>
        </is>
      </c>
      <c r="E627" s="21" t="inlineStr">
        <is>
          <t>Плодознімач телескопічний 165-305 см Cellfast IDEAL (42-206) Польща</t>
        </is>
      </c>
      <c r="F627" s="21" t="inlineStr">
        <is>
          <t>Плодозбірник телескопічний Cellfast IDEAL 1,65 м 42-206 (Целфаст Ідеал)</t>
        </is>
      </c>
      <c r="G627" s="23" t="n">
        <v>1998</v>
      </c>
      <c r="H627" s="23" t="n">
        <v>2619</v>
      </c>
      <c r="I627" s="21" t="inlineStr">
        <is>
          <t>назви схожі, але різні об'єми або розміри</t>
        </is>
      </c>
    </row>
    <row r="628">
      <c r="A628" s="22" t="n">
        <v>73.3</v>
      </c>
      <c r="B628" s="22" t="inlineStr">
        <is>
          <t>Клуб Рослин</t>
        </is>
      </c>
      <c r="C628" s="22" t="inlineStr">
        <is>
          <t>201</t>
        </is>
      </c>
      <c r="D628" s="22" t="inlineStr">
        <is>
          <t>15813</t>
        </is>
      </c>
      <c r="E628" s="21" t="inlineStr">
        <is>
          <t>Кущоріз 480 мм Камакі / Kamaki (201) Японія</t>
        </is>
      </c>
      <c r="F628" s="21" t="inlineStr">
        <is>
          <t>Садові ножиці Kamaki 201 японські (кущорізи Камакі 201)</t>
        </is>
      </c>
      <c r="G628" s="23" t="n">
        <v>1599</v>
      </c>
      <c r="H628" s="23" t="n">
        <v>1580</v>
      </c>
      <c r="I628" s="21" t="inlineStr">
        <is>
          <t>назви схожі, різняться словами: кущоріз, кущорізи, ножиці та ще 2</t>
        </is>
      </c>
    </row>
    <row r="629">
      <c r="A629" s="22" t="n">
        <v>73.3</v>
      </c>
      <c r="B629" s="22" t="inlineStr">
        <is>
          <t>Клуб Рослин</t>
        </is>
      </c>
      <c r="C629" s="22" t="inlineStr">
        <is>
          <t>3361</t>
        </is>
      </c>
      <c r="D629" s="22" t="inlineStr">
        <is>
          <t>14093</t>
        </is>
      </c>
      <c r="E629" s="21" t="inlineStr">
        <is>
          <t>Фунгіцид Таймер СЕ 100 мл Сімейний Сад Україна</t>
        </is>
      </c>
      <c r="F629" s="21" t="inlineStr">
        <is>
          <t>Фунгіцид Джип К.С. (флуазинам) 100 мл - Сімейний Сад</t>
        </is>
      </c>
      <c r="G629" s="23" t="n">
        <v>298</v>
      </c>
      <c r="H629" s="23" t="n">
        <v>325</v>
      </c>
      <c r="I629" s="21" t="inlineStr">
        <is>
          <t>назви схожі, різняться словами: джип, таймер, флуазинам</t>
        </is>
      </c>
    </row>
    <row r="630">
      <c r="A630" s="22" t="n">
        <v>73.2</v>
      </c>
      <c r="B630" s="22" t="inlineStr">
        <is>
          <t>Водоспад</t>
        </is>
      </c>
      <c r="C630" s="22" t="inlineStr">
        <is>
          <t>1066729</t>
        </is>
      </c>
      <c r="D630" s="22" t="inlineStr">
        <is>
          <t>37366</t>
        </is>
      </c>
      <c r="E630" s="21" t="inlineStr">
        <is>
          <t>Лопата штикова Фіскарс Fiskars Xact (1066729) Фінляндія</t>
        </is>
      </c>
      <c r="F630" s="21" t="inlineStr">
        <is>
          <t>Лопата штикова Fiskars Xact М середня (1003684)</t>
        </is>
      </c>
      <c r="G630" s="23" t="n">
        <v>3599</v>
      </c>
      <c r="H630" s="23" t="n">
        <v>1999</v>
      </c>
      <c r="I630" s="21" t="inlineStr">
        <is>
          <t>назви схожі, але різні коди виробника</t>
        </is>
      </c>
    </row>
    <row r="631">
      <c r="A631" s="22" t="n">
        <v>73.2</v>
      </c>
      <c r="B631" s="22" t="inlineStr">
        <is>
          <t>Водоспад</t>
        </is>
      </c>
      <c r="C631" s="22" t="inlineStr">
        <is>
          <t>QA-0360</t>
        </is>
      </c>
      <c r="D631" s="22" t="inlineStr">
        <is>
          <t>42747</t>
        </is>
      </c>
      <c r="E631" s="21" t="inlineStr">
        <is>
          <t>Камінь точильний водний Gouken 220 grit Наніва / Naniwa (QA-0360) Японія</t>
        </is>
      </c>
      <c r="F631" s="21" t="inlineStr">
        <is>
          <t>Точильний камінь японський водний 12000 grit GOUKEN NANIWA NK-2291 210x70x20 мм, 0,74 Kg</t>
        </is>
      </c>
      <c r="G631" s="23" t="n">
        <v>875</v>
      </c>
      <c r="H631" s="23" t="n">
        <v>6990</v>
      </c>
      <c r="I631" s="21" t="inlineStr">
        <is>
          <t>назви схожі, але різні коди виробника</t>
        </is>
      </c>
    </row>
    <row r="632">
      <c r="A632" s="22" t="n">
        <v>73.2</v>
      </c>
      <c r="B632" s="22" t="inlineStr">
        <is>
          <t>Клуб Рослин</t>
        </is>
      </c>
      <c r="C632" s="22" t="inlineStr">
        <is>
          <t>PG-57-F</t>
        </is>
      </c>
      <c r="D632" s="22" t="inlineStr">
        <is>
          <t>12486</t>
        </is>
      </c>
      <c r="E632" s="21" t="inlineStr">
        <is>
          <t>Кущоріз Bahco PG-57-F</t>
        </is>
      </c>
      <c r="F632" s="21" t="inlineStr">
        <is>
          <t>Сучкоріз Bahco PG-18-60-F</t>
        </is>
      </c>
      <c r="G632" s="23" t="n">
        <v>2745</v>
      </c>
      <c r="H632" s="23" t="n">
        <v>1570</v>
      </c>
      <c r="I632" s="21" t="inlineStr">
        <is>
          <t>назви схожі, різняться словами: кущоріз, сучкоріз</t>
        </is>
      </c>
    </row>
    <row r="633">
      <c r="A633" s="22" t="n">
        <v>73.2</v>
      </c>
      <c r="B633" s="22" t="inlineStr">
        <is>
          <t>Клуб Рослин</t>
        </is>
      </c>
      <c r="C633" s="22" t="inlineStr">
        <is>
          <t>1078</t>
        </is>
      </c>
      <c r="D633" s="22" t="inlineStr">
        <is>
          <t>14713</t>
        </is>
      </c>
      <c r="E633" s="21" t="inlineStr">
        <is>
          <t>Гербіцид Гезагард 500 FW КС 5 л Syngenta Сингента Швейцарія</t>
        </is>
      </c>
      <c r="F633" s="21" t="inlineStr">
        <is>
          <t>Гербіцид Гезагард 500 (прометрин 500 г/л) FW к.с. 100 мл, Syngenta</t>
        </is>
      </c>
      <c r="G633" s="23" t="n">
        <v>1998</v>
      </c>
      <c r="H633" s="23" t="n">
        <v>115</v>
      </c>
      <c r="I633" s="21" t="inlineStr">
        <is>
          <t>назви схожі, але різні об'єми або розміри</t>
        </is>
      </c>
    </row>
    <row r="634">
      <c r="A634" s="22" t="n">
        <v>73.2</v>
      </c>
      <c r="B634" s="22" t="inlineStr">
        <is>
          <t>Клуб Рослин</t>
        </is>
      </c>
      <c r="C634" s="22" t="inlineStr">
        <is>
          <t>5.124</t>
        </is>
      </c>
      <c r="D634" s="22" t="inlineStr">
        <is>
          <t>11968</t>
        </is>
      </c>
      <c r="E634" s="21" t="inlineStr">
        <is>
          <t>LOWE Original 5.124 Маленький секатор з ковадлом Німеччина</t>
        </is>
      </c>
      <c r="F634" s="21" t="inlineStr">
        <is>
          <t>Секатор LOWE 5.124 маленький з коваделцем (Льове 5.124)</t>
        </is>
      </c>
      <c r="G634" s="23" t="n">
        <v>1950</v>
      </c>
      <c r="H634" s="23" t="n">
        <v>1950</v>
      </c>
      <c r="I634" s="21" t="inlineStr">
        <is>
          <t>назви схожі, різняться словами: original, коваделцем, ковадлом та ще 1</t>
        </is>
      </c>
    </row>
    <row r="635">
      <c r="A635" s="22" t="n">
        <v>73.2</v>
      </c>
      <c r="B635" s="22" t="inlineStr">
        <is>
          <t>Клуб Рослин</t>
        </is>
      </c>
      <c r="C635" s="22" t="inlineStr">
        <is>
          <t>450MC13.B.</t>
        </is>
      </c>
      <c r="D635" s="22" t="inlineStr">
        <is>
          <t>11174</t>
        </is>
      </c>
      <c r="E635" s="21" t="inlineStr">
        <is>
          <t>Ножівка садова з чохлом 481 мм (450MC13.B.) Bellota Іспанія</t>
        </is>
      </c>
      <c r="F635" s="21" t="inlineStr">
        <is>
          <t>Пила (ножівка) садова Bellota 4589-12.B з чохлом (пряме лезо)</t>
        </is>
      </c>
      <c r="G635" s="23" t="n">
        <v>1265</v>
      </c>
      <c r="H635" s="23" t="n">
        <v>1245</v>
      </c>
      <c r="I635" s="21" t="inlineStr">
        <is>
          <t>назви схожі, але різні коди виробника</t>
        </is>
      </c>
    </row>
    <row r="636">
      <c r="A636" s="22" t="n">
        <v>73.09999999999999</v>
      </c>
      <c r="B636" s="22" t="inlineStr">
        <is>
          <t>Водоспад</t>
        </is>
      </c>
      <c r="C636" s="22" t="inlineStr">
        <is>
          <t>1000585</t>
        </is>
      </c>
      <c r="D636" s="22" t="inlineStr">
        <is>
          <t>32132</t>
        </is>
      </c>
      <c r="E636" s="21" t="inlineStr">
        <is>
          <t>Гілкоріз контактний з храповим механізмом Fiskars PowerStep L85 112850 (1000585) Фінляндія</t>
        </is>
      </c>
      <c r="F636" s="21" t="inlineStr">
        <is>
          <t>Секатор з храповим механізмом Fiskars PowerStep Р83 (1000575)</t>
        </is>
      </c>
      <c r="G636" s="23" t="n">
        <v>2999</v>
      </c>
      <c r="H636" s="23" t="n">
        <v>1399</v>
      </c>
      <c r="I636" s="21" t="inlineStr">
        <is>
          <t>назви схожі, але різні коди виробника</t>
        </is>
      </c>
    </row>
    <row r="637">
      <c r="A637" s="22" t="n">
        <v>73.09999999999999</v>
      </c>
      <c r="B637" s="22" t="inlineStr">
        <is>
          <t>Водоспад</t>
        </is>
      </c>
      <c r="C637" s="22" t="inlineStr">
        <is>
          <t>1-200</t>
        </is>
      </c>
      <c r="D637" s="22" t="inlineStr">
        <is>
          <t>42498</t>
        </is>
      </c>
      <c r="E637" s="21" t="inlineStr">
        <is>
          <t>Садова замазка Balsam Pro / Бальзам Про 200 г Royal Mix</t>
        </is>
      </c>
      <c r="F637" s="21" t="inlineStr">
        <is>
          <t>Садова замазка Balsam PRO, 500 г (BalsamPro500)</t>
        </is>
      </c>
      <c r="G637" s="23" t="n">
        <v>329</v>
      </c>
      <c r="H637" s="23" t="n">
        <v>599</v>
      </c>
      <c r="I637" s="21" t="inlineStr">
        <is>
          <t>назви схожі, але різні об'єми або розміри</t>
        </is>
      </c>
    </row>
    <row r="638">
      <c r="A638" s="22" t="n">
        <v>73.09999999999999</v>
      </c>
      <c r="B638" s="22" t="inlineStr">
        <is>
          <t>Клуб Рослин</t>
        </is>
      </c>
      <c r="C638" s="22" t="inlineStr">
        <is>
          <t>5.127</t>
        </is>
      </c>
      <c r="D638" s="22" t="inlineStr">
        <is>
          <t>11969</t>
        </is>
      </c>
      <c r="E638" s="21" t="inlineStr">
        <is>
          <t>Секатор з ковадлом Льове / Lowe Original (5.127) Німеччина</t>
        </is>
      </c>
      <c r="F638" s="21" t="inlineStr">
        <is>
          <t>Секатор Lowe 5.127 маленький з коваделцем (Льове 5.127)</t>
        </is>
      </c>
      <c r="G638" s="23" t="n">
        <v>1950</v>
      </c>
      <c r="H638" s="23" t="n">
        <v>1950</v>
      </c>
      <c r="I638" s="21" t="inlineStr">
        <is>
          <t>назви схожі, різняться словами: original, коваделцем, ковадлом та ще 1</t>
        </is>
      </c>
    </row>
    <row r="639">
      <c r="A639" s="22" t="n">
        <v>73.09999999999999</v>
      </c>
      <c r="B639" s="22" t="inlineStr">
        <is>
          <t>Клуб Рослин</t>
        </is>
      </c>
      <c r="C639" s="22" t="inlineStr">
        <is>
          <t>5.107</t>
        </is>
      </c>
      <c r="D639" s="22" t="inlineStr">
        <is>
          <t>11966</t>
        </is>
      </c>
      <c r="E639" s="21" t="inlineStr">
        <is>
          <t>Секатор з ковадлом Льове / Lowe Original (5.107) Німеччина</t>
        </is>
      </c>
      <c r="F639" s="21" t="inlineStr">
        <is>
          <t>Секатор Lowe 5.107 маленький з коваделцем (Льове 5.107)</t>
        </is>
      </c>
      <c r="G639" s="23" t="n">
        <v>1900</v>
      </c>
      <c r="H639" s="23" t="n">
        <v>1900</v>
      </c>
      <c r="I639" s="21" t="inlineStr">
        <is>
          <t>назви схожі, різняться словами: original, коваделцем, ковадлом та ще 1</t>
        </is>
      </c>
    </row>
    <row r="640">
      <c r="A640" s="22" t="n">
        <v>73.09999999999999</v>
      </c>
      <c r="B640" s="22" t="inlineStr">
        <is>
          <t>Клуб Рослин</t>
        </is>
      </c>
      <c r="C640" s="22" t="inlineStr">
        <is>
          <t>1023632</t>
        </is>
      </c>
      <c r="D640" s="22" t="inlineStr">
        <is>
          <t>11042</t>
        </is>
      </c>
      <c r="E640" s="21" t="inlineStr">
        <is>
          <t>Ножиці для трави Фіскарс / Fiskars SmartFit GS40 (1023632) Фінляндія</t>
        </is>
      </c>
      <c r="F640" s="21" t="inlineStr">
        <is>
          <t>Ножиці для трави Fiskars 113690</t>
        </is>
      </c>
      <c r="G640" s="23" t="n">
        <v>1899</v>
      </c>
      <c r="H640" s="23" t="n">
        <v>1393.9</v>
      </c>
      <c r="I640" s="21" t="inlineStr">
        <is>
          <t>назви схожі, але різні коди виробника</t>
        </is>
      </c>
    </row>
    <row r="641">
      <c r="A641" s="22" t="n">
        <v>73.09999999999999</v>
      </c>
      <c r="B641" s="22" t="inlineStr">
        <is>
          <t>Клуб Рослин</t>
        </is>
      </c>
      <c r="C641" s="22" t="inlineStr">
        <is>
          <t>5640/N</t>
        </is>
      </c>
      <c r="D641" s="22" t="inlineStr">
        <is>
          <t>14062</t>
        </is>
      </c>
      <c r="E641" s="21" t="inlineStr">
        <is>
          <t>Ніж для щеплення універсальний з відокремлювач кори Антоніні / Antonini (5640/N) Італія</t>
        </is>
      </c>
      <c r="F641" s="21" t="inlineStr">
        <is>
          <t>Ніж Stocker 785 для щеплення універсальний з відокремлювачем кори (Штокер 785)</t>
        </is>
      </c>
      <c r="G641" s="23" t="n">
        <v>950</v>
      </c>
      <c r="H641" s="23" t="n">
        <v>722</v>
      </c>
      <c r="I641" s="21" t="inlineStr">
        <is>
          <t>назви схожі, але різні бренди</t>
        </is>
      </c>
    </row>
    <row r="642">
      <c r="A642" s="22" t="n">
        <v>73.09999999999999</v>
      </c>
      <c r="B642" s="22" t="inlineStr">
        <is>
          <t>Клуб Рослин</t>
        </is>
      </c>
      <c r="C642" s="22" t="inlineStr">
        <is>
          <t>3362</t>
        </is>
      </c>
      <c r="D642" s="22" t="inlineStr">
        <is>
          <t>14102</t>
        </is>
      </c>
      <c r="E642" s="21" t="inlineStr">
        <is>
          <t>Фунгіцид Таймер СЕ 300 мл Сімейний Сад Україна</t>
        </is>
      </c>
      <c r="F642" s="21" t="inlineStr">
        <is>
          <t>Фунгіцид Скутер В.Г. (сірка) 200 г Сімейний Сад</t>
        </is>
      </c>
      <c r="G642" s="23" t="n">
        <v>798</v>
      </c>
      <c r="H642" s="23" t="n">
        <v>95</v>
      </c>
      <c r="I642" s="21" t="inlineStr">
        <is>
          <t>назви схожі, але різні об'єми або розміри</t>
        </is>
      </c>
    </row>
    <row r="643">
      <c r="A643" s="22" t="n">
        <v>73.09999999999999</v>
      </c>
      <c r="B643" s="22" t="inlineStr">
        <is>
          <t>Клуб Рослин</t>
        </is>
      </c>
      <c r="C643" s="22" t="inlineStr">
        <is>
          <t>4010</t>
        </is>
      </c>
      <c r="D643" s="22" t="inlineStr">
        <is>
          <t>14459</t>
        </is>
      </c>
      <c r="E643" s="21" t="inlineStr">
        <is>
          <t>Лімацид Снаколь / Snacol від слимаків 1. 1 кг Bros Польща</t>
        </is>
      </c>
      <c r="F643" s="21" t="inlineStr">
        <is>
          <t>Гранули від слимаків Snacol Bros 1 кг (Брос)</t>
        </is>
      </c>
      <c r="G643" s="23" t="n">
        <v>572</v>
      </c>
      <c r="H643" s="23" t="n">
        <v>672</v>
      </c>
      <c r="I643" s="21" t="inlineStr">
        <is>
          <t>назви схожі, різняться словами: брос, гранули, лімацид та ще 1</t>
        </is>
      </c>
    </row>
    <row r="644">
      <c r="A644" s="22" t="n">
        <v>73.09999999999999</v>
      </c>
      <c r="B644" s="22" t="inlineStr">
        <is>
          <t>Клуб Рослин</t>
        </is>
      </c>
      <c r="C644" s="22" t="inlineStr">
        <is>
          <t>7381</t>
        </is>
      </c>
      <c r="D644" s="22" t="inlineStr">
        <is>
          <t>9198</t>
        </is>
      </c>
      <c r="E644" s="21" t="inlineStr">
        <is>
          <t>Добриво Томат 1 л SmartGrow Україна</t>
        </is>
      </c>
      <c r="F644" s="21" t="inlineStr">
        <is>
          <t>Добриво SmartGrow RootMost, укорінювач Смарт Гроу, 1 л</t>
        </is>
      </c>
      <c r="G644" s="23" t="n">
        <v>298</v>
      </c>
      <c r="H644" s="23" t="n">
        <v>895</v>
      </c>
      <c r="I644" s="21" t="inlineStr">
        <is>
          <t>назви схожі, різняться словами: rootmost, гроу, смарт та ще 2</t>
        </is>
      </c>
    </row>
    <row r="645">
      <c r="A645" s="22" t="n">
        <v>73</v>
      </c>
      <c r="B645" s="22" t="inlineStr">
        <is>
          <t>Водоспад</t>
        </is>
      </c>
      <c r="C645" s="22" t="inlineStr">
        <is>
          <t>1000557</t>
        </is>
      </c>
      <c r="D645" s="22" t="inlineStr">
        <is>
          <t>32160</t>
        </is>
      </c>
      <c r="E645" s="21" t="inlineStr">
        <is>
          <t>Ножиці для трави Фіскарс / Fiskars S50 111090 (1000557) Фінляндія</t>
        </is>
      </c>
      <c r="F645" s="21" t="inlineStr">
        <is>
          <t>Ножиці для трави Fiskars GS42 (1000589)</t>
        </is>
      </c>
      <c r="G645" s="23" t="n">
        <v>1477</v>
      </c>
      <c r="H645" s="23" t="n">
        <v>1399</v>
      </c>
      <c r="I645" s="21" t="inlineStr">
        <is>
          <t>назви схожі, але різні коди виробника</t>
        </is>
      </c>
    </row>
    <row r="646">
      <c r="A646" s="22" t="n">
        <v>73</v>
      </c>
      <c r="B646" s="22" t="inlineStr">
        <is>
          <t>Водоспад</t>
        </is>
      </c>
      <c r="C646" s="22" t="inlineStr">
        <is>
          <t>450MC13.B.</t>
        </is>
      </c>
      <c r="D646" s="22" t="inlineStr">
        <is>
          <t>42410</t>
        </is>
      </c>
      <c r="E646" s="21" t="inlineStr">
        <is>
          <t>Ножівка садова з чохлом 481 мм (450MC13.B.) Bellota Іспанія</t>
        </is>
      </c>
      <c r="F646" s="21" t="inlineStr">
        <is>
          <t>Ножівка садова дерев`яна з чохлом 330мм Bellota, арт.450MC13.B</t>
        </is>
      </c>
      <c r="G646" s="23" t="n">
        <v>1265</v>
      </c>
      <c r="H646" s="23" t="n">
        <v>1220</v>
      </c>
      <c r="I646" s="21" t="inlineStr">
        <is>
          <t>код збігся, але різні об'єми або розміри</t>
        </is>
      </c>
    </row>
    <row r="647">
      <c r="A647" s="22" t="n">
        <v>73</v>
      </c>
      <c r="B647" s="22" t="inlineStr">
        <is>
          <t>Клуб Рослин</t>
        </is>
      </c>
      <c r="C647" s="22" t="inlineStr">
        <is>
          <t>7549</t>
        </is>
      </c>
      <c r="D647" s="22" t="inlineStr">
        <is>
          <t>9856</t>
        </is>
      </c>
      <c r="E647" s="21" t="inlineStr">
        <is>
          <t>Добриво ЯраЛіва Нітрабор YaraLiva Nitrabor 25 кг Норвегія</t>
        </is>
      </c>
      <c r="F647" s="21" t="inlineStr">
        <is>
          <t>Кальцієва селітра з бором YaraLiva Nitrabor (Норвегія), 25 кг</t>
        </is>
      </c>
      <c r="G647" s="23" t="n">
        <v>1498</v>
      </c>
      <c r="H647" s="23" t="n">
        <v>1309</v>
      </c>
      <c r="I647" s="21" t="inlineStr">
        <is>
          <t>назви схожі, різняться словами: бором, добриво, кальцієва та ще 3</t>
        </is>
      </c>
    </row>
    <row r="648">
      <c r="A648" s="22" t="n">
        <v>73</v>
      </c>
      <c r="B648" s="22" t="inlineStr">
        <is>
          <t>Клуб Рослин</t>
        </is>
      </c>
      <c r="C648" s="22" t="inlineStr">
        <is>
          <t>M14L-AM</t>
        </is>
      </c>
      <c r="D648" s="22" t="inlineStr">
        <is>
          <t>10373</t>
        </is>
      </c>
      <c r="E648" s="21" t="inlineStr">
        <is>
          <t>Кусачки для збору плодів 30 мм Манзана / Manzana (M14L-AM) Іспанія</t>
        </is>
      </c>
      <c r="F648" s="21" t="inlineStr">
        <is>
          <t>Кусачки для збору яблук М14L-AM</t>
        </is>
      </c>
      <c r="G648" s="23" t="n">
        <v>850</v>
      </c>
      <c r="H648" s="23" t="n">
        <v>450</v>
      </c>
      <c r="I648" s="21" t="inlineStr">
        <is>
          <t>назви схожі, різняться словами: manzana, манзана, плодів та ще 1</t>
        </is>
      </c>
    </row>
    <row r="649">
      <c r="A649" s="22" t="n">
        <v>73</v>
      </c>
      <c r="B649" s="22" t="inlineStr">
        <is>
          <t>Клуб Рослин</t>
        </is>
      </c>
      <c r="C649" s="22" t="inlineStr">
        <is>
          <t>1051600</t>
        </is>
      </c>
      <c r="D649" s="22" t="inlineStr">
        <is>
          <t>11009</t>
        </is>
      </c>
      <c r="E649" s="21" t="inlineStr">
        <is>
          <t>Ножиці для квітів Фіскарс / Fiskars Solid Micro-Tip SP13 (1051600) Фінляндія</t>
        </is>
      </c>
      <c r="F649" s="21" t="inlineStr">
        <is>
          <t>Ножиці для квітів Fiskars 111010</t>
        </is>
      </c>
      <c r="G649" s="23" t="n">
        <v>799</v>
      </c>
      <c r="H649" s="23" t="n">
        <v>370.3</v>
      </c>
      <c r="I649" s="21" t="inlineStr">
        <is>
          <t>назви схожі, але різні коди виробника</t>
        </is>
      </c>
    </row>
    <row r="650">
      <c r="A650" s="22" t="n">
        <v>73</v>
      </c>
      <c r="B650" s="22" t="inlineStr">
        <is>
          <t>Клуб Рослин</t>
        </is>
      </c>
      <c r="C650" s="22" t="inlineStr">
        <is>
          <t>7286</t>
        </is>
      </c>
      <c r="D650" s="22" t="inlineStr">
        <is>
          <t>9189</t>
        </is>
      </c>
      <c r="E650" s="21" t="inlineStr">
        <is>
          <t>Добриво Мікро / Micro 1 л SmartGrow Україна</t>
        </is>
      </c>
      <c r="F650" s="21" t="inlineStr">
        <is>
          <t>Добриво SmartGrow AMINO (Аміно), 1 л</t>
        </is>
      </c>
      <c r="G650" s="23" t="n">
        <v>475</v>
      </c>
      <c r="H650" s="23" t="n">
        <v>472</v>
      </c>
      <c r="I650" s="21" t="inlineStr">
        <is>
          <t>назви схожі, різняться словами: amino, micro, аміно та ще 1</t>
        </is>
      </c>
    </row>
    <row r="651">
      <c r="A651" s="22" t="n">
        <v>72.90000000000001</v>
      </c>
      <c r="B651" s="22" t="inlineStr">
        <is>
          <t>Водоспад</t>
        </is>
      </c>
      <c r="C651" s="22" t="inlineStr">
        <is>
          <t>1001569</t>
        </is>
      </c>
      <c r="D651" s="22" t="inlineStr">
        <is>
          <t>32250</t>
        </is>
      </c>
      <c r="E651" s="21" t="inlineStr">
        <is>
          <t>Лопата штикова Фіскарс Fiskars ErgoComfort (1001569) Фінляндія</t>
        </is>
      </c>
      <c r="F651" s="21" t="inlineStr">
        <is>
          <t>Лопата садова штикова Fiskars Ergonomic (1001568)</t>
        </is>
      </c>
      <c r="G651" s="23" t="n">
        <v>1195</v>
      </c>
      <c r="H651" s="23" t="n">
        <v>1699</v>
      </c>
      <c r="I651" s="21" t="inlineStr">
        <is>
          <t>назви схожі, але різні коди виробника</t>
        </is>
      </c>
    </row>
    <row r="652">
      <c r="A652" s="22" t="n">
        <v>72.90000000000001</v>
      </c>
      <c r="B652" s="22" t="inlineStr">
        <is>
          <t>Клуб Рослин</t>
        </is>
      </c>
      <c r="C652" s="22" t="inlineStr">
        <is>
          <t>11.104</t>
        </is>
      </c>
      <c r="D652" s="22" t="inlineStr">
        <is>
          <t>11954</t>
        </is>
      </c>
      <c r="E652" s="21" t="inlineStr">
        <is>
          <t>Секатор садовий Льове / Lowe Original (11.104) Німеччина</t>
        </is>
      </c>
      <c r="F652" s="21" t="inlineStr">
        <is>
          <t>Секатор Lowe 11.109 садовий обвідний (Льове 11.109)</t>
        </is>
      </c>
      <c r="G652" s="23" t="n">
        <v>2490</v>
      </c>
      <c r="H652" s="23" t="n">
        <v>3495</v>
      </c>
      <c r="I652" s="21" t="inlineStr">
        <is>
          <t>назви схожі, але різні коди виробника</t>
        </is>
      </c>
    </row>
    <row r="653">
      <c r="A653" s="22" t="n">
        <v>72.90000000000001</v>
      </c>
      <c r="B653" s="22" t="inlineStr">
        <is>
          <t>Клуб Рослин</t>
        </is>
      </c>
      <c r="C653" s="22" t="inlineStr">
        <is>
          <t>PIR</t>
        </is>
      </c>
      <c r="D653" s="22" t="inlineStr">
        <is>
          <t>10573</t>
        </is>
      </c>
      <c r="E653" s="21" t="inlineStr">
        <is>
          <t>Лопата штикова з дерев'яною ручкою 1500 мм Truper (PIR) Мексика</t>
        </is>
      </c>
      <c r="F653" s="21" t="inlineStr">
        <is>
          <t>Лопата штикова з дерев'яною ручкою Штокер Stocker 2251</t>
        </is>
      </c>
      <c r="G653" s="23" t="n">
        <v>950</v>
      </c>
      <c r="H653" s="23" t="n">
        <v>1229</v>
      </c>
      <c r="I653" s="21" t="inlineStr">
        <is>
          <t>назви схожі, але різні бренди</t>
        </is>
      </c>
    </row>
    <row r="654">
      <c r="A654" s="22" t="n">
        <v>72.90000000000001</v>
      </c>
      <c r="B654" s="22" t="inlineStr">
        <is>
          <t>Клуб Рослин</t>
        </is>
      </c>
      <c r="C654" s="22" t="inlineStr">
        <is>
          <t>4037</t>
        </is>
      </c>
      <c r="D654" s="22" t="inlineStr">
        <is>
          <t>14089</t>
        </is>
      </c>
      <c r="E654" s="21" t="inlineStr">
        <is>
          <t>Лімацид СлизнеСТОП 1 кг Сімейний Сад Україна</t>
        </is>
      </c>
      <c r="F654" s="21" t="inlineStr">
        <is>
          <t>Молюскоцид (лімацид) СлизнеСТОП, Г.П. (метальдегід) 300 г тубус Сімейний Сад</t>
        </is>
      </c>
      <c r="G654" s="23" t="n">
        <v>298</v>
      </c>
      <c r="H654" s="23" t="n">
        <v>143</v>
      </c>
      <c r="I654" s="21" t="inlineStr">
        <is>
          <t>назви схожі, але різні об'єми або розміри</t>
        </is>
      </c>
    </row>
    <row r="655">
      <c r="A655" s="22" t="n">
        <v>72.8</v>
      </c>
      <c r="B655" s="22" t="inlineStr">
        <is>
          <t>Водоспад</t>
        </is>
      </c>
      <c r="C655" s="22" t="inlineStr">
        <is>
          <t>1000596</t>
        </is>
      </c>
      <c r="D655" s="22" t="inlineStr">
        <is>
          <t>39773</t>
        </is>
      </c>
      <c r="E655" s="21" t="inlineStr">
        <is>
          <t>Ножиці для живоплоту з силовим приводом Фіскарс / Fiskars PowerGear HS72 114790 (1000596) Фінляндія</t>
        </is>
      </c>
      <c r="F655" s="21" t="inlineStr">
        <is>
          <t>Ножиці для живоплоту Fiskars PowerGear X HSX92 (1023631)</t>
        </is>
      </c>
      <c r="G655" s="23" t="n">
        <v>3499</v>
      </c>
      <c r="H655" s="23" t="n">
        <v>2399</v>
      </c>
      <c r="I655" s="21" t="inlineStr">
        <is>
          <t>назви схожі, але різні коди виробника</t>
        </is>
      </c>
    </row>
    <row r="656">
      <c r="A656" s="22" t="n">
        <v>72.8</v>
      </c>
      <c r="B656" s="22" t="inlineStr">
        <is>
          <t>Водоспад</t>
        </is>
      </c>
      <c r="C656" s="22" t="inlineStr">
        <is>
          <t>1069103</t>
        </is>
      </c>
      <c r="D656" s="22" t="inlineStr">
        <is>
          <t>32123</t>
        </is>
      </c>
      <c r="E656" s="21" t="inlineStr">
        <is>
          <t>Сокира універсальна Фіскарс Fiskars X-Series X18 Universal S (1069103) Фінляндія</t>
        </is>
      </c>
      <c r="F656" s="21" t="inlineStr">
        <is>
          <t>Сокира універсальна Fiskars X10 - S (1015619)</t>
        </is>
      </c>
      <c r="G656" s="23" t="n">
        <v>3499</v>
      </c>
      <c r="H656" s="23" t="n">
        <v>2199</v>
      </c>
      <c r="I656" s="21" t="inlineStr">
        <is>
          <t>назви схожі, але різні коди виробника</t>
        </is>
      </c>
    </row>
    <row r="657">
      <c r="A657" s="22" t="n">
        <v>72.8</v>
      </c>
      <c r="B657" s="22" t="inlineStr">
        <is>
          <t>Водоспад</t>
        </is>
      </c>
      <c r="C657" s="22" t="inlineStr">
        <is>
          <t>3578-TEL.B</t>
        </is>
      </c>
      <c r="D657" s="22" t="inlineStr">
        <is>
          <t>33486</t>
        </is>
      </c>
      <c r="E657" s="21" t="inlineStr">
        <is>
          <t>Гілкоріз (секатор дворучний) телескопічний 600/900 мм 3578-TEL.B Bellota (Іспанія)</t>
        </is>
      </c>
      <c r="F657" s="21" t="inlineStr">
        <is>
          <t>Сучкоріз телескопічний Bellota 3578-TEL (3578-TEL)</t>
        </is>
      </c>
      <c r="G657" s="23" t="n">
        <v>3169</v>
      </c>
      <c r="H657" s="23" t="n">
        <v>2349</v>
      </c>
      <c r="I657" s="21" t="inlineStr">
        <is>
          <t>назви схожі, але різні коди виробника</t>
        </is>
      </c>
    </row>
    <row r="658">
      <c r="A658" s="22" t="n">
        <v>72.8</v>
      </c>
      <c r="B658" s="22" t="inlineStr">
        <is>
          <t>Водоспад</t>
        </is>
      </c>
      <c r="C658" s="22" t="inlineStr">
        <is>
          <t>921</t>
        </is>
      </c>
      <c r="D658" s="22" t="inlineStr">
        <is>
          <t>33928</t>
        </is>
      </c>
      <c r="E658" s="21" t="inlineStr">
        <is>
          <t>Шкіряний чохол-кобура для секатора Фелко / Felco 921 Швейцарія</t>
        </is>
      </c>
      <c r="F658" s="21" t="inlineStr">
        <is>
          <t>Шкіряний чохол Felco (910+)</t>
        </is>
      </c>
      <c r="G658" s="23" t="n">
        <v>2590</v>
      </c>
      <c r="H658" s="23" t="n">
        <v>1399</v>
      </c>
      <c r="I658" s="21" t="inlineStr">
        <is>
          <t>назви схожі, різняться словами: кобура, секатора, фелко</t>
        </is>
      </c>
    </row>
    <row r="659">
      <c r="A659" s="22" t="n">
        <v>72.8</v>
      </c>
      <c r="B659" s="22" t="inlineStr">
        <is>
          <t>Водоспад</t>
        </is>
      </c>
      <c r="C659" s="22" t="inlineStr">
        <is>
          <t>HT-5</t>
        </is>
      </c>
      <c r="D659" s="22" t="inlineStr">
        <is>
          <t>40560</t>
        </is>
      </c>
      <c r="E659" s="21" t="inlineStr">
        <is>
          <t>Набір для підв'язки рослин Tapener HT-5 (Степлер підв'язувальний Max HT-RS + Стрічка + Скоби)</t>
        </is>
      </c>
      <c r="F659" s="21" t="inlineStr">
        <is>
          <t>Степлер садовий для підв`язки Max Tapener HT-R1 GUN MAX + стрічка та скоби (MAX_R1-KIT1)</t>
        </is>
      </c>
      <c r="G659" s="23" t="n">
        <v>2575</v>
      </c>
      <c r="H659" s="23" t="n">
        <v>2449</v>
      </c>
      <c r="I659" s="21" t="inlineStr">
        <is>
          <t>назви схожі, різняться словами: gun, htrs, набір та ще 3</t>
        </is>
      </c>
    </row>
    <row r="660">
      <c r="A660" s="22" t="n">
        <v>72.8</v>
      </c>
      <c r="B660" s="22" t="inlineStr">
        <is>
          <t>Клуб Рослин</t>
        </is>
      </c>
      <c r="C660" s="22" t="inlineStr">
        <is>
          <t>1015642</t>
        </is>
      </c>
      <c r="D660" s="22" t="inlineStr">
        <is>
          <t>12331</t>
        </is>
      </c>
      <c r="E660" s="21" t="inlineStr">
        <is>
          <t>Сокира-колун Фіскарс Fiskars X21 L 122 473 (1015642) Фінляндія</t>
        </is>
      </c>
      <c r="F660" s="21" t="inlineStr">
        <is>
          <t>Сокира колун Fiskars Х11</t>
        </is>
      </c>
      <c r="G660" s="23" t="n">
        <v>3599</v>
      </c>
      <c r="H660" s="23" t="n">
        <v>1450.6</v>
      </c>
      <c r="I660" s="21" t="inlineStr">
        <is>
          <t>назви схожі, різняться словами: фінляндія, фіскарс</t>
        </is>
      </c>
    </row>
    <row r="661">
      <c r="A661" s="22" t="n">
        <v>72.8</v>
      </c>
      <c r="B661" s="22" t="inlineStr">
        <is>
          <t>Клуб Рослин</t>
        </is>
      </c>
      <c r="C661" s="22" t="inlineStr">
        <is>
          <t>Felco 8 Elite</t>
        </is>
      </c>
      <c r="D661" s="22" t="inlineStr">
        <is>
          <t>15295</t>
        </is>
      </c>
      <c r="E661" s="21" t="inlineStr">
        <is>
          <t>Секатор професійний ергономічний Фелко / Felco 8 Elite Швейцарія</t>
        </is>
      </c>
      <c r="F661" s="21" t="inlineStr">
        <is>
          <t>Садовий секатор FELCO 8 Elite великий обвідний ергономічний шкіряні ручки (Фелко 8 Elite)</t>
        </is>
      </c>
      <c r="G661" s="23" t="n">
        <v>4890</v>
      </c>
      <c r="H661" s="23" t="n">
        <v>4890</v>
      </c>
      <c r="I661" s="21" t="inlineStr">
        <is>
          <t>назви схожі, різняться словами: великий, обвідний, професійний та ще 3</t>
        </is>
      </c>
    </row>
    <row r="662">
      <c r="A662" s="22" t="n">
        <v>72.8</v>
      </c>
      <c r="B662" s="22" t="inlineStr">
        <is>
          <t>Клуб Рослин</t>
        </is>
      </c>
      <c r="C662" s="22" t="inlineStr">
        <is>
          <t>SR-EDG</t>
        </is>
      </c>
      <c r="D662" s="22" t="inlineStr">
        <is>
          <t>16109</t>
        </is>
      </c>
      <c r="E662" s="21" t="inlineStr">
        <is>
          <t>Окантовувач країв газону Смарт Рейн / Smart Rain (SR-EDG) Україна</t>
        </is>
      </c>
      <c r="F662" s="21" t="inlineStr">
        <is>
          <t>Лопата Smart Rain для газону SR-SH (Смарт Рейн SR-SH)</t>
        </is>
      </c>
      <c r="G662" s="23" t="n">
        <v>1295</v>
      </c>
      <c r="H662" s="23" t="n">
        <v>3950</v>
      </c>
      <c r="I662" s="21" t="inlineStr">
        <is>
          <t>назви схожі, різняться словами: sredg, srsh, країв та ще 2</t>
        </is>
      </c>
    </row>
    <row r="663">
      <c r="A663" s="22" t="n">
        <v>72.8</v>
      </c>
      <c r="B663" s="22" t="inlineStr">
        <is>
          <t>Клуб Рослин</t>
        </is>
      </c>
      <c r="C663" s="22" t="inlineStr">
        <is>
          <t>2051</t>
        </is>
      </c>
      <c r="D663" s="22" t="inlineStr">
        <is>
          <t>14791</t>
        </is>
      </c>
      <c r="E663" s="21" t="inlineStr">
        <is>
          <t>Інсектицид Моспілан 50 г Sumiаgro Самміт Агро Японія</t>
        </is>
      </c>
      <c r="F663" s="21" t="inlineStr">
        <is>
          <t>Інсектицид Моспілан (ацетаміприд 200 г/кг) Р.П. 50 г, Самміт-Агро</t>
        </is>
      </c>
      <c r="G663" s="23" t="n">
        <v>225</v>
      </c>
      <c r="H663" s="23" t="n">
        <v>240</v>
      </c>
      <c r="I663" s="21" t="inlineStr">
        <is>
          <t>назви схожі, різняться словами: sumiagro, ацетаміприд</t>
        </is>
      </c>
    </row>
    <row r="664">
      <c r="A664" s="22" t="n">
        <v>72.8</v>
      </c>
      <c r="B664" s="22" t="inlineStr">
        <is>
          <t>Клуб Рослин</t>
        </is>
      </c>
      <c r="C664" s="22" t="inlineStr">
        <is>
          <t>9312</t>
        </is>
      </c>
      <c r="D664" s="22" t="inlineStr">
        <is>
          <t>11576</t>
        </is>
      </c>
      <c r="E664" s="21" t="inlineStr">
        <is>
          <t>Респіратор протиаерозольний 3М 9312 + Aura FFP1</t>
        </is>
      </c>
      <c r="F664" s="21" t="inlineStr">
        <is>
          <t>Респіратор 3М FFP1 NR D</t>
        </is>
      </c>
      <c r="G664" s="23" t="n">
        <v>124</v>
      </c>
      <c r="H664" s="23" t="n">
        <v>46.7</v>
      </c>
      <c r="I664" s="21" t="inlineStr">
        <is>
          <t>назви схожі, але різні бренди</t>
        </is>
      </c>
    </row>
    <row r="665">
      <c r="A665" s="22" t="n">
        <v>72.7</v>
      </c>
      <c r="B665" s="22" t="inlineStr">
        <is>
          <t>Водоспад</t>
        </is>
      </c>
      <c r="C665" s="22" t="inlineStr">
        <is>
          <t>2.104</t>
        </is>
      </c>
      <c r="D665" s="22" t="inlineStr">
        <is>
          <t>32359</t>
        </is>
      </c>
      <c r="E665" s="21" t="inlineStr">
        <is>
          <t>Секатор з ковадлом Льове / Lowe (2.104) Німеччина</t>
        </is>
      </c>
      <c r="F665" s="21" t="inlineStr">
        <is>
          <t>Маленький секатор з ковадлом LOWE 5.127 (5.127)</t>
        </is>
      </c>
      <c r="G665" s="23" t="n">
        <v>2440</v>
      </c>
      <c r="H665" s="23" t="n">
        <v>1950</v>
      </c>
      <c r="I665" s="21" t="inlineStr">
        <is>
          <t>назви схожі, різняться словами: льове, маленький</t>
        </is>
      </c>
    </row>
    <row r="666">
      <c r="A666" s="22" t="n">
        <v>72.7</v>
      </c>
      <c r="B666" s="22" t="inlineStr">
        <is>
          <t>Клуб Рослин</t>
        </is>
      </c>
      <c r="C666" s="22" t="inlineStr">
        <is>
          <t>303/21</t>
        </is>
      </c>
      <c r="D666" s="22" t="inlineStr">
        <is>
          <t>12042</t>
        </is>
      </c>
      <c r="E666" s="21" t="inlineStr">
        <is>
          <t>Щеплювальний секатор Due Buoi 303/21 Італія</t>
        </is>
      </c>
      <c r="F666" s="21" t="inlineStr">
        <is>
          <t>Секатор для щеплення Due Buoi 300/21</t>
        </is>
      </c>
      <c r="G666" s="23" t="n">
        <v>1999</v>
      </c>
      <c r="H666" s="23" t="n">
        <v>3475</v>
      </c>
      <c r="I666" s="21" t="inlineStr">
        <is>
          <t>назви схожі, різняться словами: щеплення, щеплювальний</t>
        </is>
      </c>
    </row>
    <row r="667">
      <c r="A667" s="22" t="n">
        <v>72.7</v>
      </c>
      <c r="B667" s="22" t="inlineStr">
        <is>
          <t>Клуб Рослин</t>
        </is>
      </c>
      <c r="C667" s="22" t="inlineStr">
        <is>
          <t>160S</t>
        </is>
      </c>
      <c r="D667" s="22" t="inlineStr">
        <is>
          <t>11913</t>
        </is>
      </c>
      <c r="E667" s="21" t="inlineStr">
        <is>
          <t>Секатор Фелко / Felco 160S Швейцарія</t>
        </is>
      </c>
      <c r="F667" s="21" t="inlineStr">
        <is>
          <t>Секатор Felco 6 СС</t>
        </is>
      </c>
      <c r="G667" s="23" t="n">
        <v>1749</v>
      </c>
      <c r="H667" s="23" t="n">
        <v>6760</v>
      </c>
      <c r="I667" s="21" t="inlineStr">
        <is>
          <t>назви схожі, різняться словами: фелко</t>
        </is>
      </c>
    </row>
    <row r="668">
      <c r="A668" s="22" t="n">
        <v>72.7</v>
      </c>
      <c r="B668" s="22" t="inlineStr">
        <is>
          <t>Клуб Рослин</t>
        </is>
      </c>
      <c r="C668" s="22" t="inlineStr">
        <is>
          <t>1057164</t>
        </is>
      </c>
      <c r="D668" s="22" t="inlineStr">
        <is>
          <t>12059</t>
        </is>
      </c>
      <c r="E668" s="21" t="inlineStr">
        <is>
          <t>Секатор площинний Фіскарс / Fiskars Solid P341 (1057164) Фінляндія</t>
        </is>
      </c>
      <c r="F668" s="21" t="inlineStr">
        <is>
          <t>Секатор площинний Fiskars viola (111264)</t>
        </is>
      </c>
      <c r="G668" s="23" t="n">
        <v>1199</v>
      </c>
      <c r="H668" s="23" t="n">
        <v>184</v>
      </c>
      <c r="I668" s="21" t="inlineStr">
        <is>
          <t>назви схожі, але різні коди виробника</t>
        </is>
      </c>
    </row>
    <row r="669">
      <c r="A669" s="22" t="n">
        <v>72.59999999999999</v>
      </c>
      <c r="B669" s="22" t="inlineStr">
        <is>
          <t>Водоспад</t>
        </is>
      </c>
      <c r="C669" s="22" t="inlineStr">
        <is>
          <t>1147/19</t>
        </is>
      </c>
      <c r="D669" s="22" t="inlineStr">
        <is>
          <t>40818</t>
        </is>
      </c>
      <c r="E669" s="21" t="inlineStr">
        <is>
          <t>Секатор Due Buoi 1147/19 типу ножиці для збирання плодів Італія</t>
        </is>
      </c>
      <c r="F669" s="21" t="inlineStr">
        <is>
          <t>Ножиці для збирання врожаю Due Buoi (141/19)</t>
        </is>
      </c>
      <c r="G669" s="23" t="n">
        <v>245</v>
      </c>
      <c r="H669" s="23" t="n">
        <v>315</v>
      </c>
      <c r="I669" s="21" t="inlineStr">
        <is>
          <t>назви схожі, але різні коди виробника</t>
        </is>
      </c>
    </row>
    <row r="670">
      <c r="A670" s="22" t="n">
        <v>72.59999999999999</v>
      </c>
      <c r="B670" s="22" t="inlineStr">
        <is>
          <t>Клуб Рослин</t>
        </is>
      </c>
      <c r="C670" s="22" t="inlineStr">
        <is>
          <t>1051144</t>
        </is>
      </c>
      <c r="D670" s="22" t="inlineStr">
        <is>
          <t>12331</t>
        </is>
      </c>
      <c r="E670" s="21" t="inlineStr">
        <is>
          <t>Сокира-колун Фіскарс Fiskars Norden N12 1051144 Фінляндія</t>
        </is>
      </c>
      <c r="F670" s="21" t="inlineStr">
        <is>
          <t>Сокира колун Fiskars Х11</t>
        </is>
      </c>
      <c r="G670" s="23" t="n">
        <v>5599</v>
      </c>
      <c r="H670" s="23" t="n">
        <v>1450.6</v>
      </c>
      <c r="I670" s="21" t="inlineStr">
        <is>
          <t>назви схожі, різняться словами: norden, фінляндія, фіскарс</t>
        </is>
      </c>
    </row>
    <row r="671">
      <c r="A671" s="22" t="n">
        <v>72.59999999999999</v>
      </c>
      <c r="B671" s="22" t="inlineStr">
        <is>
          <t>Клуб Рослин</t>
        </is>
      </c>
      <c r="C671" s="22" t="inlineStr">
        <is>
          <t>3013</t>
        </is>
      </c>
      <c r="D671" s="22" t="inlineStr">
        <is>
          <t>14753</t>
        </is>
      </c>
      <c r="E671" s="21" t="inlineStr">
        <is>
          <t>Фунгіцид Топаз 100 ЕС КЕ 1 л Syngenta Сингента Швейцарія</t>
        </is>
      </c>
      <c r="F671" s="21" t="inlineStr">
        <is>
          <t>Фунгіцид Топаз 100 (пенконазол 100 г/л) ЕС к.е. 100 мл, Syngenta</t>
        </is>
      </c>
      <c r="G671" s="23" t="n">
        <v>3098</v>
      </c>
      <c r="H671" s="23" t="n">
        <v>480</v>
      </c>
      <c r="I671" s="21" t="inlineStr">
        <is>
          <t>назви схожі, але різні об'єми або розміри</t>
        </is>
      </c>
    </row>
    <row r="672">
      <c r="A672" s="22" t="n">
        <v>72.59999999999999</v>
      </c>
      <c r="B672" s="22" t="inlineStr">
        <is>
          <t>Клуб Рослин</t>
        </is>
      </c>
      <c r="C672" s="22" t="inlineStr">
        <is>
          <t>200</t>
        </is>
      </c>
      <c r="D672" s="22" t="inlineStr">
        <is>
          <t>14596</t>
        </is>
      </c>
      <c r="E672" s="21" t="inlineStr">
        <is>
          <t>Кущоріз Альпен Пілатус / Alpen Pilatus (200) Швейцарія</t>
        </is>
      </c>
      <c r="F672" s="21" t="inlineStr">
        <is>
          <t>Ножиці для кущів Alpen Pilatus 200 ковані (Кущорізи Альпен Пілатус 200)</t>
        </is>
      </c>
      <c r="G672" s="23" t="n">
        <v>2160</v>
      </c>
      <c r="H672" s="23" t="n">
        <v>2160</v>
      </c>
      <c r="I672" s="21" t="inlineStr">
        <is>
          <t>назви схожі, різняться словами: ковані, кущів, кущоріз та ще 2</t>
        </is>
      </c>
    </row>
    <row r="673">
      <c r="A673" s="22" t="n">
        <v>72.59999999999999</v>
      </c>
      <c r="B673" s="22" t="inlineStr">
        <is>
          <t>Клуб Рослин</t>
        </is>
      </c>
      <c r="C673" s="22" t="inlineStr">
        <is>
          <t>951-20 CM.B</t>
        </is>
      </c>
      <c r="D673" s="22" t="inlineStr">
        <is>
          <t>8904</t>
        </is>
      </c>
      <c r="E673" s="21" t="inlineStr">
        <is>
          <t>Граблі професійні 542 мм з держаком 1200 мм​​​​​​​ Bellota 951-20 CM.B Іспанія</t>
        </is>
      </c>
      <c r="F673" s="21" t="inlineStr">
        <is>
          <t>Граблi професiйнi Bellota 951-20 СМ.B (542мм), з держаком</t>
        </is>
      </c>
      <c r="G673" s="23" t="n">
        <v>888</v>
      </c>
      <c r="H673" s="23" t="n">
        <v>863</v>
      </c>
      <c r="I673" s="21" t="inlineStr">
        <is>
          <t>назви схожі, різняться словами: граблі, професійні</t>
        </is>
      </c>
    </row>
    <row r="674">
      <c r="A674" s="22" t="n">
        <v>72.59999999999999</v>
      </c>
      <c r="B674" s="22" t="inlineStr">
        <is>
          <t>Клуб Рослин</t>
        </is>
      </c>
      <c r="C674" s="22" t="inlineStr">
        <is>
          <t>PIR-P</t>
        </is>
      </c>
      <c r="D674" s="22" t="inlineStr">
        <is>
          <t>10573</t>
        </is>
      </c>
      <c r="E674" s="21" t="inlineStr">
        <is>
          <t>Лопата штикова з дерев'яною ручкою 1450 мм Truper (PIR-P) Мексика</t>
        </is>
      </c>
      <c r="F674" s="21" t="inlineStr">
        <is>
          <t>Лопата штикова з дерев'яною ручкою Штокер Stocker 2251</t>
        </is>
      </c>
      <c r="G674" s="23" t="n">
        <v>775</v>
      </c>
      <c r="H674" s="23" t="n">
        <v>1229</v>
      </c>
      <c r="I674" s="21" t="inlineStr">
        <is>
          <t>назви схожі, але різні бренди</t>
        </is>
      </c>
    </row>
    <row r="675">
      <c r="A675" s="22" t="n">
        <v>72.59999999999999</v>
      </c>
      <c r="B675" s="22" t="inlineStr">
        <is>
          <t>Клуб Рослин</t>
        </is>
      </c>
      <c r="C675" s="22" t="inlineStr">
        <is>
          <t>121000994301</t>
        </is>
      </c>
      <c r="D675" s="22" t="inlineStr">
        <is>
          <t>14596</t>
        </is>
      </c>
      <c r="E675" s="21" t="inlineStr">
        <is>
          <t>Кущоріз Альпен Пілатус / Alpen Pilatus (200) Швейцарія</t>
        </is>
      </c>
      <c r="F675" s="21" t="inlineStr">
        <is>
          <t>Ножиці для кущів Alpen Pilatus 200 ковані (Кущорізи Альпен Пілатус 200)</t>
        </is>
      </c>
      <c r="G675" s="23" t="n"/>
      <c r="H675" s="23" t="n">
        <v>2160</v>
      </c>
      <c r="I675" s="21" t="inlineStr">
        <is>
          <t>назви схожі, різняться словами: ковані, кущів, кущоріз та ще 2</t>
        </is>
      </c>
    </row>
    <row r="676">
      <c r="A676" s="22" t="n">
        <v>72.5</v>
      </c>
      <c r="B676" s="22" t="inlineStr">
        <is>
          <t>Водоспад</t>
        </is>
      </c>
      <c r="C676" s="22" t="inlineStr">
        <is>
          <t>3103 MFVA.B</t>
        </is>
      </c>
      <c r="D676" s="22" t="inlineStr">
        <is>
          <t>42210</t>
        </is>
      </c>
      <c r="E676" s="21" t="inlineStr">
        <is>
          <t>Лопата штикова Bellota 3103 MFVA.B Іспанія</t>
        </is>
      </c>
      <c r="F676" s="21" t="inlineStr">
        <is>
          <t>Лопата штикова Bellota 3103, довжина 125см</t>
        </is>
      </c>
      <c r="G676" s="23" t="n">
        <v>1310</v>
      </c>
      <c r="H676" s="23" t="n">
        <v>1310</v>
      </c>
      <c r="I676" s="21" t="inlineStr">
        <is>
          <t>назви схожі, різняться словами: mfva, довжина</t>
        </is>
      </c>
    </row>
    <row r="677">
      <c r="A677" s="22" t="n">
        <v>72.5</v>
      </c>
      <c r="B677" s="22" t="inlineStr">
        <is>
          <t>Водоспад</t>
        </is>
      </c>
      <c r="C677" s="22" t="inlineStr">
        <is>
          <t>6b06622a-abbb-11ee-bf43-c87f546feb15</t>
        </is>
      </c>
      <c r="D677" s="22" t="inlineStr">
        <is>
          <t>42210</t>
        </is>
      </c>
      <c r="E677" s="21" t="inlineStr">
        <is>
          <t>Лопата штикова Bellota 3103 MFVA.B Іспанія</t>
        </is>
      </c>
      <c r="F677" s="21" t="inlineStr">
        <is>
          <t>Лопата штикова Bellota 3103, довжина 125см</t>
        </is>
      </c>
      <c r="G677" s="23" t="n">
        <v>1259</v>
      </c>
      <c r="H677" s="23" t="n">
        <v>1310</v>
      </c>
      <c r="I677" s="21" t="inlineStr">
        <is>
          <t>назви схожі, різняться словами: mfva, довжина</t>
        </is>
      </c>
    </row>
    <row r="678">
      <c r="A678" s="22" t="n">
        <v>72.5</v>
      </c>
      <c r="B678" s="22" t="inlineStr">
        <is>
          <t>Водоспад</t>
        </is>
      </c>
      <c r="C678" s="22" t="inlineStr">
        <is>
          <t>Alpen-910</t>
        </is>
      </c>
      <c r="D678" s="22" t="inlineStr">
        <is>
          <t>43403</t>
        </is>
      </c>
      <c r="E678" s="21" t="inlineStr">
        <is>
          <t>Мастило Альпен Тамбо / Alpen Tambo (910) Швейцарія</t>
        </is>
      </c>
      <c r="F678" s="21" t="inlineStr">
        <is>
          <t>Мастило для секаторів синтетичне ALPEN (АЛЬПЕН) Tambo 910, 30 г</t>
        </is>
      </c>
      <c r="G678" s="23" t="n">
        <v>410</v>
      </c>
      <c r="H678" s="23" t="n">
        <v>419</v>
      </c>
      <c r="I678" s="21" t="inlineStr">
        <is>
          <t>назви схожі, різняться словами: секаторів, синтетичне, тамбо</t>
        </is>
      </c>
    </row>
    <row r="679">
      <c r="A679" s="22" t="n">
        <v>72.5</v>
      </c>
      <c r="B679" s="22" t="inlineStr">
        <is>
          <t>Водоспад</t>
        </is>
      </c>
      <c r="C679" s="22" t="inlineStr">
        <is>
          <t>121000333202</t>
        </is>
      </c>
      <c r="D679" s="22" t="inlineStr">
        <is>
          <t>43403</t>
        </is>
      </c>
      <c r="E679" s="21" t="inlineStr">
        <is>
          <t>Мастило Альпен Тамбо / Alpen Tambo (910) Швейцарія</t>
        </is>
      </c>
      <c r="F679" s="21" t="inlineStr">
        <is>
          <t>Мастило для секаторів синтетичне ALPEN (АЛЬПЕН) Tambo 910, 30 г</t>
        </is>
      </c>
      <c r="G679" s="23" t="n"/>
      <c r="H679" s="23" t="n">
        <v>419</v>
      </c>
      <c r="I679" s="21" t="inlineStr">
        <is>
          <t>назви схожі, різняться словами: секаторів, синтетичне, тамбо</t>
        </is>
      </c>
    </row>
    <row r="680">
      <c r="A680" s="22" t="n">
        <v>72.5</v>
      </c>
      <c r="B680" s="22" t="inlineStr">
        <is>
          <t>Клуб Рослин</t>
        </is>
      </c>
      <c r="C680" s="22" t="inlineStr">
        <is>
          <t>8080</t>
        </is>
      </c>
      <c r="D680" s="22" t="inlineStr">
        <is>
          <t>13629</t>
        </is>
      </c>
      <c r="E680" s="21" t="inlineStr">
        <is>
          <t>Добриво Осмокот / Osmocote Pro 18-9-10 (12-14 М) 25 кг ICL Нідерланди</t>
        </is>
      </c>
      <c r="F680" s="21" t="inlineStr">
        <is>
          <t>Добриво тривалої дії Osmocote Pro 18-9-10+2MgO+ТЕ(12-14 місяців), 25 кг</t>
        </is>
      </c>
      <c r="G680" s="23" t="n">
        <v>7450</v>
      </c>
      <c r="H680" s="23" t="n">
        <v>5345</v>
      </c>
      <c r="I680" s="21" t="inlineStr">
        <is>
          <t>назви схожі, але різні коди виробника</t>
        </is>
      </c>
    </row>
    <row r="681">
      <c r="A681" s="22" t="n">
        <v>72.5</v>
      </c>
      <c r="B681" s="22" t="inlineStr">
        <is>
          <t>Клуб Рослин</t>
        </is>
      </c>
      <c r="C681" s="22" t="inlineStr">
        <is>
          <t>641/10L</t>
        </is>
      </c>
      <c r="D681" s="22" t="inlineStr">
        <is>
          <t>10946</t>
        </is>
      </c>
      <c r="E681" s="21" t="inlineStr">
        <is>
          <t>Щеплювальний ніж для шульги Тіна / Tina (641/10L) Німеччина</t>
        </is>
      </c>
      <c r="F681" s="21" t="inlineStr">
        <is>
          <t>Ніж Tina 641/10L</t>
        </is>
      </c>
      <c r="G681" s="23" t="n">
        <v>7299</v>
      </c>
      <c r="H681" s="23" t="n">
        <v>7299</v>
      </c>
      <c r="I681" s="21" t="inlineStr">
        <is>
          <t>назви схожі, різняться словами: тіна, шульги, щеплювальний</t>
        </is>
      </c>
    </row>
    <row r="682">
      <c r="A682" s="22" t="n">
        <v>72.5</v>
      </c>
      <c r="B682" s="22" t="inlineStr">
        <is>
          <t>Клуб Рослин</t>
        </is>
      </c>
      <c r="C682" s="22" t="inlineStr">
        <is>
          <t>1001704</t>
        </is>
      </c>
      <c r="D682" s="22" t="inlineStr">
        <is>
          <t>12353</t>
        </is>
      </c>
      <c r="E682" s="21" t="inlineStr">
        <is>
          <t>Сокира-молот Фіскарс Fiskars X37 122160 (1001704) Фінляндія</t>
        </is>
      </c>
      <c r="F682" s="21" t="inlineStr">
        <is>
          <t>Сокира-молот Fiskars 2500</t>
        </is>
      </c>
      <c r="G682" s="23" t="n">
        <v>5199</v>
      </c>
      <c r="H682" s="23" t="n">
        <v>2236.1</v>
      </c>
      <c r="I682" s="21" t="inlineStr">
        <is>
          <t>назви схожі, різняться словами: фінляндія, фіскарс</t>
        </is>
      </c>
    </row>
    <row r="683">
      <c r="A683" s="22" t="n">
        <v>72.5</v>
      </c>
      <c r="B683" s="22" t="inlineStr">
        <is>
          <t>Клуб Рослин</t>
        </is>
      </c>
      <c r="C683" s="22" t="inlineStr">
        <is>
          <t>7</t>
        </is>
      </c>
      <c r="D683" s="22" t="inlineStr">
        <is>
          <t>11914</t>
        </is>
      </c>
      <c r="E683" s="21" t="inlineStr">
        <is>
          <t>Секатор Фелко / Felco 7 Швейцарія</t>
        </is>
      </c>
      <c r="F683" s="21" t="inlineStr">
        <is>
          <t>Секатор Felco 8 СС</t>
        </is>
      </c>
      <c r="G683" s="23" t="n">
        <v>3990</v>
      </c>
      <c r="H683" s="23" t="n">
        <v>5170</v>
      </c>
      <c r="I683" s="21" t="inlineStr">
        <is>
          <t>назви схожі, різняться словами: фелко</t>
        </is>
      </c>
    </row>
    <row r="684">
      <c r="A684" s="22" t="n">
        <v>72.5</v>
      </c>
      <c r="B684" s="22" t="inlineStr">
        <is>
          <t>Клуб Рослин</t>
        </is>
      </c>
      <c r="C684" s="22" t="inlineStr">
        <is>
          <t>2</t>
        </is>
      </c>
      <c r="D684" s="22" t="inlineStr">
        <is>
          <t>11914</t>
        </is>
      </c>
      <c r="E684" s="21" t="inlineStr">
        <is>
          <t>Секатор Фелко / Felco 2 Швейцарія</t>
        </is>
      </c>
      <c r="F684" s="21" t="inlineStr">
        <is>
          <t>Секатор Felco 8 СС</t>
        </is>
      </c>
      <c r="G684" s="23" t="n">
        <v>2880</v>
      </c>
      <c r="H684" s="23" t="n">
        <v>5170</v>
      </c>
      <c r="I684" s="21" t="inlineStr">
        <is>
          <t>назви схожі, різняться словами: фелко</t>
        </is>
      </c>
    </row>
    <row r="685">
      <c r="A685" s="22" t="n">
        <v>72.5</v>
      </c>
      <c r="B685" s="22" t="inlineStr">
        <is>
          <t>Клуб Рослин</t>
        </is>
      </c>
      <c r="C685" s="22" t="inlineStr">
        <is>
          <t>1066714</t>
        </is>
      </c>
      <c r="D685" s="22" t="inlineStr">
        <is>
          <t>10544</t>
        </is>
      </c>
      <c r="E685" s="21" t="inlineStr">
        <is>
          <t>Лопата садова Фіскарс / Fiskars Ergonomic (1066714) Фінляндія</t>
        </is>
      </c>
      <c r="F685" s="21" t="inlineStr">
        <is>
          <t>Лопата Fiskars Ergonomic 132400 совкова</t>
        </is>
      </c>
      <c r="G685" s="23" t="n">
        <v>2499</v>
      </c>
      <c r="H685" s="23" t="n">
        <v>958.3</v>
      </c>
      <c r="I685" s="21" t="inlineStr">
        <is>
          <t>назви схожі, але різні коди виробника</t>
        </is>
      </c>
    </row>
    <row r="686">
      <c r="A686" s="22" t="n">
        <v>72.5</v>
      </c>
      <c r="B686" s="22" t="inlineStr">
        <is>
          <t>Клуб Рослин</t>
        </is>
      </c>
      <c r="C686" s="22" t="inlineStr">
        <is>
          <t>4</t>
        </is>
      </c>
      <c r="D686" s="22" t="inlineStr">
        <is>
          <t>11914</t>
        </is>
      </c>
      <c r="E686" s="21" t="inlineStr">
        <is>
          <t>Секатор Фелко / Felco 4 Швейцарія</t>
        </is>
      </c>
      <c r="F686" s="21" t="inlineStr">
        <is>
          <t>Секатор Felco 8 СС</t>
        </is>
      </c>
      <c r="G686" s="23" t="n">
        <v>2390</v>
      </c>
      <c r="H686" s="23" t="n">
        <v>5170</v>
      </c>
      <c r="I686" s="21" t="inlineStr">
        <is>
          <t>назви схожі, різняться словами: фелко</t>
        </is>
      </c>
    </row>
    <row r="687">
      <c r="A687" s="22" t="n">
        <v>72.5</v>
      </c>
      <c r="B687" s="22" t="inlineStr">
        <is>
          <t>Клуб Рослин</t>
        </is>
      </c>
      <c r="C687" s="22" t="inlineStr">
        <is>
          <t>0110</t>
        </is>
      </c>
      <c r="D687" s="22" t="inlineStr">
        <is>
          <t>15804</t>
        </is>
      </c>
      <c r="E687" s="21" t="inlineStr">
        <is>
          <t>Кущоріз 360 мм Доукан / Doukan (0110) Японія</t>
        </is>
      </c>
      <c r="F687" s="21" t="inlineStr">
        <is>
          <t>Садові ножиці Doukan 0113 японські (кущорізи Доукан 0113)</t>
        </is>
      </c>
      <c r="G687" s="23" t="n">
        <v>1080</v>
      </c>
      <c r="H687" s="23" t="n">
        <v>3490</v>
      </c>
      <c r="I687" s="21" t="inlineStr">
        <is>
          <t>назви схожі, різняться словами: кущоріз, кущорізи, ножиці та ще 2</t>
        </is>
      </c>
    </row>
    <row r="688">
      <c r="A688" s="22" t="n">
        <v>72.5</v>
      </c>
      <c r="B688" s="22" t="inlineStr">
        <is>
          <t>Клуб Рослин</t>
        </is>
      </c>
      <c r="C688" s="22" t="inlineStr">
        <is>
          <t>3083.B</t>
        </is>
      </c>
      <c r="D688" s="22" t="inlineStr">
        <is>
          <t>10697</t>
        </is>
      </c>
      <c r="E688" s="21" t="inlineStr">
        <is>
          <t>Сапка рамкова без держака 150 мм Bellota (3083.B) Іспанія</t>
        </is>
      </c>
      <c r="F688" s="21" t="inlineStr">
        <is>
          <t>Сапка (мотика) Bellota 3083 CM (Беллота 150 мм з держаком)</t>
        </is>
      </c>
      <c r="G688" s="23" t="n">
        <v>485</v>
      </c>
      <c r="H688" s="23" t="n">
        <v>648</v>
      </c>
      <c r="I688" s="21" t="inlineStr">
        <is>
          <t>назви схожі, різняться словами: беллота, держака, держаком та ще 2</t>
        </is>
      </c>
    </row>
    <row r="689">
      <c r="A689" s="22" t="n">
        <v>72.5</v>
      </c>
      <c r="B689" s="22" t="inlineStr">
        <is>
          <t>Клуб Рослин</t>
        </is>
      </c>
      <c r="C689" s="22" t="inlineStr">
        <is>
          <t>KT-100</t>
        </is>
      </c>
      <c r="D689" s="22" t="inlineStr">
        <is>
          <t>16438</t>
        </is>
      </c>
      <c r="E689" s="21" t="inlineStr">
        <is>
          <t>Олія камелії антикорозійна Kurobara Tsubaki 100 мл (KT-100) Hanakumagawa Японія</t>
        </is>
      </c>
      <c r="F689" s="21" t="inlineStr">
        <is>
          <t>Олія камелії Kurobara Tsubaki Hanakumagawa для захисту сталі від іржі, 100 мл (Ханакумагава)</t>
        </is>
      </c>
      <c r="G689" s="23" t="n">
        <v>455</v>
      </c>
      <c r="H689" s="23" t="n">
        <v>455</v>
      </c>
      <c r="I689" s="21" t="inlineStr">
        <is>
          <t>назви схожі, різняться словами: іржі, антикорозійна, захисту та ще 2</t>
        </is>
      </c>
    </row>
    <row r="690">
      <c r="A690" s="22" t="n">
        <v>72.5</v>
      </c>
      <c r="B690" s="22" t="inlineStr">
        <is>
          <t>Клуб Рослин</t>
        </is>
      </c>
      <c r="C690" s="22" t="inlineStr">
        <is>
          <t>1071899</t>
        </is>
      </c>
      <c r="D690" s="22" t="inlineStr">
        <is>
          <t>12301</t>
        </is>
      </c>
      <c r="E690" s="21" t="inlineStr">
        <is>
          <t>Садовий совок Фіскарс / Fiskars Solid (1071899) Фінляндія</t>
        </is>
      </c>
      <c r="F690" s="21" t="inlineStr">
        <is>
          <t>Совок садовий Fiskars 137000</t>
        </is>
      </c>
      <c r="G690" s="23" t="n">
        <v>399</v>
      </c>
      <c r="H690" s="23" t="n">
        <v>696</v>
      </c>
      <c r="I690" s="21" t="inlineStr">
        <is>
          <t>назви схожі, але різні коди виробника</t>
        </is>
      </c>
    </row>
    <row r="691">
      <c r="A691" s="22" t="n">
        <v>72.5</v>
      </c>
      <c r="B691" s="22" t="inlineStr">
        <is>
          <t>Клуб Рослин</t>
        </is>
      </c>
      <c r="C691" s="22" t="inlineStr">
        <is>
          <t>2170325</t>
        </is>
      </c>
      <c r="D691" s="22" t="inlineStr">
        <is>
          <t>12283</t>
        </is>
      </c>
      <c r="E691" s="21" t="inlineStr">
        <is>
          <t>Скоби для садового степлера Cameleon SA502 (10000 шт) Strend Pro Garden (2170325) Словаччина</t>
        </is>
      </c>
      <c r="F691" s="21" t="inlineStr">
        <is>
          <t>Скоби до степлера садового TITAN (10000 шт)</t>
        </is>
      </c>
      <c r="G691" s="23" t="n">
        <v>100</v>
      </c>
      <c r="H691" s="23" t="n">
        <v>99</v>
      </c>
      <c r="I691" s="21" t="inlineStr">
        <is>
          <t>назви схожі, але різні бренди</t>
        </is>
      </c>
    </row>
    <row r="692">
      <c r="A692" s="22" t="n">
        <v>72.40000000000001</v>
      </c>
      <c r="B692" s="22" t="inlineStr">
        <is>
          <t>Водоспад</t>
        </is>
      </c>
      <c r="C692" s="22" t="inlineStr">
        <is>
          <t>HT-1</t>
        </is>
      </c>
      <c r="D692" s="22" t="inlineStr">
        <is>
          <t>40560</t>
        </is>
      </c>
      <c r="E692" s="21" t="inlineStr">
        <is>
          <t>Набір для підв'язки рослин Tapener HT-1 (Степлер підв'язувальний Max HT-R45C + Стрічка + Скоби)</t>
        </is>
      </c>
      <c r="F692" s="21" t="inlineStr">
        <is>
          <t>Степлер садовий для підв`язки Max Tapener HT-R1 GUN MAX + стрічка та скоби (MAX_R1-KIT1)</t>
        </is>
      </c>
      <c r="G692" s="23" t="n">
        <v>3699</v>
      </c>
      <c r="H692" s="23" t="n">
        <v>2449</v>
      </c>
      <c r="I692" s="21" t="inlineStr">
        <is>
          <t>назви схожі, різняться словами: gun, набір, підвязувальний та ще 2</t>
        </is>
      </c>
    </row>
    <row r="693">
      <c r="A693" s="22" t="n">
        <v>72.40000000000001</v>
      </c>
      <c r="B693" s="22" t="inlineStr">
        <is>
          <t>Клуб Рослин</t>
        </is>
      </c>
      <c r="C693" s="22" t="inlineStr">
        <is>
          <t>HT-4</t>
        </is>
      </c>
      <c r="D693" s="22" t="inlineStr">
        <is>
          <t>12381</t>
        </is>
      </c>
      <c r="E693" s="21" t="inlineStr">
        <is>
          <t>Набір для підв'язки рослин Tapener HT-4 (Степлер підв'язувальний Tapener HT-B1 + Стрічка + Скоби)</t>
        </is>
      </c>
      <c r="F693" s="21" t="inlineStr">
        <is>
          <t>Степлер-зшивач МAX Tapener HT-B1 + Стрічка 10 шт + Скоби Оригінальні (Тапенер для рослин Акційний Набір)</t>
        </is>
      </c>
      <c r="G693" s="23" t="n">
        <v>2398</v>
      </c>
      <c r="H693" s="23" t="n">
        <v>2397</v>
      </c>
      <c r="I693" s="21" t="inlineStr">
        <is>
          <t>назви схожі, різняться словами: max, акційний, зшивач та ще 4</t>
        </is>
      </c>
    </row>
    <row r="694">
      <c r="A694" s="22" t="n">
        <v>72.40000000000001</v>
      </c>
      <c r="B694" s="22" t="inlineStr">
        <is>
          <t>Клуб Рослин</t>
        </is>
      </c>
      <c r="C694" s="22" t="inlineStr">
        <is>
          <t>1001574</t>
        </is>
      </c>
      <c r="D694" s="22" t="inlineStr">
        <is>
          <t>10531</t>
        </is>
      </c>
      <c r="E694" s="21" t="inlineStr">
        <is>
          <t>Лопата штикова 70 мм Фіскарс / Fiskars (1001574) Фінляндія</t>
        </is>
      </c>
      <c r="F694" s="21" t="inlineStr">
        <is>
          <t>Лопата Fiskars 131470 садова штикова</t>
        </is>
      </c>
      <c r="G694" s="23" t="n">
        <v>1999</v>
      </c>
      <c r="H694" s="23" t="n">
        <v>1135</v>
      </c>
      <c r="I694" s="21" t="inlineStr">
        <is>
          <t>назви схожі, але різні коди виробника</t>
        </is>
      </c>
    </row>
    <row r="695">
      <c r="A695" s="22" t="n">
        <v>72.40000000000001</v>
      </c>
      <c r="B695" s="22" t="inlineStr">
        <is>
          <t>Клуб Рослин</t>
        </is>
      </c>
      <c r="C695" s="22" t="inlineStr">
        <is>
          <t>3311</t>
        </is>
      </c>
      <c r="D695" s="22" t="inlineStr">
        <is>
          <t>14765</t>
        </is>
      </c>
      <c r="E695" s="21" t="inlineStr">
        <is>
          <t>Фунгіцид Хорус 75 WG ВГ 100 г (Флакон) Syngenta Сингента Швейцарія</t>
        </is>
      </c>
      <c r="F695" s="21" t="inlineStr">
        <is>
          <t>Фунгіцид Хорус 75 (ципродиніл 750 г/кг) WG в.г. 3 г, Syngenta</t>
        </is>
      </c>
      <c r="G695" s="23" t="n">
        <v>875</v>
      </c>
      <c r="H695" s="23" t="n">
        <v>49</v>
      </c>
      <c r="I695" s="21" t="inlineStr">
        <is>
          <t>назви схожі, але різні об'єми або розміри</t>
        </is>
      </c>
    </row>
    <row r="696">
      <c r="A696" s="22" t="n">
        <v>72.40000000000001</v>
      </c>
      <c r="B696" s="22" t="inlineStr">
        <is>
          <t>Клуб Рослин</t>
        </is>
      </c>
      <c r="C696" s="22" t="inlineStr">
        <is>
          <t>8101</t>
        </is>
      </c>
      <c r="D696" s="22" t="inlineStr">
        <is>
          <t>9260</t>
        </is>
      </c>
      <c r="E696" s="21" t="inlineStr">
        <is>
          <t>Добриво Агрекол / Agrecol для газонів 0-10-25 3 кг Польща</t>
        </is>
      </c>
      <c r="F696" s="21" t="inlineStr">
        <is>
          <t>Добриво Yara Vila для газонів, 3 кг</t>
        </is>
      </c>
      <c r="G696" s="23" t="n">
        <v>679</v>
      </c>
      <c r="H696" s="23" t="n">
        <v>544</v>
      </c>
      <c r="I696" s="21" t="inlineStr">
        <is>
          <t>назви схожі, але різні бренди</t>
        </is>
      </c>
    </row>
    <row r="697">
      <c r="A697" s="22" t="n">
        <v>72.40000000000001</v>
      </c>
      <c r="B697" s="22" t="inlineStr">
        <is>
          <t>Клуб Рослин</t>
        </is>
      </c>
      <c r="C697" s="22" t="inlineStr">
        <is>
          <t>Z-573</t>
        </is>
      </c>
      <c r="D697" s="22" t="inlineStr">
        <is>
          <t>8735</t>
        </is>
      </c>
      <c r="E697" s="21" t="inlineStr">
        <is>
          <t>Віск для щеплення червоний Чірка / Cirka (Z-573) 1 кг Awax Італія</t>
        </is>
      </c>
      <c r="F697" s="21" t="inlineStr">
        <is>
          <t>Віск для щеплення CIRKA пластина 1 кг, червоний (Сірфлекс)</t>
        </is>
      </c>
      <c r="G697" s="23" t="n">
        <v>425</v>
      </c>
      <c r="H697" s="23" t="n">
        <v>425</v>
      </c>
      <c r="I697" s="21" t="inlineStr">
        <is>
          <t>назви схожі, різняться словами: awax, пластина, сірфлекс та ще 1</t>
        </is>
      </c>
    </row>
    <row r="698">
      <c r="A698" s="22" t="n">
        <v>72.40000000000001</v>
      </c>
      <c r="B698" s="22" t="inlineStr">
        <is>
          <t>Клуб Рослин</t>
        </is>
      </c>
      <c r="C698" s="22" t="inlineStr">
        <is>
          <t>R144PV</t>
        </is>
      </c>
      <c r="D698" s="22" t="inlineStr">
        <is>
          <t>14322</t>
        </is>
      </c>
      <c r="E698" s="21" t="inlineStr">
        <is>
          <t>Центральний болт і гайка до сучкоріза Bahco P-160 R144PV</t>
        </is>
      </c>
      <c r="F698" s="21" t="inlineStr">
        <is>
          <t>Центральний болт та гайка для гілкоріза P160</t>
        </is>
      </c>
      <c r="G698" s="23" t="n">
        <v>345</v>
      </c>
      <c r="H698" s="23" t="n">
        <v>350</v>
      </c>
      <c r="I698" s="21" t="inlineStr">
        <is>
          <t>назви схожі, різняться словами: bahco, гілкоріза, сучкоріза</t>
        </is>
      </c>
    </row>
    <row r="699">
      <c r="A699" s="22" t="n">
        <v>72.3</v>
      </c>
      <c r="B699" s="22" t="inlineStr">
        <is>
          <t>Водоспад</t>
        </is>
      </c>
      <c r="C699" s="22" t="inlineStr">
        <is>
          <t>200С-60</t>
        </is>
      </c>
      <c r="D699" s="22" t="inlineStr">
        <is>
          <t>42520</t>
        </is>
      </c>
      <c r="E699" s="21" t="inlineStr">
        <is>
          <t>Гілкоріз Felco 200С-60</t>
        </is>
      </c>
      <c r="F699" s="21" t="inlineStr">
        <is>
          <t>Сучкоріз FELCO 201-60 (60 см)</t>
        </is>
      </c>
      <c r="G699" s="23" t="n">
        <v>5300</v>
      </c>
      <c r="H699" s="23" t="n">
        <v>4690</v>
      </c>
      <c r="I699" s="21" t="inlineStr">
        <is>
          <t>назви схожі, різняться словами: гілкоріз, сучкоріз</t>
        </is>
      </c>
    </row>
    <row r="700">
      <c r="A700" s="22" t="n">
        <v>72.3</v>
      </c>
      <c r="B700" s="22" t="inlineStr">
        <is>
          <t>Клуб Рослин</t>
        </is>
      </c>
      <c r="C700" s="22" t="inlineStr">
        <is>
          <t>1.107</t>
        </is>
      </c>
      <c r="D700" s="22" t="inlineStr">
        <is>
          <t>11971</t>
        </is>
      </c>
      <c r="E700" s="21" t="inlineStr">
        <is>
          <t>Секатор з ковадлом Льове / Lowe Original (1.107) Німеччина</t>
        </is>
      </c>
      <c r="F700" s="21" t="inlineStr">
        <is>
          <t>Секатор Lowe 6.107 з прямим коваделцем (Льове 6.107)</t>
        </is>
      </c>
      <c r="G700" s="23" t="n">
        <v>2220</v>
      </c>
      <c r="H700" s="23" t="n">
        <v>2950</v>
      </c>
      <c r="I700" s="21" t="inlineStr">
        <is>
          <t>назви схожі, різняться словами: original, коваделцем, ковадлом та ще 1</t>
        </is>
      </c>
    </row>
    <row r="701">
      <c r="A701" s="22" t="n">
        <v>72.3</v>
      </c>
      <c r="B701" s="22" t="inlineStr">
        <is>
          <t>Клуб Рослин</t>
        </is>
      </c>
      <c r="C701" s="22" t="inlineStr">
        <is>
          <t>951-20 CML.B</t>
        </is>
      </c>
      <c r="D701" s="22" t="inlineStr">
        <is>
          <t>8904</t>
        </is>
      </c>
      <c r="E701" s="21" t="inlineStr">
        <is>
          <t>Граблі професійні 542 мм з держаком 1500 мм Bellota 951-20 CML.B Іспанія</t>
        </is>
      </c>
      <c r="F701" s="21" t="inlineStr">
        <is>
          <t>Граблi професiйнi Bellota 951-20 СМ.B (542мм), з держаком</t>
        </is>
      </c>
      <c r="G701" s="23" t="n">
        <v>905</v>
      </c>
      <c r="H701" s="23" t="n">
        <v>863</v>
      </c>
      <c r="I701" s="21" t="inlineStr">
        <is>
          <t>назви схожі, але різні об'єми або розміри</t>
        </is>
      </c>
    </row>
    <row r="702">
      <c r="A702" s="22" t="n">
        <v>72.3</v>
      </c>
      <c r="B702" s="22" t="inlineStr">
        <is>
          <t>Клуб Рослин</t>
        </is>
      </c>
      <c r="C702" s="22" t="inlineStr">
        <is>
          <t>3081.B</t>
        </is>
      </c>
      <c r="D702" s="22" t="inlineStr">
        <is>
          <t>10708</t>
        </is>
      </c>
      <c r="E702" s="21" t="inlineStr">
        <is>
          <t>Сапка прямокутна без держака 153 мм Bellota (3081.B) Іспанія</t>
        </is>
      </c>
      <c r="F702" s="21" t="inlineStr">
        <is>
          <t>Сапка (мотика) Bellota 3081 CM (Беллота 153 мм з держаком)</t>
        </is>
      </c>
      <c r="G702" s="23" t="n">
        <v>499</v>
      </c>
      <c r="H702" s="23" t="n">
        <v>860</v>
      </c>
      <c r="I702" s="21" t="inlineStr">
        <is>
          <t>назви схожі, різняться словами: беллота, держака, держаком та ще 2</t>
        </is>
      </c>
    </row>
    <row r="703">
      <c r="A703" s="22" t="n">
        <v>72.3</v>
      </c>
      <c r="B703" s="22" t="inlineStr">
        <is>
          <t>Клуб Рослин</t>
        </is>
      </c>
      <c r="C703" s="22" t="inlineStr">
        <is>
          <t>3069</t>
        </is>
      </c>
      <c r="D703" s="22" t="inlineStr">
        <is>
          <t>14745</t>
        </is>
      </c>
      <c r="E703" s="21" t="inlineStr">
        <is>
          <t>Фунгіцид Квадріс 250 SC КС 100 мл Syngenta Сингента Швейцарія</t>
        </is>
      </c>
      <c r="F703" s="21" t="inlineStr">
        <is>
          <t>Фунгіцид Квадріс 250 (азоксистробін 250 г/л) SC к.с. 100 мл, Syngenta</t>
        </is>
      </c>
      <c r="G703" s="23" t="n">
        <v>425</v>
      </c>
      <c r="H703" s="23" t="n">
        <v>450</v>
      </c>
      <c r="I703" s="21" t="inlineStr">
        <is>
          <t>назви схожі, різняться словами: азоксистробін, сингента</t>
        </is>
      </c>
    </row>
    <row r="704">
      <c r="A704" s="22" t="n">
        <v>72.3</v>
      </c>
      <c r="B704" s="22" t="inlineStr">
        <is>
          <t>Клуб Рослин</t>
        </is>
      </c>
      <c r="C704" s="22" t="inlineStr">
        <is>
          <t>2065</t>
        </is>
      </c>
      <c r="D704" s="22" t="inlineStr">
        <is>
          <t>14719</t>
        </is>
      </c>
      <c r="E704" s="21" t="inlineStr">
        <is>
          <t>Інсектицид Енжіо 247 SC КС 100 мл Syngenta Сингента Швейцарія</t>
        </is>
      </c>
      <c r="F704" s="21" t="inlineStr">
        <is>
          <t>Інсектицид Енжіо 247 (тіаметоксам 141 г/л + лямбда–цигалотрин 106 г/л) SC к.с. 100 мл, Syngenta</t>
        </is>
      </c>
      <c r="G704" s="23" t="n">
        <v>398</v>
      </c>
      <c r="H704" s="23" t="n">
        <v>440</v>
      </c>
      <c r="I704" s="21" t="inlineStr">
        <is>
          <t>назви схожі, різняться словами: лямбда, сингента, тіаметоксам та ще 1</t>
        </is>
      </c>
    </row>
    <row r="705">
      <c r="A705" s="22" t="n">
        <v>72.2</v>
      </c>
      <c r="B705" s="22" t="inlineStr">
        <is>
          <t>Клуб Рослин</t>
        </is>
      </c>
      <c r="C705" s="22" t="inlineStr">
        <is>
          <t>8073</t>
        </is>
      </c>
      <c r="D705" s="22" t="inlineStr">
        <is>
          <t>13635</t>
        </is>
      </c>
      <c r="E705" s="21" t="inlineStr">
        <is>
          <t>Добриво Осмокот / Osmocote Standard 16-9-12 (3-4 M) 25 кг ICL Нідерланди</t>
        </is>
      </c>
      <c r="F705" s="21" t="inlineStr">
        <is>
          <t>Добриво тривалої дії Osmocote Standard 16-9-12+2Mg+TE (3-4 місяця), 25 кг</t>
        </is>
      </c>
      <c r="G705" s="23" t="n">
        <v>8755</v>
      </c>
      <c r="H705" s="23" t="n">
        <v>6650</v>
      </c>
      <c r="I705" s="21" t="inlineStr">
        <is>
          <t>назви схожі, різняться словами: icl, місяця, осмокот та ще 1</t>
        </is>
      </c>
    </row>
    <row r="706">
      <c r="A706" s="22" t="n">
        <v>72.2</v>
      </c>
      <c r="B706" s="22" t="inlineStr">
        <is>
          <t>Клуб Рослин</t>
        </is>
      </c>
      <c r="C706" s="22" t="inlineStr">
        <is>
          <t>615/12</t>
        </is>
      </c>
      <c r="D706" s="22" t="inlineStr">
        <is>
          <t>10939</t>
        </is>
      </c>
      <c r="E706" s="21" t="inlineStr">
        <is>
          <t>Щеплювальнй садовий ніж Тіна / Tina (615/12 ) Німеччина</t>
        </is>
      </c>
      <c r="F706" s="21" t="inlineStr">
        <is>
          <t>Ніж Tina 615/12</t>
        </is>
      </c>
      <c r="G706" s="23" t="n">
        <v>5899</v>
      </c>
      <c r="H706" s="23" t="n">
        <v>5899</v>
      </c>
      <c r="I706" s="21" t="inlineStr">
        <is>
          <t>назви схожі, різняться словами: садовий, тіна, щеплювальнй</t>
        </is>
      </c>
    </row>
    <row r="707">
      <c r="A707" s="22" t="n">
        <v>72.2</v>
      </c>
      <c r="B707" s="22" t="inlineStr">
        <is>
          <t>Клуб Рослин</t>
        </is>
      </c>
      <c r="C707" s="22" t="inlineStr">
        <is>
          <t>3006</t>
        </is>
      </c>
      <c r="D707" s="22" t="inlineStr">
        <is>
          <t>14765</t>
        </is>
      </c>
      <c r="E707" s="21" t="inlineStr">
        <is>
          <t>Фунгіцид Хорус 75 WG 1 кг Syngenta Сингента Швейцарія</t>
        </is>
      </c>
      <c r="F707" s="21" t="inlineStr">
        <is>
          <t>Фунгіцид Хорус 75 (ципродиніл 750 г/кг) WG в.г. 3 г, Syngenta</t>
        </is>
      </c>
      <c r="G707" s="23" t="n">
        <v>5748</v>
      </c>
      <c r="H707" s="23" t="n">
        <v>49</v>
      </c>
      <c r="I707" s="21" t="inlineStr">
        <is>
          <t>назви схожі, але різні об'єми або розміри</t>
        </is>
      </c>
    </row>
    <row r="708">
      <c r="A708" s="22" t="n">
        <v>72.2</v>
      </c>
      <c r="B708" s="22" t="inlineStr">
        <is>
          <t>Клуб Рослин</t>
        </is>
      </c>
      <c r="C708" s="22" t="inlineStr">
        <is>
          <t>2509-28.B</t>
        </is>
      </c>
      <c r="D708" s="22" t="inlineStr">
        <is>
          <t>10315</t>
        </is>
      </c>
      <c r="E708" s="21" t="inlineStr">
        <is>
          <t>Коса 707 мм Bellota 2509-28.B Іспанія</t>
        </is>
      </c>
      <c r="F708" s="21" t="inlineStr">
        <is>
          <t>Коса 560 мм Bellota 2509-22.B (Беллота)</t>
        </is>
      </c>
      <c r="G708" s="23" t="n">
        <v>4945</v>
      </c>
      <c r="H708" s="23" t="n">
        <v>4290</v>
      </c>
      <c r="I708" s="21" t="inlineStr">
        <is>
          <t>назви схожі, але різні об'єми або розміри</t>
        </is>
      </c>
    </row>
    <row r="709">
      <c r="A709" s="22" t="n">
        <v>72.2</v>
      </c>
      <c r="B709" s="22" t="inlineStr">
        <is>
          <t>Клуб Рослин</t>
        </is>
      </c>
      <c r="C709" s="22" t="inlineStr">
        <is>
          <t>7234</t>
        </is>
      </c>
      <c r="D709" s="22" t="inlineStr">
        <is>
          <t>9198</t>
        </is>
      </c>
      <c r="E709" s="21" t="inlineStr">
        <is>
          <t>Добриво укорінювач Рутмост-C60 ROOTMOST-С60 5 л SmartGrow Україна</t>
        </is>
      </c>
      <c r="F709" s="21" t="inlineStr">
        <is>
          <t>Добриво SmartGrow RootMost, укорінювач Смарт Гроу, 1 л</t>
        </is>
      </c>
      <c r="G709" s="23" t="n">
        <v>4199</v>
      </c>
      <c r="H709" s="23" t="n">
        <v>895</v>
      </c>
      <c r="I709" s="21" t="inlineStr">
        <is>
          <t>назви схожі, але різні об'єми або розміри</t>
        </is>
      </c>
    </row>
    <row r="710">
      <c r="A710" s="22" t="n">
        <v>72.2</v>
      </c>
      <c r="B710" s="22" t="inlineStr">
        <is>
          <t>Клуб Рослин</t>
        </is>
      </c>
      <c r="C710" s="22" t="inlineStr">
        <is>
          <t>3355</t>
        </is>
      </c>
      <c r="D710" s="22" t="inlineStr">
        <is>
          <t>14753</t>
        </is>
      </c>
      <c r="E710" s="21" t="inlineStr">
        <is>
          <t>Фунгіцид Топаз 100 ЕС КЕ 1 л (розлив) Syngenta Сингента Швейцарія</t>
        </is>
      </c>
      <c r="F710" s="21" t="inlineStr">
        <is>
          <t>Фунгіцид Топаз 100 (пенконазол 100 г/л) ЕС к.е. 100 мл, Syngenta</t>
        </is>
      </c>
      <c r="G710" s="23" t="n">
        <v>2800</v>
      </c>
      <c r="H710" s="23" t="n">
        <v>480</v>
      </c>
      <c r="I710" s="21" t="inlineStr">
        <is>
          <t>назви схожі, але різні об'єми або розміри</t>
        </is>
      </c>
    </row>
    <row r="711">
      <c r="A711" s="22" t="n">
        <v>72.2</v>
      </c>
      <c r="B711" s="22" t="inlineStr">
        <is>
          <t>Клуб Рослин</t>
        </is>
      </c>
      <c r="C711" s="22" t="inlineStr">
        <is>
          <t>1077116</t>
        </is>
      </c>
      <c r="D711" s="22" t="inlineStr">
        <is>
          <t>8944</t>
        </is>
      </c>
      <c r="E711" s="21" t="inlineStr">
        <is>
          <t>Граблі-лопата для листя Фіскарс / Fiskars Ergonomic (1077116) Фінляндія</t>
        </is>
      </c>
      <c r="F711" s="21" t="inlineStr">
        <is>
          <t>Граблі для листя Fiskars 135013</t>
        </is>
      </c>
      <c r="G711" s="23" t="n">
        <v>2699</v>
      </c>
      <c r="H711" s="23" t="n">
        <v>508.2</v>
      </c>
      <c r="I711" s="21" t="inlineStr">
        <is>
          <t>назви схожі, але різні коди виробника</t>
        </is>
      </c>
    </row>
    <row r="712">
      <c r="A712" s="22" t="n">
        <v>72.2</v>
      </c>
      <c r="B712" s="22" t="inlineStr">
        <is>
          <t>Клуб Рослин</t>
        </is>
      </c>
      <c r="C712" s="22" t="inlineStr">
        <is>
          <t>8137</t>
        </is>
      </c>
      <c r="D712" s="22" t="inlineStr">
        <is>
          <t>18163</t>
        </is>
      </c>
      <c r="E712" s="21" t="inlineStr">
        <is>
          <t>Добриво Агрeкол / Agrecol для газону осіннє 0-10-25 + MgO 10 кг Польща</t>
        </is>
      </c>
      <c r="F712" s="21" t="inlineStr">
        <is>
          <t>Добриво мінеральне гранульоване Agrecol осіннє для газону 0-10-25, 3 кг</t>
        </is>
      </c>
      <c r="G712" s="23" t="n">
        <v>2019</v>
      </c>
      <c r="H712" s="23" t="n">
        <v>645</v>
      </c>
      <c r="I712" s="21" t="inlineStr">
        <is>
          <t>назви схожі, але різні об'єми або розміри</t>
        </is>
      </c>
    </row>
    <row r="713">
      <c r="A713" s="22" t="n">
        <v>72.2</v>
      </c>
      <c r="B713" s="22" t="inlineStr">
        <is>
          <t>Клуб Рослин</t>
        </is>
      </c>
      <c r="C713" s="22" t="inlineStr">
        <is>
          <t>3240</t>
        </is>
      </c>
      <c r="D713" s="22" t="inlineStr">
        <is>
          <t>14753</t>
        </is>
      </c>
      <c r="E713" s="21" t="inlineStr">
        <is>
          <t>Фунгіцид Топаз 100 ЕС КЕ 250 мл (розлив) Syngenta Сингента Швейцарія</t>
        </is>
      </c>
      <c r="F713" s="21" t="inlineStr">
        <is>
          <t>Фунгіцид Топаз 100 (пенконазол 100 г/л) ЕС к.е. 100 мл, Syngenta</t>
        </is>
      </c>
      <c r="G713" s="23" t="n">
        <v>780</v>
      </c>
      <c r="H713" s="23" t="n">
        <v>480</v>
      </c>
      <c r="I713" s="21" t="inlineStr">
        <is>
          <t>назви схожі, але різні об'єми або розміри</t>
        </is>
      </c>
    </row>
    <row r="714">
      <c r="A714" s="22" t="n">
        <v>72.2</v>
      </c>
      <c r="B714" s="22" t="inlineStr">
        <is>
          <t>Клуб Рослин</t>
        </is>
      </c>
      <c r="C714" s="22" t="inlineStr">
        <is>
          <t>123123</t>
        </is>
      </c>
      <c r="D714" s="22" t="inlineStr">
        <is>
          <t>17611</t>
        </is>
      </c>
      <c r="E714" s="21" t="inlineStr">
        <is>
          <t>Фунгіцид Сігнум 15г.</t>
        </is>
      </c>
      <c r="F714" s="21" t="inlineStr">
        <is>
          <t>Фунгіцид Сігнум (піраклостробін 67 г/кг + боскалід 267 г/кг) W.G. 15 г, BASF</t>
        </is>
      </c>
      <c r="G714" s="23" t="n"/>
      <c r="H714" s="23" t="n">
        <v>145</v>
      </c>
      <c r="I714" s="21" t="inlineStr">
        <is>
          <t>назви схожі, різняться словами: basf, боскалід, піраклостробін</t>
        </is>
      </c>
    </row>
    <row r="715">
      <c r="A715" s="22" t="n">
        <v>72.2</v>
      </c>
      <c r="B715" s="22" t="inlineStr">
        <is>
          <t>Клуб Рослин</t>
        </is>
      </c>
      <c r="C715" s="22" t="inlineStr">
        <is>
          <t>21560264-c9a3-11ee-bf68-c87f546feb15</t>
        </is>
      </c>
      <c r="D715" s="22" t="inlineStr">
        <is>
          <t>8920</t>
        </is>
      </c>
      <c r="E715" s="21" t="inlineStr">
        <is>
          <t>Граблі</t>
        </is>
      </c>
      <c r="F715" s="21" t="inlineStr">
        <is>
          <t>Граблі Fiskars 135715</t>
        </is>
      </c>
      <c r="G715" s="23" t="n"/>
      <c r="H715" s="23" t="n">
        <v>580.79</v>
      </c>
      <c r="I715" s="21" t="inlineStr">
        <is>
          <t>назви схожі, різняться словами: fiskars</t>
        </is>
      </c>
    </row>
    <row r="716">
      <c r="A716" s="22" t="n">
        <v>72.2</v>
      </c>
      <c r="B716" s="22" t="inlineStr">
        <is>
          <t>Клуб Рослин</t>
        </is>
      </c>
      <c r="C716" s="22" t="inlineStr">
        <is>
          <t>7ea1bbe1-72cd-11f0-816b-e89c257d8b8f</t>
        </is>
      </c>
      <c r="D716" s="22" t="inlineStr">
        <is>
          <t>8920</t>
        </is>
      </c>
      <c r="E716" s="21" t="inlineStr">
        <is>
          <t>Граблі</t>
        </is>
      </c>
      <c r="F716" s="21" t="inlineStr">
        <is>
          <t>Граблі Fiskars 135715</t>
        </is>
      </c>
      <c r="G716" s="23" t="n"/>
      <c r="H716" s="23" t="n">
        <v>580.79</v>
      </c>
      <c r="I716" s="21" t="inlineStr">
        <is>
          <t>назви схожі, різняться словами: fiskars</t>
        </is>
      </c>
    </row>
    <row r="717">
      <c r="A717" s="22" t="n">
        <v>72.2</v>
      </c>
      <c r="B717" s="22" t="inlineStr">
        <is>
          <t>Клуб Рослин</t>
        </is>
      </c>
      <c r="C717" s="22" t="inlineStr">
        <is>
          <t>52256404-72c6-11f0-816b-e89c257d8b8f</t>
        </is>
      </c>
      <c r="D717" s="22" t="inlineStr">
        <is>
          <t>8920</t>
        </is>
      </c>
      <c r="E717" s="21" t="inlineStr">
        <is>
          <t>Граблі</t>
        </is>
      </c>
      <c r="F717" s="21" t="inlineStr">
        <is>
          <t>Граблі Fiskars 135715</t>
        </is>
      </c>
      <c r="G717" s="23" t="n"/>
      <c r="H717" s="23" t="n">
        <v>580.79</v>
      </c>
      <c r="I717" s="21" t="inlineStr">
        <is>
          <t>назви схожі, різняться словами: fiskars</t>
        </is>
      </c>
    </row>
    <row r="718">
      <c r="A718" s="22" t="n">
        <v>72.09999999999999</v>
      </c>
      <c r="B718" s="22" t="inlineStr">
        <is>
          <t>Водоспад</t>
        </is>
      </c>
      <c r="C718" s="22" t="inlineStr">
        <is>
          <t>HT-R1</t>
        </is>
      </c>
      <c r="D718" s="22" t="inlineStr">
        <is>
          <t>33538</t>
        </is>
      </c>
      <c r="E718" s="21" t="inlineStr">
        <is>
          <t>Степлер підв'язувальний Max Tapener HT-R1</t>
        </is>
      </c>
      <c r="F718" s="21" t="inlineStr">
        <is>
          <t>Степлер садовий для підв`язки (Тапенер) Max Tapener HT-R1 GUN MAX</t>
        </is>
      </c>
      <c r="G718" s="23" t="n">
        <v>2285</v>
      </c>
      <c r="H718" s="23" t="n">
        <v>2290</v>
      </c>
      <c r="I718" s="21" t="inlineStr">
        <is>
          <t>назви схожі, різняться словами: gun, підвязки, підвязувальний та ще 2</t>
        </is>
      </c>
    </row>
    <row r="719">
      <c r="A719" s="22" t="n">
        <v>72.09999999999999</v>
      </c>
      <c r="B719" s="22" t="inlineStr">
        <is>
          <t>Водоспад</t>
        </is>
      </c>
      <c r="C719" s="22" t="inlineStr">
        <is>
          <t>81060</t>
        </is>
      </c>
      <c r="D719" s="22" t="inlineStr">
        <is>
          <t>38684</t>
        </is>
      </c>
      <c r="E719" s="21" t="inlineStr">
        <is>
          <t>Садовий секатор 205 мм Haisser (81060)</t>
        </is>
      </c>
      <c r="F719" s="21" t="inlineStr">
        <is>
          <t>Садовий секатор ARS (160-0.6)</t>
        </is>
      </c>
      <c r="G719" s="23" t="n">
        <v>548</v>
      </c>
      <c r="H719" s="23" t="n">
        <v>2688</v>
      </c>
      <c r="I719" s="21" t="inlineStr">
        <is>
          <t>назви схожі, але різні бренди</t>
        </is>
      </c>
    </row>
    <row r="720">
      <c r="A720" s="22" t="n">
        <v>72.09999999999999</v>
      </c>
      <c r="B720" s="22" t="inlineStr">
        <is>
          <t>Водоспад</t>
        </is>
      </c>
      <c r="C720" s="22" t="inlineStr">
        <is>
          <t>ddd10b93-abba-11ee-bf43-c87f546feb15</t>
        </is>
      </c>
      <c r="D720" s="22" t="inlineStr">
        <is>
          <t>38886</t>
        </is>
      </c>
      <c r="E720" s="21" t="inlineStr">
        <is>
          <t>Степлер садовий</t>
        </is>
      </c>
      <c r="F720" s="21" t="inlineStr">
        <is>
          <t>Степлер садовий для підв`язки (Тапенер) Max Tapener HT-B1</t>
        </is>
      </c>
      <c r="G720" s="23" t="n"/>
      <c r="H720" s="23" t="n">
        <v>2190</v>
      </c>
      <c r="I720" s="21" t="inlineStr">
        <is>
          <t>назви схожі, різняться словами: max, tapener, підвязки та ще 1</t>
        </is>
      </c>
    </row>
    <row r="721">
      <c r="A721" s="22" t="n">
        <v>72.09999999999999</v>
      </c>
      <c r="B721" s="22" t="inlineStr">
        <is>
          <t>Клуб Рослин</t>
        </is>
      </c>
      <c r="C721" s="22" t="inlineStr">
        <is>
          <t>671</t>
        </is>
      </c>
      <c r="D721" s="22" t="inlineStr">
        <is>
          <t>10954</t>
        </is>
      </c>
      <c r="E721" s="21" t="inlineStr">
        <is>
          <t>Професійний спарений ніж для щеплення волоського горіха Тіна / Tina (671) Німеччина</t>
        </is>
      </c>
      <c r="F721" s="21" t="inlineStr">
        <is>
          <t>Ніж Tina 683 Тіна для щеплення</t>
        </is>
      </c>
      <c r="G721" s="23" t="n">
        <v>12999</v>
      </c>
      <c r="H721" s="23" t="n">
        <v>2399</v>
      </c>
      <c r="I721" s="21" t="inlineStr">
        <is>
          <t>назви схожі, різняться словами: волоського, горіха, професійний та ще 1</t>
        </is>
      </c>
    </row>
    <row r="722">
      <c r="A722" s="22" t="n">
        <v>72.09999999999999</v>
      </c>
      <c r="B722" s="22" t="inlineStr">
        <is>
          <t>Клуб Рослин</t>
        </is>
      </c>
      <c r="C722" s="22" t="inlineStr">
        <is>
          <t>230</t>
        </is>
      </c>
      <c r="D722" s="22" t="inlineStr">
        <is>
          <t>12528</t>
        </is>
      </c>
      <c r="E722" s="21" t="inlineStr">
        <is>
          <t>Гілкоріз обвідний з храповим механізмом Фелко / Felco 230 Швейцарія</t>
        </is>
      </c>
      <c r="F722" s="21" t="inlineStr">
        <is>
          <t>Сучкоріз Felco 220 обвідний з храповим механізмом для твердої деревини (Фелко 220)</t>
        </is>
      </c>
      <c r="G722" s="23" t="n">
        <v>9690</v>
      </c>
      <c r="H722" s="23" t="n">
        <v>9590</v>
      </c>
      <c r="I722" s="21" t="inlineStr">
        <is>
          <t>назви схожі, різняться словами: гілкоріз, деревини, сучкоріз та ще 1</t>
        </is>
      </c>
    </row>
    <row r="723">
      <c r="A723" s="22" t="n">
        <v>72.09999999999999</v>
      </c>
      <c r="B723" s="22" t="inlineStr">
        <is>
          <t>Клуб Рослин</t>
        </is>
      </c>
      <c r="C723" s="22" t="inlineStr">
        <is>
          <t>160L</t>
        </is>
      </c>
      <c r="D723" s="22" t="inlineStr">
        <is>
          <t>11913</t>
        </is>
      </c>
      <c r="E723" s="21" t="inlineStr">
        <is>
          <t>Секатор Фелко / Felco 160L Швейцарія</t>
        </is>
      </c>
      <c r="F723" s="21" t="inlineStr">
        <is>
          <t>Секатор Felco 6 СС</t>
        </is>
      </c>
      <c r="G723" s="23" t="n">
        <v>1769</v>
      </c>
      <c r="H723" s="23" t="n">
        <v>6760</v>
      </c>
      <c r="I723" s="21" t="inlineStr">
        <is>
          <t>назви схожі, різняться словами: фелко</t>
        </is>
      </c>
    </row>
    <row r="724">
      <c r="A724" s="22" t="n">
        <v>72.09999999999999</v>
      </c>
      <c r="B724" s="22" t="inlineStr">
        <is>
          <t>Клуб Рослин</t>
        </is>
      </c>
      <c r="C724" s="22" t="inlineStr">
        <is>
          <t>3199</t>
        </is>
      </c>
      <c r="D724" s="22" t="inlineStr">
        <is>
          <t>15047</t>
        </is>
      </c>
      <c r="E724" s="21" t="inlineStr">
        <is>
          <t>Фунгіцид Біошок 500 мл Агропромніка Україна</t>
        </is>
      </c>
      <c r="F724" s="21" t="inlineStr">
        <is>
          <t>Фунгіцид Біошок (хлорокис міді 340 г/л) к.с. 40 г саше, Агропромніка</t>
        </is>
      </c>
      <c r="G724" s="23" t="n">
        <v>375</v>
      </c>
      <c r="H724" s="23" t="n">
        <v>65</v>
      </c>
      <c r="I724" s="21" t="inlineStr">
        <is>
          <t>назви схожі, але різні об'єми або розміри</t>
        </is>
      </c>
    </row>
    <row r="725">
      <c r="A725" s="22" t="n">
        <v>72</v>
      </c>
      <c r="B725" s="22" t="inlineStr">
        <is>
          <t>Водоспад</t>
        </is>
      </c>
      <c r="C725" s="22" t="inlineStr">
        <is>
          <t>PS-19</t>
        </is>
      </c>
      <c r="D725" s="22" t="inlineStr">
        <is>
          <t>42913</t>
        </is>
      </c>
      <c r="E725" s="21" t="inlineStr">
        <is>
          <t>Ножиці 205 мм Тобішо / Tobisho (PS-19) Японія</t>
        </is>
      </c>
      <c r="F725" s="21" t="inlineStr">
        <is>
          <t>Ножиці TOBISHO PS-19 типу Barracuda, 205 мм, сталь YCS-3</t>
        </is>
      </c>
      <c r="G725" s="23" t="n">
        <v>5699</v>
      </c>
      <c r="H725" s="23" t="n">
        <v>5699</v>
      </c>
      <c r="I725" s="21" t="inlineStr">
        <is>
          <t>назви схожі, різняться словами: barracuda, сталь, типу та ще 1</t>
        </is>
      </c>
    </row>
    <row r="726">
      <c r="A726" s="22" t="n">
        <v>72</v>
      </c>
      <c r="B726" s="22" t="inlineStr">
        <is>
          <t>Клуб Рослин</t>
        </is>
      </c>
      <c r="C726" s="22" t="inlineStr">
        <is>
          <t>1020200</t>
        </is>
      </c>
      <c r="D726" s="22" t="inlineStr">
        <is>
          <t>11217</t>
        </is>
      </c>
      <c r="E726" s="21" t="inlineStr">
        <is>
          <t>Пила садова Фіскарс Fiskars SW-240 123240 (1020200) Фінляндія</t>
        </is>
      </c>
      <c r="F726" s="21" t="inlineStr">
        <is>
          <t>Садова пила Fiskars 123840</t>
        </is>
      </c>
      <c r="G726" s="23" t="n">
        <v>3799</v>
      </c>
      <c r="H726" s="23" t="n">
        <v>1495.6</v>
      </c>
      <c r="I726" s="21" t="inlineStr">
        <is>
          <t>назви схожі, але різні коди виробника</t>
        </is>
      </c>
    </row>
    <row r="727">
      <c r="A727" s="22" t="n">
        <v>71.40000000000001</v>
      </c>
      <c r="B727" s="22" t="inlineStr">
        <is>
          <t>Водоспад</t>
        </is>
      </c>
      <c r="C727" s="22" t="inlineStr">
        <is>
          <t>NJP802</t>
        </is>
      </c>
      <c r="D727" s="22" t="inlineStr">
        <is>
          <t>38232</t>
        </is>
      </c>
      <c r="E727" s="21" t="inlineStr">
        <is>
          <t>Ніж-лопатка універсальна 32 см HORI-HORI Nisaku (NJP802) Японія</t>
        </is>
      </c>
      <c r="F727" s="21" t="inlineStr">
        <is>
          <t>Ніж-лопатка універсальний HORI-HORI, нержавіюча сталь TOMITA, 190 мм, Nisaku (NJP802)</t>
        </is>
      </c>
      <c r="G727" s="23" t="n">
        <v>2900</v>
      </c>
      <c r="H727" s="23" t="n">
        <v>2900</v>
      </c>
      <c r="I727" s="21" t="inlineStr">
        <is>
          <t>код збігся, але різні об'єми або розміри</t>
        </is>
      </c>
    </row>
    <row r="728">
      <c r="A728" s="22" t="n">
        <v>70.7</v>
      </c>
      <c r="B728" s="22" t="inlineStr">
        <is>
          <t>Клуб Рослин</t>
        </is>
      </c>
      <c r="C728" s="22" t="inlineStr">
        <is>
          <t>BT60/30</t>
        </is>
      </c>
      <c r="D728" s="22" t="inlineStr">
        <is>
          <t>15617</t>
        </is>
      </c>
      <c r="E728" s="21" t="inlineStr">
        <is>
          <t>Стрічка для окулірування BuddyTape (1 рулон) (без перфорації) 60 м х 30 мм BT60/30 Aglis Японія</t>
        </is>
      </c>
      <c r="F728" s="21" t="inlineStr">
        <is>
          <t>Плівка для щеплення Buddy Tape 18мм х 60м без перфорації (1 рулон), стрічка Баді Тейп</t>
        </is>
      </c>
      <c r="G728" s="23" t="n">
        <v>1649</v>
      </c>
      <c r="H728" s="23" t="n">
        <v>1150</v>
      </c>
      <c r="I728" s="21" t="inlineStr">
        <is>
          <t>код збігся, але різні об'єми або розміри</t>
        </is>
      </c>
    </row>
    <row r="729">
      <c r="A729" s="22" t="n">
        <v>68.8</v>
      </c>
      <c r="B729" s="22" t="inlineStr">
        <is>
          <t>Клуб Рослин</t>
        </is>
      </c>
      <c r="C729" s="22" t="inlineStr">
        <is>
          <t>SD-100-BT</t>
        </is>
      </c>
      <c r="D729" s="22" t="inlineStr">
        <is>
          <t>15437</t>
        </is>
      </c>
      <c r="E729" s="21" t="inlineStr">
        <is>
          <t>Точилка алмазна складна АРС / ARS Butterfly (SD-100-BT) Японія</t>
        </is>
      </c>
      <c r="F729" s="21" t="inlineStr">
        <is>
          <t>Точило діамантове (алмазне) ARS Butterfly SD-100-BT для рівних країв (АРС SD-100-BT)</t>
        </is>
      </c>
      <c r="G729" s="23" t="n">
        <v>799</v>
      </c>
      <c r="H729" s="23" t="n">
        <v>799</v>
      </c>
      <c r="I729" s="21" t="inlineStr">
        <is>
          <t>код збігся з кількома товарами</t>
        </is>
      </c>
    </row>
    <row r="730">
      <c r="A730" s="22" t="n">
        <v>68.09999999999999</v>
      </c>
      <c r="B730" s="22" t="inlineStr">
        <is>
          <t>Водоспад</t>
        </is>
      </c>
      <c r="C730" s="22" t="inlineStr">
        <is>
          <t>M14L-AM</t>
        </is>
      </c>
      <c r="D730" s="22" t="inlineStr">
        <is>
          <t>42256</t>
        </is>
      </c>
      <c r="E730" s="21" t="inlineStr">
        <is>
          <t>Кусачки для збору плодів 30 мм Манзана / Manzana (M14L-AM) Іспанія</t>
        </is>
      </c>
      <c r="F730" s="21" t="inlineStr">
        <is>
          <t>Кусачки 130 мм для збирання яблук та врожаю, Manzana (M14L-AM)</t>
        </is>
      </c>
      <c r="G730" s="23" t="n">
        <v>850</v>
      </c>
      <c r="H730" s="23" t="n">
        <v>850</v>
      </c>
      <c r="I730" s="21" t="inlineStr">
        <is>
          <t>код збігся, але різні об'єми або розміри</t>
        </is>
      </c>
    </row>
    <row r="731">
      <c r="A731" s="22" t="n">
        <v>67.8</v>
      </c>
      <c r="B731" s="22" t="inlineStr">
        <is>
          <t>Водоспад</t>
        </is>
      </c>
      <c r="C731" s="22" t="inlineStr">
        <is>
          <t>NJP800</t>
        </is>
      </c>
      <c r="D731" s="22" t="inlineStr">
        <is>
          <t>38337</t>
        </is>
      </c>
      <c r="E731" s="21" t="inlineStr">
        <is>
          <t>Ніж-лопатка універсальна 33 см HORI-HORI Nisaku (NJP800​​​​​​​) Японія</t>
        </is>
      </c>
      <c r="F731" s="21" t="inlineStr">
        <is>
          <t>Ніж-лопатка універсальний HORI-HORI гумова рукоятка, нержавіюча сталь TOMITA, 190 мм, Nisaku (NJP800)</t>
        </is>
      </c>
      <c r="G731" s="23" t="n">
        <v>2490</v>
      </c>
      <c r="H731" s="23" t="n">
        <v>2490</v>
      </c>
      <c r="I731" s="21" t="inlineStr">
        <is>
          <t>код збігся, але різні об'єми або розміри</t>
        </is>
      </c>
    </row>
    <row r="732">
      <c r="A732" s="22" t="n">
        <v>67.59999999999999</v>
      </c>
      <c r="B732" s="22" t="inlineStr">
        <is>
          <t>Водоспад</t>
        </is>
      </c>
      <c r="C732" s="22" t="inlineStr">
        <is>
          <t>BT60-70/30</t>
        </is>
      </c>
      <c r="D732" s="22" t="inlineStr">
        <is>
          <t>33438</t>
        </is>
      </c>
      <c r="E732" s="21" t="inlineStr">
        <is>
          <t>Стрічка для окулірування BuddyTape (1 шт) (70 мм перфорація) 60 м х 30 мм (850 шт) BT60-70/30 Aglis Японія</t>
        </is>
      </c>
      <c r="F732" s="21" t="inlineStr">
        <is>
          <t>Прищепна стрічка Buddy Tape BT60-70/30 (70 мм перфорація) 60 метрів, 30 мм ширина</t>
        </is>
      </c>
      <c r="G732" s="23" t="n">
        <v>1699</v>
      </c>
      <c r="H732" s="23" t="n">
        <v>1699</v>
      </c>
      <c r="I732" s="21" t="inlineStr">
        <is>
          <t>код збігся, але різні бренди</t>
        </is>
      </c>
    </row>
    <row r="733">
      <c r="A733" s="22" t="n">
        <v>67.40000000000001</v>
      </c>
      <c r="B733" s="22" t="inlineStr">
        <is>
          <t>Водоспад</t>
        </is>
      </c>
      <c r="C733" s="22" t="inlineStr">
        <is>
          <t>BT60-50/30</t>
        </is>
      </c>
      <c r="D733" s="22" t="inlineStr">
        <is>
          <t>33437</t>
        </is>
      </c>
      <c r="E733" s="21" t="inlineStr">
        <is>
          <t>Стрічка для окулірування BuddyTape (1 шт) (50 мм перфорація) 60 м х 30 мм (1200 шт) BT60-50/30 Aglis Японія</t>
        </is>
      </c>
      <c r="F733" s="21" t="inlineStr">
        <is>
          <t>Прищепна стрічка Buddy Tape BT60-50/30 (50 мм перфорація) 60 метрів, 30 мм ширина</t>
        </is>
      </c>
      <c r="G733" s="23" t="n">
        <v>1699</v>
      </c>
      <c r="H733" s="23" t="n">
        <v>1699</v>
      </c>
      <c r="I733" s="21" t="inlineStr">
        <is>
          <t>код збігся, але різні бренди</t>
        </is>
      </c>
    </row>
    <row r="734">
      <c r="A734" s="22" t="n">
        <v>67.40000000000001</v>
      </c>
      <c r="B734" s="22" t="inlineStr">
        <is>
          <t>Водоспад</t>
        </is>
      </c>
      <c r="C734" s="22" t="inlineStr">
        <is>
          <t>BT60/30</t>
        </is>
      </c>
      <c r="D734" s="22" t="inlineStr">
        <is>
          <t>40899</t>
        </is>
      </c>
      <c r="E734" s="21" t="inlineStr">
        <is>
          <t>Стрічка для окулірування BuddyTape (1 рулон) (без перфорації) 60 м х 30 мм BT60/30 Aglis Японія</t>
        </is>
      </c>
      <c r="F734" s="21" t="inlineStr">
        <is>
          <t>Прищепна стрічка Buddy Tape (BT60/30) (без перфорації)</t>
        </is>
      </c>
      <c r="G734" s="23" t="n">
        <v>1649</v>
      </c>
      <c r="H734" s="23" t="n">
        <v>1649</v>
      </c>
      <c r="I734" s="21" t="inlineStr">
        <is>
          <t>код збігся, але різні бренди</t>
        </is>
      </c>
    </row>
    <row r="735">
      <c r="A735" s="22" t="n">
        <v>67.40000000000001</v>
      </c>
      <c r="B735" s="22" t="inlineStr">
        <is>
          <t>Водоспад</t>
        </is>
      </c>
      <c r="C735" s="22" t="inlineStr">
        <is>
          <t>BT60-40/18</t>
        </is>
      </c>
      <c r="D735" s="22" t="inlineStr">
        <is>
          <t>41497</t>
        </is>
      </c>
      <c r="E735" s="21" t="inlineStr">
        <is>
          <t>Стрічка для окулірування BuddyTape (1 шт) (40 мм перфорація) 60 м х 18 мм (1500 шт) BT60-40/18 Aglis​​​​​​​ Японія</t>
        </is>
      </c>
      <c r="F735" s="21" t="inlineStr">
        <is>
          <t>Прищепна стрічка Buddy Tape (40 мм перфорація) 60 метрів, 18 мм ширина (BT60-40/18)</t>
        </is>
      </c>
      <c r="G735" s="23" t="n">
        <v>1499</v>
      </c>
      <c r="H735" s="23" t="n">
        <v>1499</v>
      </c>
      <c r="I735" s="21" t="inlineStr">
        <is>
          <t>код збігся, але різні бренди</t>
        </is>
      </c>
    </row>
    <row r="736">
      <c r="A736" s="22" t="n">
        <v>64.8</v>
      </c>
      <c r="B736" s="22" t="inlineStr">
        <is>
          <t>Клуб Рослин</t>
        </is>
      </c>
      <c r="C736" s="22" t="inlineStr">
        <is>
          <t>8058</t>
        </is>
      </c>
      <c r="D736" s="22" t="inlineStr">
        <is>
          <t>16086</t>
        </is>
      </c>
      <c r="E736" s="21" t="inlineStr">
        <is>
          <t>Добриво Сайкін Преміум / Saikin Premium 10-50-10+МЕ+ЕАV 15 кг Туреччина</t>
        </is>
      </c>
      <c r="F736" s="21" t="inlineStr">
        <is>
          <t>Добриво водорозчинне Saikin Premium 10-50-10+ME+EAV, 2 кг (АгроВорк)</t>
        </is>
      </c>
      <c r="G736" s="23" t="n">
        <v>3675</v>
      </c>
      <c r="H736" s="23" t="n">
        <v>545</v>
      </c>
      <c r="I736" s="21" t="inlineStr">
        <is>
          <t>код збігся, але різні об'єми або розміри</t>
        </is>
      </c>
    </row>
    <row r="737">
      <c r="A737" s="22" t="n">
        <v>64.5</v>
      </c>
      <c r="B737" s="22" t="inlineStr">
        <is>
          <t>Водоспад</t>
        </is>
      </c>
      <c r="C737" s="22" t="inlineStr">
        <is>
          <t>FAL2012</t>
        </is>
      </c>
      <c r="D737" s="22" t="inlineStr">
        <is>
          <t>41940</t>
        </is>
      </c>
      <c r="E737" s="21" t="inlineStr">
        <is>
          <t>Секатор з двома ріжучими лезами 21 см 232 г Falket / Фалкет (FAL2012) Італія</t>
        </is>
      </c>
      <c r="F737" s="21" t="inlineStr">
        <is>
          <t>Секатор два леза, 21 см, 28 мм зріз, 232 гр, рукоять - алюміній, С60 (57 HRC), FALKET (FAL2012)</t>
        </is>
      </c>
      <c r="G737" s="23" t="n">
        <v>1990</v>
      </c>
      <c r="H737" s="23" t="n">
        <v>1990</v>
      </c>
      <c r="I737" s="21" t="inlineStr">
        <is>
          <t>код збігся, але різні об'єми або розміри</t>
        </is>
      </c>
    </row>
    <row r="738">
      <c r="A738" s="22" t="n">
        <v>64.5</v>
      </c>
      <c r="B738" s="22" t="inlineStr">
        <is>
          <t>Клуб Рослин</t>
        </is>
      </c>
      <c r="C738" s="22" t="inlineStr">
        <is>
          <t>7655</t>
        </is>
      </c>
      <c r="D738" s="22" t="inlineStr">
        <is>
          <t>17585</t>
        </is>
      </c>
      <c r="E738" s="21" t="inlineStr">
        <is>
          <t>Добриво Стандарт / Standart NPK 11-40-11 10 кг Milagro Італія</t>
        </is>
      </c>
      <c r="F738" s="21" t="inlineStr">
        <is>
          <t>Добриво Terraflex Старт 11-40-11+2MgO+TE (Терафлекс), 2 кг</t>
        </is>
      </c>
      <c r="G738" s="23" t="n">
        <v>1575</v>
      </c>
      <c r="H738" s="23" t="n">
        <v>600</v>
      </c>
      <c r="I738" s="21" t="inlineStr">
        <is>
          <t>код збігся, але різні об'єми або розміри</t>
        </is>
      </c>
    </row>
    <row r="739">
      <c r="A739" s="22" t="n">
        <v>64.09999999999999</v>
      </c>
      <c r="B739" s="22" t="inlineStr">
        <is>
          <t>Клуб Рослин</t>
        </is>
      </c>
      <c r="C739" s="22" t="inlineStr">
        <is>
          <t>8057</t>
        </is>
      </c>
      <c r="D739" s="22" t="inlineStr">
        <is>
          <t>16088</t>
        </is>
      </c>
      <c r="E739" s="21" t="inlineStr">
        <is>
          <t>Добриво Сайкін Преміум / Saikin Premium 18-18-18+МЕ+ЕАV 15 кг Туреччина</t>
        </is>
      </c>
      <c r="F739" s="21" t="inlineStr">
        <is>
          <t>Добриво водорозчинне Saikin Premium 18-18-18+ME+EAV, 2 кг (АгроВорк)</t>
        </is>
      </c>
      <c r="G739" s="23" t="n">
        <v>3098</v>
      </c>
      <c r="H739" s="23" t="n">
        <v>475</v>
      </c>
      <c r="I739" s="21" t="inlineStr">
        <is>
          <t>код збігся, але різні об'єми або розміри</t>
        </is>
      </c>
    </row>
    <row r="740">
      <c r="A740" s="22" t="n">
        <v>63.3</v>
      </c>
      <c r="B740" s="22" t="inlineStr">
        <is>
          <t>Клуб Рослин</t>
        </is>
      </c>
      <c r="C740" s="22" t="inlineStr">
        <is>
          <t>7540</t>
        </is>
      </c>
      <c r="D740" s="22" t="inlineStr">
        <is>
          <t>17584</t>
        </is>
      </c>
      <c r="E740" s="21" t="inlineStr">
        <is>
          <t>Добриво Преміум / Premium Універсал 19-19-19 + 1MgO + МЕ 2 кг Seto Туреччина</t>
        </is>
      </c>
      <c r="F740" s="21" t="inlineStr">
        <is>
          <t>Добриво Terraflex Універсал 19-19-19+2MgO+TE (Терафлекс універсальний), 2 кг</t>
        </is>
      </c>
      <c r="G740" s="23" t="n">
        <v>410</v>
      </c>
      <c r="H740" s="23" t="n">
        <v>470</v>
      </c>
      <c r="I740" s="21" t="inlineStr">
        <is>
          <t>код збігся, але різні бренди</t>
        </is>
      </c>
    </row>
    <row r="741">
      <c r="A741" s="22" t="n">
        <v>62.8</v>
      </c>
      <c r="B741" s="22" t="inlineStr">
        <is>
          <t>Клуб Рослин</t>
        </is>
      </c>
      <c r="C741" s="22" t="inlineStr">
        <is>
          <t>7339</t>
        </is>
      </c>
      <c r="D741" s="22" t="inlineStr">
        <is>
          <t>9239</t>
        </is>
      </c>
      <c r="E741" s="21" t="inlineStr">
        <is>
          <t>Добриво Мерістем Meristem NPK 11-40-11+2MgO+Mix 25 кг Іспанія</t>
        </is>
      </c>
      <c r="F741" s="21" t="inlineStr">
        <is>
          <t>Добриво Terraflex Старт 11-40-11+2MgO+TE (Терафлекс), 25 кг</t>
        </is>
      </c>
      <c r="G741" s="23" t="n">
        <v>4945</v>
      </c>
      <c r="H741" s="23" t="n">
        <v>4407</v>
      </c>
      <c r="I741" s="21" t="inlineStr">
        <is>
          <t>код збігся, але різні бренди</t>
        </is>
      </c>
    </row>
    <row r="742">
      <c r="A742" s="22" t="n">
        <v>62.6</v>
      </c>
      <c r="B742" s="22" t="inlineStr">
        <is>
          <t>Клуб Рослин</t>
        </is>
      </c>
      <c r="C742" s="22" t="inlineStr">
        <is>
          <t>m7001</t>
        </is>
      </c>
      <c r="D742" s="22" t="inlineStr">
        <is>
          <t>17585</t>
        </is>
      </c>
      <c r="E742" s="21" t="inlineStr">
        <is>
          <t>Добриво Мерістем 11-40-11 10кг</t>
        </is>
      </c>
      <c r="F742" s="21" t="inlineStr">
        <is>
          <t>Добриво Terraflex Старт 11-40-11+2MgO+TE (Терафлекс), 2 кг</t>
        </is>
      </c>
      <c r="G742" s="23" t="n"/>
      <c r="H742" s="23" t="n">
        <v>600</v>
      </c>
      <c r="I742" s="21" t="inlineStr">
        <is>
          <t>код збігся, але різні об'єми або розміри</t>
        </is>
      </c>
    </row>
    <row r="743">
      <c r="A743" s="22" t="n">
        <v>60.6</v>
      </c>
      <c r="B743" s="22" t="inlineStr">
        <is>
          <t>Клуб Рослин</t>
        </is>
      </c>
      <c r="C743" s="22" t="inlineStr">
        <is>
          <t>7250</t>
        </is>
      </c>
      <c r="D743" s="22" t="inlineStr">
        <is>
          <t>15529</t>
        </is>
      </c>
      <c r="E743" s="21" t="inlineStr">
        <is>
          <t>Добриво Преміум Фоліар Premium Foliar 11-40-11+ТЕ 15 кг AgroWork Туреччина</t>
        </is>
      </c>
      <c r="F743" s="21" t="inlineStr">
        <is>
          <t>Добриво водорозчинне Premium Foliar 11-40-11+МE, 15 кг для позакореневого підживлення</t>
        </is>
      </c>
      <c r="G743" s="23" t="n">
        <v>2600</v>
      </c>
      <c r="H743" s="23" t="n">
        <v>3099</v>
      </c>
      <c r="I743" s="21" t="inlineStr">
        <is>
          <t>код збігся з кількома товарами</t>
        </is>
      </c>
    </row>
    <row r="744">
      <c r="A744" s="22" t="n">
        <v>59.6</v>
      </c>
      <c r="B744" s="22" t="inlineStr">
        <is>
          <t>Клуб Рослин</t>
        </is>
      </c>
      <c r="C744" s="22" t="inlineStr">
        <is>
          <t>7538</t>
        </is>
      </c>
      <c r="D744" s="22" t="inlineStr">
        <is>
          <t>9300</t>
        </is>
      </c>
      <c r="E744" s="21" t="inlineStr">
        <is>
          <t>Добриво Преміум / Premium Вегетація 30-10-10 + 2MgO + МЕ 2 кг Seto Туреччина</t>
        </is>
      </c>
      <c r="F744" s="21" t="inlineStr">
        <is>
          <t>Добриво водорозчинне Premium Foliar 30-10-10+2MgO+TE, 25 кг для позакореневого підживлення</t>
        </is>
      </c>
      <c r="G744" s="23" t="n">
        <v>325</v>
      </c>
      <c r="H744" s="23" t="n">
        <v>2448.6</v>
      </c>
      <c r="I744" s="21" t="inlineStr">
        <is>
          <t>код збігся, але різні об'єми або розміри</t>
        </is>
      </c>
    </row>
    <row r="745">
      <c r="A745" s="22" t="n">
        <v>58.5</v>
      </c>
      <c r="B745" s="22" t="inlineStr">
        <is>
          <t>Клуб Рослин</t>
        </is>
      </c>
      <c r="C745" s="22" t="inlineStr">
        <is>
          <t>7449</t>
        </is>
      </c>
      <c r="D745" s="22" t="inlineStr">
        <is>
          <t>9306</t>
        </is>
      </c>
      <c r="E745" s="21" t="inlineStr">
        <is>
          <t>Добриво GroGreen NPK 20-20-20+TE 25 кг Lima Бельгія</t>
        </is>
      </c>
      <c r="F745" s="21" t="inlineStr">
        <is>
          <t>Добриво водорозчинне Ultrasol 20-20-20+TE, 25 кг для фертигації</t>
        </is>
      </c>
      <c r="G745" s="23" t="n">
        <v>4928</v>
      </c>
      <c r="H745" s="23" t="n">
        <v>3200</v>
      </c>
      <c r="I745" s="21" t="inlineStr">
        <is>
          <t>код збігся з кількома товарами</t>
        </is>
      </c>
    </row>
    <row r="746">
      <c r="A746" s="22" t="n">
        <v>56.9</v>
      </c>
      <c r="B746" s="22" t="inlineStr">
        <is>
          <t>Клуб Рослин</t>
        </is>
      </c>
      <c r="C746" s="22" t="inlineStr">
        <is>
          <t>7224</t>
        </is>
      </c>
      <c r="D746" s="22" t="inlineStr">
        <is>
          <t>9306</t>
        </is>
      </c>
      <c r="E746" s="21" t="inlineStr">
        <is>
          <t>Добриво Ван Іперен / Van Iperen WS NPK 20-20-20 + TE 25 кг Нідерланди</t>
        </is>
      </c>
      <c r="F746" s="21" t="inlineStr">
        <is>
          <t>Добриво водорозчинне Ultrasol 20-20-20+TE, 25 кг для фертигації</t>
        </is>
      </c>
      <c r="G746" s="23" t="n">
        <v>3500</v>
      </c>
      <c r="H746" s="23" t="n">
        <v>3200</v>
      </c>
      <c r="I746" s="21" t="inlineStr">
        <is>
          <t>код збігся з кількома товарами</t>
        </is>
      </c>
    </row>
    <row r="747">
      <c r="A747" s="22" t="n">
        <v>56.6</v>
      </c>
      <c r="B747" s="22" t="inlineStr">
        <is>
          <t>Клуб Рослин</t>
        </is>
      </c>
      <c r="C747" s="22" t="inlineStr">
        <is>
          <t>7448</t>
        </is>
      </c>
      <c r="D747" s="22" t="inlineStr">
        <is>
          <t>13661</t>
        </is>
      </c>
      <c r="E747" s="21" t="inlineStr">
        <is>
          <t>Добриво GroGreen NPK 20-20-20+TE 10 кг Lima Бельгія</t>
        </is>
      </c>
      <c r="F747" s="21" t="inlineStr">
        <is>
          <t>Мінеральне добриво Peters Professional Allrounder 20-20-20+TE, 20 г</t>
        </is>
      </c>
      <c r="G747" s="23" t="n">
        <v>2265</v>
      </c>
      <c r="H747" s="23" t="n">
        <v>30</v>
      </c>
      <c r="I747" s="21" t="inlineStr">
        <is>
          <t>код збігся, але різні об'єми або розміри</t>
        </is>
      </c>
    </row>
    <row r="748">
      <c r="A748" s="22" t="n">
        <v>56.1</v>
      </c>
      <c r="B748" s="22" t="inlineStr">
        <is>
          <t>Клуб Рослин</t>
        </is>
      </c>
      <c r="C748" s="22" t="inlineStr">
        <is>
          <t>7338</t>
        </is>
      </c>
      <c r="D748" s="22" t="inlineStr">
        <is>
          <t>9306</t>
        </is>
      </c>
      <c r="E748" s="21" t="inlineStr">
        <is>
          <t>Добриво Мерістем Meristem NPK 20-20-20+Mix 25 кг Іспанія</t>
        </is>
      </c>
      <c r="F748" s="21" t="inlineStr">
        <is>
          <t>Добриво водорозчинне Ultrasol 20-20-20+TE, 25 кг для фертигації</t>
        </is>
      </c>
      <c r="G748" s="23" t="n">
        <v>4575</v>
      </c>
      <c r="H748" s="23" t="n">
        <v>3200</v>
      </c>
      <c r="I748" s="21" t="inlineStr">
        <is>
          <t>код збігся, але різні бренди</t>
        </is>
      </c>
    </row>
    <row r="749">
      <c r="A749" s="22" t="n">
        <v>55.4</v>
      </c>
      <c r="B749" s="22" t="inlineStr">
        <is>
          <t>Клуб Рослин</t>
        </is>
      </c>
      <c r="C749" s="22" t="inlineStr">
        <is>
          <t>7531</t>
        </is>
      </c>
      <c r="D749" s="22" t="inlineStr">
        <is>
          <t>9306</t>
        </is>
      </c>
      <c r="E749" s="21" t="inlineStr">
        <is>
          <t>Добриво Грінплант Greenplant 20-20-20+ME 25 кг Green Has Грін Хас Італія</t>
        </is>
      </c>
      <c r="F749" s="21" t="inlineStr">
        <is>
          <t>Добриво водорозчинне Ultrasol 20-20-20+TE, 25 кг для фертигації</t>
        </is>
      </c>
      <c r="G749" s="23" t="n">
        <v>3750</v>
      </c>
      <c r="H749" s="23" t="n">
        <v>3200</v>
      </c>
      <c r="I749" s="21" t="inlineStr">
        <is>
          <t>код збігся, але різні бренди</t>
        </is>
      </c>
    </row>
    <row r="750">
      <c r="A750" s="22" t="n">
        <v>55.2</v>
      </c>
      <c r="B750" s="22" t="inlineStr">
        <is>
          <t>Клуб Рослин</t>
        </is>
      </c>
      <c r="C750" s="22" t="inlineStr">
        <is>
          <t>7372</t>
        </is>
      </c>
      <c r="D750" s="22" t="inlineStr">
        <is>
          <t>9306</t>
        </is>
      </c>
      <c r="E750" s="21" t="inlineStr">
        <is>
          <t>Добриво Фаст Гроу / Fast Grow 20-20-20 25 кг Humofert Греція</t>
        </is>
      </c>
      <c r="F750" s="21" t="inlineStr">
        <is>
          <t>Добриво водорозчинне Ultrasol 20-20-20+TE, 25 кг для фертигації</t>
        </is>
      </c>
      <c r="G750" s="23" t="n">
        <v>2998</v>
      </c>
      <c r="H750" s="23" t="n">
        <v>3200</v>
      </c>
      <c r="I750" s="21" t="inlineStr">
        <is>
          <t>код збігся, але різні бренди</t>
        </is>
      </c>
    </row>
    <row r="751">
      <c r="A751" s="22" t="n">
        <v>54.7</v>
      </c>
      <c r="B751" s="22" t="inlineStr">
        <is>
          <t>Клуб Рослин</t>
        </is>
      </c>
      <c r="C751" s="22" t="inlineStr">
        <is>
          <t>7898</t>
        </is>
      </c>
      <c r="D751" s="22" t="inlineStr">
        <is>
          <t>13661</t>
        </is>
      </c>
      <c r="E751" s="21" t="inlineStr">
        <is>
          <t>Добриво Леда / Leda NPK 20-20-20+0.5MgO+TE+GS+Amino 1 кг Нідерланди</t>
        </is>
      </c>
      <c r="F751" s="21" t="inlineStr">
        <is>
          <t>Мінеральне добриво Peters Professional Allrounder 20-20-20+TE, 20 г</t>
        </is>
      </c>
      <c r="G751" s="23" t="n">
        <v>198</v>
      </c>
      <c r="H751" s="23" t="n">
        <v>30</v>
      </c>
      <c r="I751" s="21" t="inlineStr">
        <is>
          <t>код збігся, але різні об'єми або розміри</t>
        </is>
      </c>
    </row>
    <row r="752">
      <c r="A752" s="22" t="n">
        <v>54.5</v>
      </c>
      <c r="B752" s="22" t="inlineStr">
        <is>
          <t>Клуб Рослин</t>
        </is>
      </c>
      <c r="C752" s="22" t="inlineStr">
        <is>
          <t>7654</t>
        </is>
      </c>
      <c r="D752" s="22" t="inlineStr">
        <is>
          <t>13661</t>
        </is>
      </c>
      <c r="E752" s="21" t="inlineStr">
        <is>
          <t>Добриво Стандарт / Standart NPK 20-20-20 10 кг Milagro Італія</t>
        </is>
      </c>
      <c r="F752" s="21" t="inlineStr">
        <is>
          <t>Мінеральне добриво Peters Professional Allrounder 20-20-20+TE, 20 г</t>
        </is>
      </c>
      <c r="G752" s="23" t="n">
        <v>1425</v>
      </c>
      <c r="H752" s="23" t="n">
        <v>30</v>
      </c>
      <c r="I752" s="21" t="inlineStr">
        <is>
          <t>код збігся, але різні об'єми або розміри</t>
        </is>
      </c>
    </row>
    <row r="753">
      <c r="A753" s="22" t="n">
        <v>54.3</v>
      </c>
      <c r="B753" s="22" t="inlineStr">
        <is>
          <t>Клуб Рослин</t>
        </is>
      </c>
      <c r="C753" s="22" t="inlineStr">
        <is>
          <t>7220</t>
        </is>
      </c>
      <c r="D753" s="22" t="inlineStr">
        <is>
          <t>9306</t>
        </is>
      </c>
      <c r="E753" s="21" t="inlineStr">
        <is>
          <t>Добриво КІНГЛАЙФ KINGLIFE 20-20-20+ME 25 кг GREEN HAS ГРІН ХАС Італія</t>
        </is>
      </c>
      <c r="F753" s="21" t="inlineStr">
        <is>
          <t>Добриво водорозчинне Ultrasol 20-20-20+TE, 25 кг для фертигації</t>
        </is>
      </c>
      <c r="G753" s="23" t="n">
        <v>4498</v>
      </c>
      <c r="H753" s="23" t="n">
        <v>3200</v>
      </c>
      <c r="I753" s="21" t="inlineStr">
        <is>
          <t>код збігся, але різні бренди</t>
        </is>
      </c>
    </row>
    <row r="754">
      <c r="A754" s="22" t="n">
        <v>54</v>
      </c>
      <c r="B754" s="22" t="inlineStr">
        <is>
          <t>Клуб Рослин</t>
        </is>
      </c>
      <c r="C754" s="22" t="inlineStr">
        <is>
          <t>7131</t>
        </is>
      </c>
      <c r="D754" s="22" t="inlineStr">
        <is>
          <t>9305</t>
        </is>
      </c>
      <c r="E754" s="21" t="inlineStr">
        <is>
          <t>Добриво YaraTera Kristalon ЯраТера Кристалон 13-40-13 25 кг Норвегія</t>
        </is>
      </c>
      <c r="F754" s="21" t="inlineStr">
        <is>
          <t>Добриво водорозчинне Ultrasol 13-40-13+TE, 25 кг для фертигації</t>
        </is>
      </c>
      <c r="G754" s="23" t="n">
        <v>4898</v>
      </c>
      <c r="H754" s="23" t="n">
        <v>3200</v>
      </c>
      <c r="I754" s="21" t="inlineStr">
        <is>
          <t>код збігся, але різні бренди</t>
        </is>
      </c>
    </row>
    <row r="755">
      <c r="A755" s="22" t="n">
        <v>54</v>
      </c>
      <c r="B755" s="22" t="inlineStr">
        <is>
          <t>Клуб Рослин</t>
        </is>
      </c>
      <c r="C755" s="22" t="inlineStr">
        <is>
          <t>7504</t>
        </is>
      </c>
      <c r="D755" s="22" t="inlineStr">
        <is>
          <t>9306</t>
        </is>
      </c>
      <c r="E755" s="21" t="inlineStr">
        <is>
          <t>Добриво YaraTera Kristalon ЯраТера Кристалон 20-20-20 25 кг Норвегія</t>
        </is>
      </c>
      <c r="F755" s="21" t="inlineStr">
        <is>
          <t>Добриво водорозчинне Ultrasol 20-20-20+TE, 25 кг для фертигації</t>
        </is>
      </c>
      <c r="G755" s="23" t="n">
        <v>4298</v>
      </c>
      <c r="H755" s="23" t="n">
        <v>3200</v>
      </c>
      <c r="I755" s="21" t="inlineStr">
        <is>
          <t>код збігся, але різні бренди</t>
        </is>
      </c>
    </row>
    <row r="756">
      <c r="A756" s="22" t="n">
        <v>53.8</v>
      </c>
      <c r="B756" s="22" t="inlineStr">
        <is>
          <t>Клуб Рослин</t>
        </is>
      </c>
      <c r="C756" s="22" t="inlineStr">
        <is>
          <t>m7009</t>
        </is>
      </c>
      <c r="D756" s="22" t="inlineStr">
        <is>
          <t>9306</t>
        </is>
      </c>
      <c r="E756" s="21" t="inlineStr">
        <is>
          <t>Добриво Плантафол 20-20-20 25г Valagro Італія</t>
        </is>
      </c>
      <c r="F756" s="21" t="inlineStr">
        <is>
          <t>Добриво водорозчинне Ultrasol 20-20-20+TE, 25 кг для фертигації</t>
        </is>
      </c>
      <c r="G756" s="23" t="n">
        <v>18</v>
      </c>
      <c r="H756" s="23" t="n">
        <v>3200</v>
      </c>
      <c r="I756" s="21" t="inlineStr">
        <is>
          <t>код збігся, але різні об'єми або розміри</t>
        </is>
      </c>
    </row>
    <row r="757">
      <c r="A757" s="22" t="n">
        <v>53.5</v>
      </c>
      <c r="B757" s="22" t="inlineStr">
        <is>
          <t>Клуб Рослин</t>
        </is>
      </c>
      <c r="C757" s="22" t="inlineStr">
        <is>
          <t>7222</t>
        </is>
      </c>
      <c r="D757" s="22" t="inlineStr">
        <is>
          <t>9295</t>
        </is>
      </c>
      <c r="E757" s="21" t="inlineStr">
        <is>
          <t>Добриво Yara Folicare Яра Фолікер 18-18-18 25 кг Нідерланди</t>
        </is>
      </c>
      <c r="F757" s="21" t="inlineStr">
        <is>
          <t>Добриво водорозчинне Premium Foliar 18-18-18 + 3MgO+TE, 25 кг для позакореневого підживлення</t>
        </is>
      </c>
      <c r="G757" s="23" t="n">
        <v>3200</v>
      </c>
      <c r="H757" s="23" t="n">
        <v>3115.2</v>
      </c>
      <c r="I757" s="21" t="inlineStr">
        <is>
          <t>код збігся, але різні бренди</t>
        </is>
      </c>
    </row>
    <row r="758">
      <c r="A758" s="22" t="n">
        <v>53.1</v>
      </c>
      <c r="B758" s="22" t="inlineStr">
        <is>
          <t>Клуб Рослин</t>
        </is>
      </c>
      <c r="C758" s="22" t="inlineStr">
        <is>
          <t>7901</t>
        </is>
      </c>
      <c r="D758" s="22" t="inlineStr">
        <is>
          <t>13661</t>
        </is>
      </c>
      <c r="E758" s="21" t="inlineStr">
        <is>
          <t>Добриво Леда / Leda NPK 20-20-20+0.5MgO+TE+GS+Amino 25 кг Нідрланди</t>
        </is>
      </c>
      <c r="F758" s="21" t="inlineStr">
        <is>
          <t>Мінеральне добриво Peters Professional Allrounder 20-20-20+TE, 20 г</t>
        </is>
      </c>
      <c r="G758" s="23" t="n">
        <v>4527</v>
      </c>
      <c r="H758" s="23" t="n">
        <v>30</v>
      </c>
      <c r="I758" s="21" t="inlineStr">
        <is>
          <t>код збігся, але різні об'єми або розміри</t>
        </is>
      </c>
    </row>
    <row r="759">
      <c r="A759" s="22" t="n">
        <v>52.9</v>
      </c>
      <c r="B759" s="22" t="inlineStr">
        <is>
          <t>Клуб Рослин</t>
        </is>
      </c>
      <c r="C759" s="22" t="inlineStr">
        <is>
          <t>7537</t>
        </is>
      </c>
      <c r="D759" s="22" t="inlineStr">
        <is>
          <t>9300</t>
        </is>
      </c>
      <c r="E759" s="21" t="inlineStr">
        <is>
          <t>Добриво Натурвін / Naturwin 30-10-10 + 2MgO + ТЕ 2 кг Libra agro Туреччина</t>
        </is>
      </c>
      <c r="F759" s="21" t="inlineStr">
        <is>
          <t>Добриво водорозчинне Premium Foliar 30-10-10+2MgO+TE, 25 кг для позакореневого підживлення</t>
        </is>
      </c>
      <c r="G759" s="23" t="n">
        <v>325</v>
      </c>
      <c r="H759" s="23" t="n">
        <v>2448.6</v>
      </c>
      <c r="I759" s="21" t="inlineStr">
        <is>
          <t>код збігся, але різні об'єми або розміри</t>
        </is>
      </c>
    </row>
    <row r="760">
      <c r="A760" s="22" t="n">
        <v>52.8</v>
      </c>
      <c r="B760" s="22" t="inlineStr">
        <is>
          <t>Клуб Рослин</t>
        </is>
      </c>
      <c r="C760" s="22" t="inlineStr">
        <is>
          <t>7444</t>
        </is>
      </c>
      <c r="D760" s="22" t="inlineStr">
        <is>
          <t>9305</t>
        </is>
      </c>
      <c r="E760" s="21" t="inlineStr">
        <is>
          <t>Добриво GroGreen NPK 13-40-13+TE 10 кг Lima Бельгія</t>
        </is>
      </c>
      <c r="F760" s="21" t="inlineStr">
        <is>
          <t>Добриво водорозчинне Ultrasol 13-40-13+TE, 25 кг для фертигації</t>
        </is>
      </c>
      <c r="G760" s="23" t="n">
        <v>2534</v>
      </c>
      <c r="H760" s="23" t="n">
        <v>3200</v>
      </c>
      <c r="I760" s="21" t="inlineStr">
        <is>
          <t>код збігся, але різні об'єми або розміри</t>
        </is>
      </c>
    </row>
    <row r="761">
      <c r="A761" s="22" t="n">
        <v>52.6</v>
      </c>
      <c r="B761" s="22" t="inlineStr">
        <is>
          <t>Клуб Рослин</t>
        </is>
      </c>
      <c r="C761" s="22" t="inlineStr">
        <is>
          <t>7532</t>
        </is>
      </c>
      <c r="D761" s="22" t="inlineStr">
        <is>
          <t>16086</t>
        </is>
      </c>
      <c r="E761" s="21" t="inlineStr">
        <is>
          <t>Добриво Грінплант Greenplant 10-50-10+ME 25 кг Green Has Грін Хас Італія</t>
        </is>
      </c>
      <c r="F761" s="21" t="inlineStr">
        <is>
          <t>Добриво водорозчинне Saikin Premium 10-50-10+ME+EAV, 2 кг (АгроВорк)</t>
        </is>
      </c>
      <c r="G761" s="23" t="n">
        <v>3750</v>
      </c>
      <c r="H761" s="23" t="n">
        <v>545</v>
      </c>
      <c r="I761" s="21" t="inlineStr">
        <is>
          <t>код збігся, але різні об'єми або розміри</t>
        </is>
      </c>
    </row>
    <row r="762">
      <c r="A762" s="22" t="n">
        <v>52.4</v>
      </c>
      <c r="B762" s="22" t="inlineStr">
        <is>
          <t>Клуб Рослин</t>
        </is>
      </c>
      <c r="C762" s="22" t="inlineStr">
        <is>
          <t>m7007</t>
        </is>
      </c>
      <c r="D762" s="22" t="inlineStr">
        <is>
          <t>9306</t>
        </is>
      </c>
      <c r="E762" s="21" t="inlineStr">
        <is>
          <t>Добриво Плантафол 20-20-20 250г Valagro Італія</t>
        </is>
      </c>
      <c r="F762" s="21" t="inlineStr">
        <is>
          <t>Добриво водорозчинне Ultrasol 20-20-20+TE, 25 кг для фертигації</t>
        </is>
      </c>
      <c r="G762" s="23" t="n">
        <v>18</v>
      </c>
      <c r="H762" s="23" t="n">
        <v>3200</v>
      </c>
      <c r="I762" s="21" t="inlineStr">
        <is>
          <t>код збігся, але різні об'єми або розміри</t>
        </is>
      </c>
    </row>
    <row r="763">
      <c r="A763" s="22" t="n">
        <v>51.5</v>
      </c>
      <c r="B763" s="22" t="inlineStr">
        <is>
          <t>Клуб Рослин</t>
        </is>
      </c>
      <c r="C763" s="22" t="inlineStr">
        <is>
          <t>7441</t>
        </is>
      </c>
      <c r="D763" s="22" t="inlineStr">
        <is>
          <t>13661</t>
        </is>
      </c>
      <c r="E763" s="21" t="inlineStr">
        <is>
          <t>Добриво GroGreen Файв Мульті 20-20-20 + 6 CaO + 3 MgO + TE 1 кг Lima Бельгія</t>
        </is>
      </c>
      <c r="F763" s="21" t="inlineStr">
        <is>
          <t>Мінеральне добриво Peters Professional Allrounder 20-20-20+TE, 20 г</t>
        </is>
      </c>
      <c r="G763" s="23" t="n">
        <v>564</v>
      </c>
      <c r="H763" s="23" t="n">
        <v>30</v>
      </c>
      <c r="I763" s="21" t="inlineStr">
        <is>
          <t>код збігся, але різні об'єми або розміри</t>
        </is>
      </c>
    </row>
    <row r="764">
      <c r="A764" s="22" t="n">
        <v>51.5</v>
      </c>
      <c r="B764" s="22" t="inlineStr">
        <is>
          <t>Клуб Рослин</t>
        </is>
      </c>
      <c r="C764" s="22" t="inlineStr">
        <is>
          <t>m7006</t>
        </is>
      </c>
      <c r="D764" s="22" t="inlineStr">
        <is>
          <t>9300</t>
        </is>
      </c>
      <c r="E764" s="21" t="inlineStr">
        <is>
          <t>Добриво Плантафол 30-10-10 25г Valagro Італія</t>
        </is>
      </c>
      <c r="F764" s="21" t="inlineStr">
        <is>
          <t>Добриво водорозчинне Premium Foliar 30-10-10+2MgO+TE, 25 кг для позакореневого підживлення</t>
        </is>
      </c>
      <c r="G764" s="23" t="n">
        <v>18</v>
      </c>
      <c r="H764" s="23" t="n">
        <v>2448.6</v>
      </c>
      <c r="I764" s="21" t="inlineStr">
        <is>
          <t>код збігся, але різні об'єми або розміри</t>
        </is>
      </c>
    </row>
    <row r="765">
      <c r="A765" s="22" t="n">
        <v>51.2</v>
      </c>
      <c r="B765" s="22" t="inlineStr">
        <is>
          <t>Клуб Рослин</t>
        </is>
      </c>
      <c r="C765" s="22" t="inlineStr">
        <is>
          <t>7404</t>
        </is>
      </c>
      <c r="D765" s="22" t="inlineStr">
        <is>
          <t>9306</t>
        </is>
      </c>
      <c r="E765" s="21" t="inlineStr">
        <is>
          <t>Добриво GroGreen Гроліф NPK 20-20-20 +TE + QPS45 5 кг Lima Бельгія</t>
        </is>
      </c>
      <c r="F765" s="21" t="inlineStr">
        <is>
          <t>Добриво водорозчинне Ultrasol 20-20-20+TE, 25 кг для фертигації</t>
        </is>
      </c>
      <c r="G765" s="23" t="n">
        <v>1615</v>
      </c>
      <c r="H765" s="23" t="n">
        <v>3200</v>
      </c>
      <c r="I765" s="21" t="inlineStr">
        <is>
          <t>код збігся, але різні об'єми або розміри</t>
        </is>
      </c>
    </row>
    <row r="766">
      <c r="A766" s="22" t="n">
        <v>50.9</v>
      </c>
      <c r="B766" s="22" t="inlineStr">
        <is>
          <t>Клуб Рослин</t>
        </is>
      </c>
      <c r="C766" s="22" t="inlineStr">
        <is>
          <t>7371</t>
        </is>
      </c>
      <c r="D766" s="22" t="inlineStr">
        <is>
          <t>9306</t>
        </is>
      </c>
      <c r="E766" s="21" t="inlineStr">
        <is>
          <t>Добриво Фаст Гроу / Fast Grow 20-20-20 10 кг Humofert Греція</t>
        </is>
      </c>
      <c r="F766" s="21" t="inlineStr">
        <is>
          <t>Добриво водорозчинне Ultrasol 20-20-20+TE, 25 кг для фертигації</t>
        </is>
      </c>
      <c r="G766" s="23" t="n">
        <v>1303</v>
      </c>
      <c r="H766" s="23" t="n">
        <v>3200</v>
      </c>
      <c r="I766" s="21" t="inlineStr">
        <is>
          <t>код збігся, але різні об'єми або розміри</t>
        </is>
      </c>
    </row>
    <row r="767">
      <c r="A767" s="22" t="n">
        <v>50.8</v>
      </c>
      <c r="B767" s="22" t="inlineStr">
        <is>
          <t>Клуб Рослин</t>
        </is>
      </c>
      <c r="C767" s="22" t="inlineStr">
        <is>
          <t>7440</t>
        </is>
      </c>
      <c r="D767" s="22" t="inlineStr">
        <is>
          <t>13661</t>
        </is>
      </c>
      <c r="E767" s="21" t="inlineStr">
        <is>
          <t>Добриво GroGreen Файв Мульті 20-20-20 + 6 CaO + 3 MgO + TE 5 кг Lima Бельгія</t>
        </is>
      </c>
      <c r="F767" s="21" t="inlineStr">
        <is>
          <t>Мінеральне добриво Peters Professional Allrounder 20-20-20+TE, 20 г</t>
        </is>
      </c>
      <c r="G767" s="23" t="n">
        <v>2071</v>
      </c>
      <c r="H767" s="23" t="n">
        <v>30</v>
      </c>
      <c r="I767" s="21" t="inlineStr">
        <is>
          <t>код збігся, але різні об'єми або розміри</t>
        </is>
      </c>
    </row>
    <row r="768">
      <c r="A768" s="22" t="n">
        <v>50.7</v>
      </c>
      <c r="B768" s="22" t="inlineStr">
        <is>
          <t>Клуб Рослин</t>
        </is>
      </c>
      <c r="C768" s="22" t="inlineStr">
        <is>
          <t>7270</t>
        </is>
      </c>
      <c r="D768" s="22" t="inlineStr">
        <is>
          <t>13661</t>
        </is>
      </c>
      <c r="E768" s="21" t="inlineStr">
        <is>
          <t>Добриво Грінплант Флоу Greenplant Flow 20-20-20 + ME 20 кг GREEN HAS ГРІН ХАС Італія</t>
        </is>
      </c>
      <c r="F768" s="21" t="inlineStr">
        <is>
          <t>Мінеральне добриво Peters Professional Allrounder 20-20-20+TE, 20 г</t>
        </is>
      </c>
      <c r="G768" s="23" t="n">
        <v>4365</v>
      </c>
      <c r="H768" s="23" t="n">
        <v>30</v>
      </c>
      <c r="I768" s="21" t="inlineStr">
        <is>
          <t>код збігся, але різні об'єми або розміри</t>
        </is>
      </c>
    </row>
    <row r="769">
      <c r="A769" s="22" t="n">
        <v>50.7</v>
      </c>
      <c r="B769" s="22" t="inlineStr">
        <is>
          <t>Клуб Рослин</t>
        </is>
      </c>
      <c r="C769" s="22" t="inlineStr">
        <is>
          <t>7600</t>
        </is>
      </c>
      <c r="D769" s="22" t="inlineStr">
        <is>
          <t>13661</t>
        </is>
      </c>
      <c r="E769" s="21" t="inlineStr">
        <is>
          <t>Добриво GroGreen Five Multi / ГроГрін Файв Мульті 20-20-20 + 6 CaO + 3 MgO + TE 200 г Lima Бельгія</t>
        </is>
      </c>
      <c r="F769" s="21" t="inlineStr">
        <is>
          <t>Мінеральне добриво Peters Professional Allrounder 20-20-20+TE, 20 г</t>
        </is>
      </c>
      <c r="G769" s="23" t="n">
        <v>233</v>
      </c>
      <c r="H769" s="23" t="n">
        <v>30</v>
      </c>
      <c r="I769" s="21" t="inlineStr">
        <is>
          <t>код збігся, але різні об'єми або розміри</t>
        </is>
      </c>
    </row>
    <row r="770">
      <c r="A770" s="22" t="n">
        <v>50.6</v>
      </c>
      <c r="B770" s="22" t="inlineStr">
        <is>
          <t>Клуб Рослин</t>
        </is>
      </c>
      <c r="C770" s="22" t="inlineStr">
        <is>
          <t>7211</t>
        </is>
      </c>
      <c r="D770" s="22" t="inlineStr">
        <is>
          <t>9295</t>
        </is>
      </c>
      <c r="E770" s="21" t="inlineStr">
        <is>
          <t>Добриво Нутрівант Універсальний 18-18-18+2MgO+ME 25 кг Вітера ICL Ізраїль</t>
        </is>
      </c>
      <c r="F770" s="21" t="inlineStr">
        <is>
          <t>Добриво водорозчинне Premium Foliar 18-18-18 + 3MgO+TE, 25 кг для позакореневого підживлення</t>
        </is>
      </c>
      <c r="G770" s="23" t="n">
        <v>3975</v>
      </c>
      <c r="H770" s="23" t="n">
        <v>3115.2</v>
      </c>
      <c r="I770" s="21" t="inlineStr">
        <is>
          <t>код збігся, але різні бренди</t>
        </is>
      </c>
    </row>
    <row r="771">
      <c r="A771" s="22" t="n">
        <v>50</v>
      </c>
      <c r="B771" s="22" t="inlineStr">
        <is>
          <t>Клуб Рослин</t>
        </is>
      </c>
      <c r="C771" s="22" t="inlineStr">
        <is>
          <t>7098</t>
        </is>
      </c>
      <c r="D771" s="22" t="inlineStr">
        <is>
          <t>9295</t>
        </is>
      </c>
      <c r="E771" s="21" t="inlineStr">
        <is>
          <t>Добриво YaraTera Kristalon ЯраТера Кристалон 18-18-18+3+МЕ 25 кг Норвегія</t>
        </is>
      </c>
      <c r="F771" s="21" t="inlineStr">
        <is>
          <t>Добриво водорозчинне Premium Foliar 18-18-18 + 3MgO+TE, 25 кг для позакореневого підживлення</t>
        </is>
      </c>
      <c r="G771" s="23" t="n">
        <v>3725</v>
      </c>
      <c r="H771" s="23" t="n">
        <v>3115.2</v>
      </c>
      <c r="I771" s="21" t="inlineStr">
        <is>
          <t>код збігся, але різні бренди</t>
        </is>
      </c>
    </row>
    <row r="772">
      <c r="A772" s="22" t="n">
        <v>50</v>
      </c>
      <c r="B772" s="22" t="inlineStr">
        <is>
          <t>Клуб Рослин</t>
        </is>
      </c>
      <c r="C772" s="22" t="inlineStr">
        <is>
          <t>8003</t>
        </is>
      </c>
      <c r="D772" s="22" t="inlineStr">
        <is>
          <t>9306</t>
        </is>
      </c>
      <c r="E772" s="21" t="inlineStr">
        <is>
          <t>Добриво Солденсо Гель / Soldenso Gel NPK 20-20-20+6%CaO+3%MgO+TE 5 кг Orange Іспанія</t>
        </is>
      </c>
      <c r="F772" s="21" t="inlineStr">
        <is>
          <t>Добриво водорозчинне Ultrasol 20-20-20+TE, 25 кг для фертигації</t>
        </is>
      </c>
      <c r="G772" s="23" t="n">
        <v>1727</v>
      </c>
      <c r="H772" s="23" t="n">
        <v>3200</v>
      </c>
      <c r="I772" s="21" t="inlineStr">
        <is>
          <t>код збігся, але різні об'єми або розміри</t>
        </is>
      </c>
    </row>
    <row r="773">
      <c r="A773" s="22" t="n">
        <v>50</v>
      </c>
      <c r="B773" s="22" t="inlineStr">
        <is>
          <t>Клуб Рослин</t>
        </is>
      </c>
      <c r="C773" s="22" t="inlineStr">
        <is>
          <t>8028</t>
        </is>
      </c>
      <c r="D773" s="22" t="inlineStr">
        <is>
          <t>13661</t>
        </is>
      </c>
      <c r="E773" s="21" t="inlineStr">
        <is>
          <t>Добриво Солденсо Гель / Soldenso Gel NPK 20-20-20+6%CaO+3%MgO+TE 1 кг Orange Іспанія</t>
        </is>
      </c>
      <c r="F773" s="21" t="inlineStr">
        <is>
          <t>Мінеральне добриво Peters Professional Allrounder 20-20-20+TE, 20 г</t>
        </is>
      </c>
      <c r="G773" s="23" t="n">
        <v>458</v>
      </c>
      <c r="H773" s="23" t="n">
        <v>30</v>
      </c>
      <c r="I773" s="21" t="inlineStr">
        <is>
          <t>код збігся, але різні об'єми або розміри</t>
        </is>
      </c>
    </row>
    <row r="774">
      <c r="A774" s="22" t="n">
        <v>49.6</v>
      </c>
      <c r="B774" s="22" t="inlineStr">
        <is>
          <t>Клуб Рослин</t>
        </is>
      </c>
      <c r="C774" s="22" t="inlineStr">
        <is>
          <t>7405</t>
        </is>
      </c>
      <c r="D774" s="22" t="inlineStr">
        <is>
          <t>13661</t>
        </is>
      </c>
      <c r="E774" s="21" t="inlineStr">
        <is>
          <t>Добриво GroGreen Гроліф NPK 20-20-20 +TE + QPS45 1 кг Lima Бельгія</t>
        </is>
      </c>
      <c r="F774" s="21" t="inlineStr">
        <is>
          <t>Мінеральне добриво Peters Professional Allrounder 20-20-20+TE, 20 г</t>
        </is>
      </c>
      <c r="G774" s="23" t="n">
        <v>412</v>
      </c>
      <c r="H774" s="23" t="n">
        <v>30</v>
      </c>
      <c r="I774" s="21" t="inlineStr">
        <is>
          <t>код збігся, але різні об'єми або розміри</t>
        </is>
      </c>
    </row>
    <row r="775">
      <c r="A775" s="22" t="n">
        <v>49.6</v>
      </c>
      <c r="B775" s="22" t="inlineStr">
        <is>
          <t>Клуб Рослин</t>
        </is>
      </c>
      <c r="C775" s="22" t="inlineStr">
        <is>
          <t>7900</t>
        </is>
      </c>
      <c r="D775" s="22" t="inlineStr">
        <is>
          <t>9305</t>
        </is>
      </c>
      <c r="E775" s="21" t="inlineStr">
        <is>
          <t>Добриво Леда / Leda NPK 13-40-13+1MgO+TE+GS+Amino 1 кг Нідерланди</t>
        </is>
      </c>
      <c r="F775" s="21" t="inlineStr">
        <is>
          <t>Добриво водорозчинне Ultrasol 13-40-13+TE, 25 кг для фертигації</t>
        </is>
      </c>
      <c r="G775" s="23" t="n">
        <v>198</v>
      </c>
      <c r="H775" s="23" t="n">
        <v>3200</v>
      </c>
      <c r="I775" s="21" t="inlineStr">
        <is>
          <t>код збігся, але різні об'єми або розміри</t>
        </is>
      </c>
    </row>
    <row r="776">
      <c r="A776" s="22" t="n">
        <v>49.3</v>
      </c>
      <c r="B776" s="22" t="inlineStr">
        <is>
          <t>Клуб Рослин</t>
        </is>
      </c>
      <c r="C776" s="22" t="inlineStr">
        <is>
          <t>7988</t>
        </is>
      </c>
      <c r="D776" s="22" t="inlineStr">
        <is>
          <t>13661</t>
        </is>
      </c>
      <c r="E776" s="21" t="inlineStr">
        <is>
          <t>Добриво Леда Гель Баланс / Leda Gel Balance 20-20-20+ТЕ 10 л Велика Британія</t>
        </is>
      </c>
      <c r="F776" s="21" t="inlineStr">
        <is>
          <t>Мінеральне добриво Peters Professional Allrounder 20-20-20+TE, 20 г</t>
        </is>
      </c>
      <c r="G776" s="23" t="n">
        <v>8483</v>
      </c>
      <c r="H776" s="23" t="n">
        <v>30</v>
      </c>
      <c r="I776" s="21" t="inlineStr">
        <is>
          <t>код збігся, але різні об'єми або розміри</t>
        </is>
      </c>
    </row>
    <row r="777">
      <c r="A777" s="22" t="n">
        <v>48.6</v>
      </c>
      <c r="B777" s="22" t="inlineStr">
        <is>
          <t>Клуб Рослин</t>
        </is>
      </c>
      <c r="C777" s="22" t="inlineStr">
        <is>
          <t>7987</t>
        </is>
      </c>
      <c r="D777" s="22" t="inlineStr">
        <is>
          <t>13661</t>
        </is>
      </c>
      <c r="E777" s="21" t="inlineStr">
        <is>
          <t>Добриво Леда Гель Баланс / Leda Gel Balance 20-20-20+ТЕ 500 мл Велика Британія</t>
        </is>
      </c>
      <c r="F777" s="21" t="inlineStr">
        <is>
          <t>Мінеральне добриво Peters Professional Allrounder 20-20-20+TE, 20 г</t>
        </is>
      </c>
      <c r="G777" s="23" t="n">
        <v>459</v>
      </c>
      <c r="H777" s="23" t="n">
        <v>30</v>
      </c>
      <c r="I777" s="21" t="inlineStr">
        <is>
          <t>код збігся, але різні об'єми або розміри</t>
        </is>
      </c>
    </row>
    <row r="778">
      <c r="A778" s="22" t="n">
        <v>48.1</v>
      </c>
      <c r="B778" s="22" t="inlineStr">
        <is>
          <t>Клуб Рослин</t>
        </is>
      </c>
      <c r="C778" s="22" t="inlineStr">
        <is>
          <t>7986</t>
        </is>
      </c>
      <c r="D778" s="22" t="inlineStr">
        <is>
          <t>13661</t>
        </is>
      </c>
      <c r="E778" s="21" t="inlineStr">
        <is>
          <t>Добриво Леда Гель Баланс / Leda Gel Balance 20-20-20+ТЕ 1 л Велика Британія</t>
        </is>
      </c>
      <c r="F778" s="21" t="inlineStr">
        <is>
          <t>Мінеральне добриво Peters Professional Allrounder 20-20-20+TE, 20 г</t>
        </is>
      </c>
      <c r="G778" s="23" t="n">
        <v>873</v>
      </c>
      <c r="H778" s="23" t="n">
        <v>30</v>
      </c>
      <c r="I778" s="21" t="inlineStr">
        <is>
          <t>код збігся, але різні об'єми або розміри</t>
        </is>
      </c>
    </row>
    <row r="779">
      <c r="A779" s="22" t="n">
        <v>47.3</v>
      </c>
      <c r="B779" s="22" t="inlineStr">
        <is>
          <t>Клуб Рослин</t>
        </is>
      </c>
      <c r="C779" s="22" t="inlineStr">
        <is>
          <t>7402</t>
        </is>
      </c>
      <c r="D779" s="22" t="inlineStr">
        <is>
          <t>9300</t>
        </is>
      </c>
      <c r="E779" s="21" t="inlineStr">
        <is>
          <t>Добриво GroGreen Гроліф NPK 30-10-10+TE+QPS45 5 кг Lima Бельгія</t>
        </is>
      </c>
      <c r="F779" s="21" t="inlineStr">
        <is>
          <t>Добриво водорозчинне Premium Foliar 30-10-10+2MgO+TE, 25 кг для позакореневого підживлення</t>
        </is>
      </c>
      <c r="G779" s="23" t="n">
        <v>1436</v>
      </c>
      <c r="H779" s="23" t="n">
        <v>2448.6</v>
      </c>
      <c r="I779" s="21" t="inlineStr">
        <is>
          <t>код збігся, але різні об'єми або розміри</t>
        </is>
      </c>
    </row>
    <row r="780">
      <c r="A780" s="22" t="n">
        <v>47.3</v>
      </c>
      <c r="B780" s="22" t="inlineStr">
        <is>
          <t>Клуб Рослин</t>
        </is>
      </c>
      <c r="C780" s="22" t="inlineStr">
        <is>
          <t>7403</t>
        </is>
      </c>
      <c r="D780" s="22" t="inlineStr">
        <is>
          <t>9300</t>
        </is>
      </c>
      <c r="E780" s="21" t="inlineStr">
        <is>
          <t>Добриво GroGreen Гроліф NPK 30-10-10+TE+QPS45 1 кг Lima Бельгія</t>
        </is>
      </c>
      <c r="F780" s="21" t="inlineStr">
        <is>
          <t>Добриво водорозчинне Premium Foliar 30-10-10+2MgO+TE, 25 кг для позакореневого підживлення</t>
        </is>
      </c>
      <c r="G780" s="23" t="n">
        <v>375</v>
      </c>
      <c r="H780" s="23" t="n">
        <v>2448.6</v>
      </c>
      <c r="I780" s="21" t="inlineStr">
        <is>
          <t>код збігся, але різні об'єми або розміри</t>
        </is>
      </c>
    </row>
    <row r="781">
      <c r="A781" s="22" t="n">
        <v>45.8</v>
      </c>
      <c r="B781" s="22" t="inlineStr">
        <is>
          <t>Клуб Рослин</t>
        </is>
      </c>
      <c r="C781" s="22" t="inlineStr">
        <is>
          <t>3146</t>
        </is>
      </c>
      <c r="D781" s="22" t="inlineStr">
        <is>
          <t>3146</t>
        </is>
      </c>
      <c r="E781" s="21" t="inlineStr">
        <is>
          <t>Фунгіцид Кустодія КС 1 л Adama Адама Ізраїль</t>
        </is>
      </c>
      <c r="F781" s="21" t="inlineStr">
        <is>
          <t>Лілія азіатська гібридна Блек Аут 12\14</t>
        </is>
      </c>
      <c r="G781" s="23" t="n">
        <v>1298</v>
      </c>
      <c r="H781" s="23" t="n">
        <v>50</v>
      </c>
      <c r="I781" s="21" t="inlineStr">
        <is>
          <t>ID постачальника збігся, але назви різні</t>
        </is>
      </c>
    </row>
    <row r="782">
      <c r="A782" s="22" t="n">
        <v>44.2</v>
      </c>
      <c r="B782" s="22" t="inlineStr">
        <is>
          <t>Клуб Рослин</t>
        </is>
      </c>
      <c r="C782" s="22" t="inlineStr">
        <is>
          <t>7171</t>
        </is>
      </c>
      <c r="D782" s="22" t="inlineStr">
        <is>
          <t>16088</t>
        </is>
      </c>
      <c r="E782" s="21" t="inlineStr">
        <is>
          <t>Нутрівант Універсальний 18-18-18+2MgO+ME 1 кг (Розсип) Вітера ICL Specialty Fertilizers Ізраїль</t>
        </is>
      </c>
      <c r="F782" s="21" t="inlineStr">
        <is>
          <t>Добриво водорозчинне Saikin Premium 18-18-18+ME+EAV, 2 кг (АгроВорк)</t>
        </is>
      </c>
      <c r="G782" s="23" t="n">
        <v>200</v>
      </c>
      <c r="H782" s="23" t="n">
        <v>475</v>
      </c>
      <c r="I782" s="21" t="inlineStr">
        <is>
          <t>код збігся, але різні об'єми або розміри</t>
        </is>
      </c>
    </row>
    <row r="783">
      <c r="A783" s="22" t="n">
        <v>43.6</v>
      </c>
      <c r="B783" s="22" t="inlineStr">
        <is>
          <t>Клуб Рослин</t>
        </is>
      </c>
      <c r="C783" s="22" t="inlineStr">
        <is>
          <t>3353</t>
        </is>
      </c>
      <c r="D783" s="22" t="inlineStr">
        <is>
          <t>3353</t>
        </is>
      </c>
      <c r="E783" s="21" t="inlineStr">
        <is>
          <t>Фунгіцид Малвін 250 г UPL / ЮПЛ Франція</t>
        </is>
      </c>
      <c r="F783" s="21" t="inlineStr">
        <is>
          <t>Магнолія гібридний(а) Блек Туліп G / H250-300</t>
        </is>
      </c>
      <c r="G783" s="23" t="n">
        <v>325</v>
      </c>
      <c r="H783" s="23" t="n">
        <v>12025</v>
      </c>
      <c r="I783" s="21" t="inlineStr">
        <is>
          <t>ID постачальника збігся, але назви різні</t>
        </is>
      </c>
    </row>
    <row r="784">
      <c r="A784" s="22" t="n">
        <v>43.3</v>
      </c>
      <c r="B784" s="22" t="inlineStr">
        <is>
          <t>Водоспад</t>
        </is>
      </c>
      <c r="C784" s="22" t="inlineStr">
        <is>
          <t>42-204</t>
        </is>
      </c>
      <c r="D784" s="22" t="inlineStr">
        <is>
          <t>42204</t>
        </is>
      </c>
      <c r="E784" s="21" t="inlineStr">
        <is>
          <t>Сівалка ручна Целлфаст / Cellfast (42-204) Польща</t>
        </is>
      </c>
      <c r="F784" s="21" t="inlineStr">
        <is>
          <t>Корзина пластикова з ручками 42л. Bellota, арт.BKT42BP</t>
        </is>
      </c>
      <c r="G784" s="23" t="n">
        <v>730</v>
      </c>
      <c r="H784" s="23" t="n">
        <v>429</v>
      </c>
      <c r="I784" s="21" t="inlineStr">
        <is>
          <t>ID постачальника збігся, але різні бренди</t>
        </is>
      </c>
    </row>
    <row r="785">
      <c r="A785" s="22" t="n">
        <v>42.7</v>
      </c>
      <c r="B785" s="22" t="inlineStr">
        <is>
          <t>Водоспад</t>
        </is>
      </c>
      <c r="C785" s="22" t="inlineStr">
        <is>
          <t>12242-20.000.00</t>
        </is>
      </c>
      <c r="D785" s="22" t="inlineStr">
        <is>
          <t>41087</t>
        </is>
      </c>
      <c r="E785" s="21" t="inlineStr">
        <is>
          <t>Секатор Gardena PremiumCut S-M 24 мм (12242) Німеччина</t>
        </is>
      </c>
      <c r="F785" s="21" t="inlineStr">
        <is>
          <t>Ніж Morakniv PRO S (12242)</t>
        </is>
      </c>
      <c r="G785" s="23" t="n">
        <v>1045</v>
      </c>
      <c r="H785" s="23" t="n">
        <v>429</v>
      </c>
      <c r="I785" s="21" t="inlineStr">
        <is>
          <t>код збігся, але різні бренди</t>
        </is>
      </c>
    </row>
    <row r="786">
      <c r="A786" s="22" t="n">
        <v>41.7</v>
      </c>
      <c r="B786" s="22" t="inlineStr">
        <is>
          <t>Водоспад</t>
        </is>
      </c>
      <c r="C786" s="22" t="inlineStr">
        <is>
          <t>3001.B</t>
        </is>
      </c>
      <c r="D786" s="22" t="inlineStr">
        <is>
          <t>41794</t>
        </is>
      </c>
      <c r="E786" s="21" t="inlineStr">
        <is>
          <t>Совок для пересадки 80 мм Bellota (3001.B) Іспанія</t>
        </is>
      </c>
      <c r="F786" s="21" t="inlineStr">
        <is>
          <t>Леза змінна подовжена для різаків серії 3.104/105 LOWE 1шт/блістер (3001/B)</t>
        </is>
      </c>
      <c r="G786" s="23" t="n">
        <v>459</v>
      </c>
      <c r="H786" s="23" t="n">
        <v>960</v>
      </c>
      <c r="I786" s="21" t="inlineStr">
        <is>
          <t>код збігся, але різні об'єми або розміри</t>
        </is>
      </c>
    </row>
    <row r="787">
      <c r="A787" s="22" t="n">
        <v>41.7</v>
      </c>
      <c r="B787" s="22" t="inlineStr">
        <is>
          <t>Водоспад</t>
        </is>
      </c>
      <c r="C787" s="22" t="inlineStr">
        <is>
          <t>6d0ae69e-75b2-11ef-803e-e89c257d8b8f</t>
        </is>
      </c>
      <c r="D787" s="22" t="inlineStr">
        <is>
          <t>41794</t>
        </is>
      </c>
      <c r="E787" s="21" t="inlineStr">
        <is>
          <t>Совок для пересадки 80 мм Bellota (3001.B) Іспанія</t>
        </is>
      </c>
      <c r="F787" s="21" t="inlineStr">
        <is>
          <t>Леза змінна подовжена для різаків серії 3.104/105 LOWE 1шт/блістер (3001/B)</t>
        </is>
      </c>
      <c r="G787" s="23" t="n">
        <v>429</v>
      </c>
      <c r="H787" s="23" t="n">
        <v>960</v>
      </c>
      <c r="I787" s="21" t="inlineStr">
        <is>
          <t>код збігся, але різні об'єми або розміри</t>
        </is>
      </c>
    </row>
    <row r="788">
      <c r="A788" s="22" t="n">
        <v>41.7</v>
      </c>
      <c r="B788" s="22" t="inlineStr">
        <is>
          <t>Водоспад</t>
        </is>
      </c>
      <c r="C788" s="22" t="inlineStr">
        <is>
          <t>3001.В</t>
        </is>
      </c>
      <c r="D788" s="22" t="inlineStr">
        <is>
          <t>41794</t>
        </is>
      </c>
      <c r="E788" s="21" t="inlineStr">
        <is>
          <t>Совок для пересадки 80 мм Bellota 3001.В. Іспанія</t>
        </is>
      </c>
      <c r="F788" s="21" t="inlineStr">
        <is>
          <t>Леза змінна подовжена для різаків серії 3.104/105 LOWE 1шт/блістер (3001/B)</t>
        </is>
      </c>
      <c r="G788" s="23" t="n">
        <v>375</v>
      </c>
      <c r="H788" s="23" t="n">
        <v>960</v>
      </c>
      <c r="I788" s="21" t="inlineStr">
        <is>
          <t>код збігся, але різні об'єми або розміри</t>
        </is>
      </c>
    </row>
    <row r="789">
      <c r="A789" s="22" t="n">
        <v>41.7</v>
      </c>
      <c r="B789" s="22" t="inlineStr">
        <is>
          <t>Клуб Рослин</t>
        </is>
      </c>
      <c r="C789" s="22" t="inlineStr">
        <is>
          <t>2225</t>
        </is>
      </c>
      <c r="D789" s="22" t="inlineStr">
        <is>
          <t>2225</t>
        </is>
      </c>
      <c r="E789" s="21" t="inlineStr">
        <is>
          <t>Інсектицид Шаман 1 л Нертус Угорщина</t>
        </is>
      </c>
      <c r="F789" s="21" t="inlineStr">
        <is>
          <t>Гортензія волотиста Лаймлайт ® PC21 C3</t>
        </is>
      </c>
      <c r="G789" s="23" t="n">
        <v>498</v>
      </c>
      <c r="H789" s="23" t="n">
        <v>240</v>
      </c>
      <c r="I789" s="21" t="inlineStr">
        <is>
          <t>ID постачальника збігся, але назви різні</t>
        </is>
      </c>
    </row>
    <row r="790">
      <c r="A790" s="22" t="n">
        <v>41.5</v>
      </c>
      <c r="B790" s="22" t="inlineStr">
        <is>
          <t>Клуб Рослин</t>
        </is>
      </c>
      <c r="C790" s="22" t="inlineStr">
        <is>
          <t>7258</t>
        </is>
      </c>
      <c r="D790" s="22" t="inlineStr">
        <is>
          <t>7258</t>
        </is>
      </c>
      <c r="E790" s="21" t="inlineStr">
        <is>
          <t>Добриво ГУМАТ АміноВіт / HUMAT AminoVit 20 л Мінерал Груп Україна</t>
        </is>
      </c>
      <c r="F790" s="21" t="inlineStr">
        <is>
          <t>Троянда мініатюрна Єллоу Mini PC14 C3 / L30-40</t>
        </is>
      </c>
      <c r="G790" s="23" t="n">
        <v>6600</v>
      </c>
      <c r="H790" s="23" t="n">
        <v>85</v>
      </c>
      <c r="I790" s="21" t="inlineStr">
        <is>
          <t>ID постачальника збігся, але різні бренди</t>
        </is>
      </c>
    </row>
    <row r="791">
      <c r="A791" s="22" t="n">
        <v>41.4</v>
      </c>
      <c r="B791" s="22" t="inlineStr">
        <is>
          <t>Клуб Рослин</t>
        </is>
      </c>
      <c r="C791" s="22" t="inlineStr">
        <is>
          <t>3162</t>
        </is>
      </c>
      <c r="D791" s="22" t="inlineStr">
        <is>
          <t>3162</t>
        </is>
      </c>
      <c r="E791" s="21" t="inlineStr">
        <is>
          <t>Фунгіцид Алмаз 1 л Нертус</t>
        </is>
      </c>
      <c r="F791" s="21" t="inlineStr">
        <is>
          <t>Лілія ЛА-гібридна Ред Алерт 12\14</t>
        </is>
      </c>
      <c r="G791" s="23" t="n">
        <v>1364</v>
      </c>
      <c r="H791" s="23" t="n">
        <v>50</v>
      </c>
      <c r="I791" s="21" t="inlineStr">
        <is>
          <t>ID постачальника збігся, але назви різні</t>
        </is>
      </c>
    </row>
    <row r="792">
      <c r="A792" s="22" t="n">
        <v>41.3</v>
      </c>
      <c r="B792" s="22" t="inlineStr">
        <is>
          <t>Водоспад</t>
        </is>
      </c>
      <c r="C792" s="22" t="inlineStr">
        <is>
          <t>100-02</t>
        </is>
      </c>
      <c r="D792" s="22" t="inlineStr">
        <is>
          <t>41169</t>
        </is>
      </c>
      <c r="E792" s="21" t="inlineStr">
        <is>
          <t>Гілкоріз кований 800 мм Drop Forged SK 5 (100-02)</t>
        </is>
      </c>
      <c r="F792" s="21" t="inlineStr">
        <is>
          <t>Змінна ковадло для секаторів Löwe 10.107 (10002)</t>
        </is>
      </c>
      <c r="G792" s="23" t="n">
        <v>648</v>
      </c>
      <c r="H792" s="23" t="n">
        <v>155</v>
      </c>
      <c r="I792" s="21" t="inlineStr">
        <is>
          <t>код збігся, але різні бренди</t>
        </is>
      </c>
    </row>
    <row r="793">
      <c r="A793" s="22" t="n">
        <v>40.9</v>
      </c>
      <c r="B793" s="22" t="inlineStr">
        <is>
          <t>Клуб Рослин</t>
        </is>
      </c>
      <c r="C793" s="22" t="inlineStr">
        <is>
          <t>3369</t>
        </is>
      </c>
      <c r="D793" s="22" t="inlineStr">
        <is>
          <t>3369</t>
        </is>
      </c>
      <c r="E793" s="21" t="inlineStr">
        <is>
          <t>Біофунгіцид Бактіфол / Bactifol 100 г Bioera Іспанія</t>
        </is>
      </c>
      <c r="F793" s="21" t="inlineStr">
        <is>
          <t>Магнолія гібридний(а) Гелексі C130 / H200 / L150</t>
        </is>
      </c>
      <c r="G793" s="23" t="n">
        <v>778</v>
      </c>
      <c r="H793" s="23" t="n">
        <v>14076</v>
      </c>
      <c r="I793" s="21" t="inlineStr">
        <is>
          <t>ID постачальника збігся, але назви різні</t>
        </is>
      </c>
    </row>
    <row r="794">
      <c r="A794" s="22" t="n">
        <v>40.9</v>
      </c>
      <c r="B794" s="22" t="inlineStr">
        <is>
          <t>Клуб Рослин</t>
        </is>
      </c>
      <c r="C794" s="22" t="inlineStr">
        <is>
          <t>3176</t>
        </is>
      </c>
      <c r="D794" s="22" t="inlineStr">
        <is>
          <t>3176</t>
        </is>
      </c>
      <c r="E794" s="21" t="inlineStr">
        <is>
          <t>Біофунгіцид МікоХелп-р (MicoHelp-r) 1 л БТУ- Центр Україна</t>
        </is>
      </c>
      <c r="F794" s="21" t="inlineStr">
        <is>
          <t>Лілія східна гібридна Тайгер Вудс 12\14</t>
        </is>
      </c>
      <c r="G794" s="23" t="n">
        <v>415</v>
      </c>
      <c r="H794" s="23" t="n">
        <v>50</v>
      </c>
      <c r="I794" s="21" t="inlineStr">
        <is>
          <t>ID постачальника збігся, але назви різні</t>
        </is>
      </c>
    </row>
    <row r="795">
      <c r="A795" s="22" t="n">
        <v>40.4</v>
      </c>
      <c r="B795" s="22" t="inlineStr">
        <is>
          <t>Клуб Рослин</t>
        </is>
      </c>
      <c r="C795" s="22" t="inlineStr">
        <is>
          <t>9008</t>
        </is>
      </c>
      <c r="D795" s="22" t="inlineStr">
        <is>
          <t>9008</t>
        </is>
      </c>
      <c r="E795" s="21" t="inlineStr">
        <is>
          <t>Прилипач ад'ювант Скаба КЕ 1 л Sumi Agro Сумі Агро Японія</t>
        </is>
      </c>
      <c r="F795" s="21" t="inlineStr">
        <is>
          <t>Декоративний паркан Eko-Palisada 22 см, 1 м (графіт)</t>
        </is>
      </c>
      <c r="G795" s="23" t="n">
        <v>1560</v>
      </c>
      <c r="H795" s="23" t="n">
        <v>220</v>
      </c>
      <c r="I795" s="21" t="inlineStr">
        <is>
          <t>ID постачальника збігся, але різні об'єми або розміри</t>
        </is>
      </c>
    </row>
    <row r="796">
      <c r="A796" s="22" t="n">
        <v>40.4</v>
      </c>
      <c r="B796" s="22" t="inlineStr">
        <is>
          <t>Клуб Рослин</t>
        </is>
      </c>
      <c r="C796" s="22" t="inlineStr">
        <is>
          <t>3142</t>
        </is>
      </c>
      <c r="D796" s="22" t="inlineStr">
        <is>
          <t>3142</t>
        </is>
      </c>
      <c r="E796" s="21" t="inlineStr">
        <is>
          <t>Фунгіцид Блу Бордо Дисперс 1 кг (розсип) UPL Франція</t>
        </is>
      </c>
      <c r="F796" s="21" t="inlineStr">
        <is>
          <t>Лілія азіатська гібридна 'Танго' Тайні Дансер 14\16</t>
        </is>
      </c>
      <c r="G796" s="23" t="n">
        <v>425</v>
      </c>
      <c r="H796" s="23" t="n">
        <v>50</v>
      </c>
      <c r="I796" s="21" t="inlineStr">
        <is>
          <t>ID постачальника збігся, але назви різні</t>
        </is>
      </c>
    </row>
    <row r="797">
      <c r="A797" s="22" t="n">
        <v>40.3</v>
      </c>
      <c r="B797" s="22" t="inlineStr">
        <is>
          <t>Водоспад</t>
        </is>
      </c>
      <c r="C797" s="22" t="inlineStr">
        <is>
          <t>40-100</t>
        </is>
      </c>
      <c r="D797" s="22" t="inlineStr">
        <is>
          <t>40100</t>
        </is>
      </c>
      <c r="E797" s="21" t="inlineStr">
        <is>
          <t>Граблі універсальні Целлфаст / Cellfast ERGO 152 см (40-100) Польша</t>
        </is>
      </c>
      <c r="F797" s="21" t="inlineStr">
        <is>
          <t>50 шліфлистів Bosch M480 на сітчастій основі 115x230 K80 (2608621270)</t>
        </is>
      </c>
      <c r="G797" s="23" t="n">
        <v>1592</v>
      </c>
      <c r="H797" s="23" t="n">
        <v>2895</v>
      </c>
      <c r="I797" s="21" t="inlineStr">
        <is>
          <t>ID постачальника збігся, але різні бренди</t>
        </is>
      </c>
    </row>
    <row r="798">
      <c r="A798" s="22" t="n">
        <v>40</v>
      </c>
      <c r="B798" s="22" t="inlineStr">
        <is>
          <t>Клуб Рослин</t>
        </is>
      </c>
      <c r="C798" s="22" t="inlineStr">
        <is>
          <t>3318</t>
        </is>
      </c>
      <c r="D798" s="22" t="inlineStr">
        <is>
          <t>3318</t>
        </is>
      </c>
      <c r="E798" s="21" t="inlineStr">
        <is>
          <t>Фунгіцид Нордокс / Nordox 75 WG 10 кг Норвегія</t>
        </is>
      </c>
      <c r="F798" s="21" t="inlineStr">
        <is>
          <t>Магнолія гола Єллоу Рівер ® XXL C18 / H175-200</t>
        </is>
      </c>
      <c r="G798" s="23" t="n">
        <v>10998</v>
      </c>
      <c r="H798" s="23" t="n">
        <v>2675</v>
      </c>
      <c r="I798" s="21" t="inlineStr">
        <is>
          <t>ID постачальника збігся, але різні бренди</t>
        </is>
      </c>
    </row>
    <row r="799">
      <c r="A799" s="22" t="n">
        <v>40</v>
      </c>
      <c r="B799" s="22" t="inlineStr">
        <is>
          <t>Клуб Рослин</t>
        </is>
      </c>
      <c r="C799" s="22" t="inlineStr">
        <is>
          <t>6700</t>
        </is>
      </c>
      <c r="D799" s="22" t="inlineStr">
        <is>
          <t>6700</t>
        </is>
      </c>
      <c r="E799" s="21" t="inlineStr">
        <is>
          <t>Маска повнолицьова 3М 6700 розмір S</t>
        </is>
      </c>
      <c r="F799" s="21" t="inlineStr">
        <is>
          <t>Слива розлога Піссарді C230 / H400 / o16-18 / Pa200</t>
        </is>
      </c>
      <c r="G799" s="23" t="n">
        <v>8190</v>
      </c>
      <c r="H799" s="23" t="n">
        <v>6900</v>
      </c>
      <c r="I799" s="21" t="inlineStr">
        <is>
          <t>ID постачальника збігся, але назви різні</t>
        </is>
      </c>
    </row>
    <row r="800">
      <c r="A800" s="22" t="n">
        <v>40</v>
      </c>
      <c r="B800" s="22" t="inlineStr">
        <is>
          <t>Клуб Рослин</t>
        </is>
      </c>
      <c r="C800" s="22" t="inlineStr">
        <is>
          <t>1091</t>
        </is>
      </c>
      <c r="D800" s="22" t="inlineStr">
        <is>
          <t>1091</t>
        </is>
      </c>
      <c r="E800" s="21" t="inlineStr">
        <is>
          <t>Гербіцид Чистопол 20 л Presence / Презенс</t>
        </is>
      </c>
      <c r="F800" s="21" t="inlineStr">
        <is>
          <t>Будлея Давіда Роял Ред PC15 C2 / H40-60</t>
        </is>
      </c>
      <c r="G800" s="23" t="n">
        <v>3298</v>
      </c>
      <c r="H800" s="23" t="n">
        <v>85</v>
      </c>
      <c r="I800" s="21" t="inlineStr">
        <is>
          <t>ID постачальника збігся, але назви різні</t>
        </is>
      </c>
    </row>
    <row r="801">
      <c r="A801" s="22" t="n">
        <v>40</v>
      </c>
      <c r="B801" s="22" t="inlineStr">
        <is>
          <t>Клуб Рослин</t>
        </is>
      </c>
      <c r="C801" s="22" t="inlineStr">
        <is>
          <t>3416</t>
        </is>
      </c>
      <c r="D801" s="22" t="inlineStr">
        <is>
          <t>3416</t>
        </is>
      </c>
      <c r="E801" s="21" t="inlineStr">
        <is>
          <t>Фунгіцид Лексіон 500 г Укравіт Україна</t>
        </is>
      </c>
      <c r="F801" s="21" t="inlineStr">
        <is>
          <t>Магнолія лілієквіткова Нігра PC19 C3 / H30-40</t>
        </is>
      </c>
      <c r="G801" s="23" t="n">
        <v>2148</v>
      </c>
      <c r="H801" s="23" t="n">
        <v>215</v>
      </c>
      <c r="I801" s="21" t="inlineStr">
        <is>
          <t>ID постачальника збігся, але назви різні</t>
        </is>
      </c>
    </row>
    <row r="802">
      <c r="A802" s="22" t="n">
        <v>40</v>
      </c>
      <c r="B802" s="22" t="inlineStr">
        <is>
          <t>Клуб Рослин</t>
        </is>
      </c>
      <c r="C802" s="22" t="inlineStr">
        <is>
          <t>3165</t>
        </is>
      </c>
      <c r="D802" s="22" t="inlineStr">
        <is>
          <t>3165</t>
        </is>
      </c>
      <c r="E802" s="21" t="inlineStr">
        <is>
          <t>Фунгіцид Інфініто 1л (розлив) Bayer Байер Німеччина</t>
        </is>
      </c>
      <c r="F802" s="21" t="inlineStr">
        <is>
          <t>Лілія ЛА-гібридна Вермер 12\14</t>
        </is>
      </c>
      <c r="G802" s="23" t="n">
        <v>1998</v>
      </c>
      <c r="H802" s="23" t="n">
        <v>50</v>
      </c>
      <c r="I802" s="21" t="inlineStr">
        <is>
          <t>ID постачальника збігся, але назви різні</t>
        </is>
      </c>
    </row>
    <row r="803">
      <c r="A803" s="22" t="n">
        <v>40</v>
      </c>
      <c r="B803" s="22" t="inlineStr">
        <is>
          <t>Клуб Рослин</t>
        </is>
      </c>
      <c r="C803" s="22" t="inlineStr">
        <is>
          <t>2061</t>
        </is>
      </c>
      <c r="D803" s="22" t="inlineStr">
        <is>
          <t>2061</t>
        </is>
      </c>
      <c r="E803" s="21" t="inlineStr">
        <is>
          <t>Інсектицид Вантекс 1 л FMC ФМС США</t>
        </is>
      </c>
      <c r="F803" s="21" t="inlineStr">
        <is>
          <t>Гібіскус сірійський Перпл Раффлс ® C4 / H40-60</t>
        </is>
      </c>
      <c r="G803" s="23" t="n">
        <v>1398</v>
      </c>
      <c r="H803" s="23" t="n">
        <v>240</v>
      </c>
      <c r="I803" s="21" t="inlineStr">
        <is>
          <t>ID постачальника збігся, але назви різні</t>
        </is>
      </c>
    </row>
    <row r="804">
      <c r="A804" s="22" t="n">
        <v>39.6</v>
      </c>
      <c r="B804" s="22" t="inlineStr">
        <is>
          <t>Клуб Рослин</t>
        </is>
      </c>
      <c r="C804" s="22" t="inlineStr">
        <is>
          <t>2322</t>
        </is>
      </c>
      <c r="D804" s="22" t="inlineStr">
        <is>
          <t>2322</t>
        </is>
      </c>
      <c r="E804" s="21" t="inlineStr">
        <is>
          <t>Інсектоакарицид Імексаб Форте КЕ 5 л Імекс Агро Україна</t>
        </is>
      </c>
      <c r="F804" s="21" t="inlineStr">
        <is>
          <t>Гортензія волотиста Меджікал Рінг оф Фаєр ® PC19 C7,5</t>
        </is>
      </c>
      <c r="G804" s="23" t="n">
        <v>7965</v>
      </c>
      <c r="H804" s="23" t="n">
        <v>420</v>
      </c>
      <c r="I804" s="21" t="inlineStr">
        <is>
          <t>ID постачальника збігся, але назви різні</t>
        </is>
      </c>
    </row>
    <row r="805">
      <c r="A805" s="22" t="n">
        <v>39.6</v>
      </c>
      <c r="B805" s="22" t="inlineStr">
        <is>
          <t>Клуб Рослин</t>
        </is>
      </c>
      <c r="C805" s="22" t="inlineStr">
        <is>
          <t>7357</t>
        </is>
      </c>
      <c r="D805" s="22" t="inlineStr">
        <is>
          <t>7357</t>
        </is>
      </c>
      <c r="E805" s="21" t="inlineStr">
        <is>
          <t>Регулятор росту Гибб Плюс Gibb Plus 11 sl 1 л Польща</t>
        </is>
      </c>
      <c r="F805" s="21" t="inlineStr">
        <is>
          <t>Спірея японська Голден Прінцес PC21 C3 / H10-15</t>
        </is>
      </c>
      <c r="G805" s="23" t="n">
        <v>3700</v>
      </c>
      <c r="H805" s="23" t="n">
        <v>192</v>
      </c>
      <c r="I805" s="21" t="inlineStr">
        <is>
          <t>ID постачальника збігся, але назви різні</t>
        </is>
      </c>
    </row>
    <row r="806">
      <c r="A806" s="22" t="n">
        <v>39.6</v>
      </c>
      <c r="B806" s="22" t="inlineStr">
        <is>
          <t>Клуб Рослин</t>
        </is>
      </c>
      <c r="C806" s="22" t="inlineStr">
        <is>
          <t>2143</t>
        </is>
      </c>
      <c r="D806" s="22" t="inlineStr">
        <is>
          <t>2143</t>
        </is>
      </c>
      <c r="E806" s="21" t="inlineStr">
        <is>
          <t>Інсектицид Шерман 1.8% КЕ 1 л Ifagri Великобританія</t>
        </is>
      </c>
      <c r="F806" s="21" t="inlineStr">
        <is>
          <t>Гортензія великолисткова Меджікал Анук ® 1gr PC21 C5 / H15-20</t>
        </is>
      </c>
      <c r="G806" s="23" t="n">
        <v>2100</v>
      </c>
      <c r="H806" s="23" t="n">
        <v>720</v>
      </c>
      <c r="I806" s="21" t="inlineStr">
        <is>
          <t>ID постачальника збігся, але назви різні</t>
        </is>
      </c>
    </row>
    <row r="807">
      <c r="A807" s="22" t="n">
        <v>39.6</v>
      </c>
      <c r="B807" s="22" t="inlineStr">
        <is>
          <t>Клуб Рослин</t>
        </is>
      </c>
      <c r="C807" s="22" t="inlineStr">
        <is>
          <t>7180</t>
        </is>
      </c>
      <c r="D807" s="22" t="inlineStr">
        <is>
          <t>7180</t>
        </is>
      </c>
      <c r="E807" s="21" t="inlineStr">
        <is>
          <t>Добриво Нутрівант Плюс Городній 0-20-33+ME 1 кг Вітера ICL Ізраїль</t>
        </is>
      </c>
      <c r="F807" s="21" t="inlineStr">
        <is>
          <t>Троянда гібридний(а) (Імператріс Фарах DP PC18 C2</t>
        </is>
      </c>
      <c r="G807" s="23" t="n">
        <v>398</v>
      </c>
      <c r="H807" s="23" t="n">
        <v>84</v>
      </c>
      <c r="I807" s="21" t="inlineStr">
        <is>
          <t>ID постачальника збігся, але різні бренди</t>
        </is>
      </c>
    </row>
    <row r="808">
      <c r="A808" s="22" t="n">
        <v>39.3</v>
      </c>
      <c r="B808" s="22" t="inlineStr">
        <is>
          <t>Клуб Рослин</t>
        </is>
      </c>
      <c r="C808" s="22" t="inlineStr">
        <is>
          <t>1175</t>
        </is>
      </c>
      <c r="D808" s="22" t="inlineStr">
        <is>
          <t>1175</t>
        </is>
      </c>
      <c r="E808" s="21" t="inlineStr">
        <is>
          <t>Гербіцид Мастак 100 мл Ukravit Укравіт Україна</t>
        </is>
      </c>
      <c r="F808" s="21" t="inlineStr">
        <is>
          <t>Кампсіс укорінливий Індіан Саммер Мультиштамб C65 / H140-160 / Pa*multi</t>
        </is>
      </c>
      <c r="G808" s="23" t="n">
        <v>175</v>
      </c>
      <c r="H808" s="23" t="n">
        <v>4968</v>
      </c>
      <c r="I808" s="21" t="inlineStr">
        <is>
          <t>ID постачальника збігся, але різні бренди</t>
        </is>
      </c>
    </row>
    <row r="809">
      <c r="A809" s="22" t="n">
        <v>39.2</v>
      </c>
      <c r="B809" s="22" t="inlineStr">
        <is>
          <t>Клуб Рослин</t>
        </is>
      </c>
      <c r="C809" s="22" t="inlineStr">
        <is>
          <t>2008</t>
        </is>
      </c>
      <c r="D809" s="22" t="inlineStr">
        <is>
          <t>2008</t>
        </is>
      </c>
      <c r="E809" s="21" t="inlineStr">
        <is>
          <t>Інсектицид Пірінекс Супер 5 л Adama Адама Ізраїль</t>
        </is>
      </c>
      <c r="F809" s="21" t="inlineStr">
        <is>
          <t>Гібіскус сірійський Дук де Брабант PC14 C5 / H30-40</t>
        </is>
      </c>
      <c r="G809" s="23" t="n">
        <v>3198</v>
      </c>
      <c r="H809" s="23" t="n">
        <v>150</v>
      </c>
      <c r="I809" s="21" t="inlineStr">
        <is>
          <t>ID постачальника збігся, але назви різні</t>
        </is>
      </c>
    </row>
    <row r="810">
      <c r="A810" s="22" t="n">
        <v>39.2</v>
      </c>
      <c r="B810" s="22" t="inlineStr">
        <is>
          <t>Клуб Рослин</t>
        </is>
      </c>
      <c r="C810" s="22" t="inlineStr">
        <is>
          <t>c3e397f7-ec05-11ee-bf8e-c87f546feb15</t>
        </is>
      </c>
      <c r="D810" s="22" t="inlineStr">
        <is>
          <t>14972</t>
        </is>
      </c>
      <c r="E810" s="21" t="inlineStr">
        <is>
          <t>Фунгіцид Кевлар (Карбендазим, 500 г/л) 1 л Нопосон</t>
        </is>
      </c>
      <c r="F810" s="21" t="inlineStr">
        <is>
          <t>Гербіцид Ураган Форте 500 (калійна сіль гліфосату, 500 г/л) SL в.р.к. 100 мл, Syngenta</t>
        </is>
      </c>
      <c r="G810" s="23" t="n">
        <v>442</v>
      </c>
      <c r="H810" s="23" t="n">
        <v>135</v>
      </c>
      <c r="I810" s="21" t="inlineStr">
        <is>
          <t>код збігся, але різні об'єми або розміри</t>
        </is>
      </c>
    </row>
    <row r="811">
      <c r="A811" s="22" t="n">
        <v>39.1</v>
      </c>
      <c r="B811" s="22" t="inlineStr">
        <is>
          <t>Клуб Рослин</t>
        </is>
      </c>
      <c r="C811" s="22" t="inlineStr">
        <is>
          <t>1267</t>
        </is>
      </c>
      <c r="D811" s="22" t="inlineStr">
        <is>
          <t>1267</t>
        </is>
      </c>
      <c r="E811" s="21" t="inlineStr">
        <is>
          <t>Гербіцид Раундап Екстра 20 л Bayer / Байєр Німеччина</t>
        </is>
      </c>
      <c r="F811" s="21" t="inlineStr">
        <is>
          <t>Кедр гімалайський Філін Блю Штамб C10 / Pa40</t>
        </is>
      </c>
      <c r="G811" s="23" t="n">
        <v>7398</v>
      </c>
      <c r="H811" s="23" t="n">
        <v>1565</v>
      </c>
      <c r="I811" s="21" t="inlineStr">
        <is>
          <t>ID постачальника збігся, але назви різні</t>
        </is>
      </c>
    </row>
    <row r="812">
      <c r="A812" s="22" t="n">
        <v>39.1</v>
      </c>
      <c r="B812" s="22" t="inlineStr">
        <is>
          <t>Клуб Рослин</t>
        </is>
      </c>
      <c r="C812" s="22" t="inlineStr">
        <is>
          <t>8153</t>
        </is>
      </c>
      <c r="D812" s="22" t="inlineStr">
        <is>
          <t>8153</t>
        </is>
      </c>
      <c r="E812" s="21" t="inlineStr">
        <is>
          <t>Регулятор росту НеоВіво / NeoVivo 5 л Neova Фінляндія</t>
        </is>
      </c>
      <c r="F812" s="21" t="inlineStr">
        <is>
          <t>Виноград культурний Віктор (столовий) NN GK</t>
        </is>
      </c>
      <c r="G812" s="23" t="n">
        <v>3626</v>
      </c>
      <c r="H812" s="23" t="n">
        <v>100</v>
      </c>
      <c r="I812" s="21" t="inlineStr">
        <is>
          <t>ID постачальника збігся, але різні бренди</t>
        </is>
      </c>
    </row>
    <row r="813">
      <c r="A813" s="22" t="n">
        <v>39</v>
      </c>
      <c r="B813" s="22" t="inlineStr">
        <is>
          <t>Водоспад</t>
        </is>
      </c>
      <c r="C813" s="22" t="inlineStr">
        <is>
          <t>71-821</t>
        </is>
      </c>
      <c r="D813" s="22" t="inlineStr">
        <is>
          <t>42228</t>
        </is>
      </c>
      <c r="E813" s="21" t="inlineStr">
        <is>
          <t>Кущоріз 510 мм Верано / Verano (71-821)</t>
        </is>
      </c>
      <c r="F813" s="21" t="inlineStr">
        <is>
          <t>Змінне полотно для Silky Gomboy Curve 210-8 (718-21)</t>
        </is>
      </c>
      <c r="G813" s="23" t="n">
        <v>725</v>
      </c>
      <c r="H813" s="23" t="n">
        <v>1350</v>
      </c>
      <c r="I813" s="21" t="inlineStr">
        <is>
          <t>код збігся, але різні бренди</t>
        </is>
      </c>
    </row>
    <row r="814">
      <c r="A814" s="22" t="n">
        <v>39</v>
      </c>
      <c r="B814" s="22" t="inlineStr">
        <is>
          <t>Клуб Рослин</t>
        </is>
      </c>
      <c r="C814" s="22" t="inlineStr">
        <is>
          <t>15-900</t>
        </is>
      </c>
      <c r="D814" s="22" t="inlineStr">
        <is>
          <t>15900</t>
        </is>
      </c>
      <c r="E814" s="21" t="inlineStr">
        <is>
          <t>Парник складаний 95х69х49 см ПВХ плівка 2 полиці Neo Tools (15-900)</t>
        </is>
      </c>
      <c r="F814" s="21" t="inlineStr">
        <is>
          <t>Хомут для підв'язки рослин Agrario TT-3 17 см 50 шт (Аграріо TT-3)</t>
        </is>
      </c>
      <c r="G814" s="23" t="n">
        <v>1421</v>
      </c>
      <c r="H814" s="23" t="n">
        <v>47</v>
      </c>
      <c r="I814" s="21" t="inlineStr">
        <is>
          <t>ID постачальника збігся, але різні об'єми або розміри</t>
        </is>
      </c>
    </row>
    <row r="815">
      <c r="A815" s="22" t="n">
        <v>38.9</v>
      </c>
      <c r="B815" s="22" t="inlineStr">
        <is>
          <t>Клуб Рослин</t>
        </is>
      </c>
      <c r="C815" s="22" t="inlineStr">
        <is>
          <t>8106</t>
        </is>
      </c>
      <c r="D815" s="22" t="inlineStr">
        <is>
          <t>8106</t>
        </is>
      </c>
      <c r="E815" s="21" t="inlineStr">
        <is>
          <t>Добриво Агрекол / Agrecol для газонів 0-10-25 10 кг Польща</t>
        </is>
      </c>
      <c r="F815" s="21" t="inlineStr">
        <is>
          <t>Чорниця висока (Голубика, Лохина) Чендлер PC20 C45 / H90-100</t>
        </is>
      </c>
      <c r="G815" s="23" t="n">
        <v>2019</v>
      </c>
      <c r="H815" s="23" t="n">
        <v>1440</v>
      </c>
      <c r="I815" s="21" t="inlineStr">
        <is>
          <t>ID постачальника збігся, але назви різні</t>
        </is>
      </c>
    </row>
    <row r="816">
      <c r="A816" s="22" t="n">
        <v>38.8</v>
      </c>
      <c r="B816" s="22" t="inlineStr">
        <is>
          <t>Клуб Рослин</t>
        </is>
      </c>
      <c r="C816" s="22" t="inlineStr">
        <is>
          <t>3099</t>
        </is>
      </c>
      <c r="D816" s="22" t="inlineStr">
        <is>
          <t>3099</t>
        </is>
      </c>
      <c r="E816" s="21" t="inlineStr">
        <is>
          <t>Фунгіцид Топсін-М 500 КС 1 л SumiAgro Сумі Агро Японія</t>
        </is>
      </c>
      <c r="F816" s="21" t="inlineStr">
        <is>
          <t>Модрина японська Стів Віпер Штамб C10 / L40-60 / Pa180</t>
        </is>
      </c>
      <c r="G816" s="23" t="n">
        <v>775</v>
      </c>
      <c r="H816" s="23" t="n">
        <v>1800</v>
      </c>
      <c r="I816" s="21" t="inlineStr">
        <is>
          <t>ID постачальника збігся, але назви різні</t>
        </is>
      </c>
    </row>
    <row r="817">
      <c r="A817" s="22" t="n">
        <v>38.6</v>
      </c>
      <c r="B817" s="22" t="inlineStr">
        <is>
          <t>Водоспад</t>
        </is>
      </c>
      <c r="C817" s="22" t="inlineStr">
        <is>
          <t>71-827</t>
        </is>
      </c>
      <c r="D817" s="22" t="inlineStr">
        <is>
          <t>42230</t>
        </is>
      </c>
      <c r="E817" s="21" t="inlineStr">
        <is>
          <t>Ножиці садові 160 мм Верано / Verano (71-827)</t>
        </is>
      </c>
      <c r="F817" s="21" t="inlineStr">
        <is>
          <t>Змінне полотно для Silky Gomboy Curve 270-8 (718-27)</t>
        </is>
      </c>
      <c r="G817" s="23" t="n">
        <v>275</v>
      </c>
      <c r="H817" s="23" t="n">
        <v>1590</v>
      </c>
      <c r="I817" s="21" t="inlineStr">
        <is>
          <t>код збігся, але різні бренди</t>
        </is>
      </c>
    </row>
    <row r="818">
      <c r="A818" s="22" t="n">
        <v>38.6</v>
      </c>
      <c r="B818" s="22" t="inlineStr">
        <is>
          <t>Клуб Рослин</t>
        </is>
      </c>
      <c r="C818" s="22" t="inlineStr">
        <is>
          <t>7783</t>
        </is>
      </c>
      <c r="D818" s="22" t="inlineStr">
        <is>
          <t>7783</t>
        </is>
      </c>
      <c r="E818" s="21" t="inlineStr">
        <is>
          <t>Добриво Ікар Зінто (Цинк) / Ikar Zinto 5 л Литва</t>
        </is>
      </c>
      <c r="F818" s="21" t="inlineStr">
        <is>
          <t>Туя західна (ий) Мр Боулінг Бол K G / H50-60</t>
        </is>
      </c>
      <c r="G818" s="23" t="n">
        <v>2724</v>
      </c>
      <c r="H818" s="23" t="n">
        <v>360</v>
      </c>
      <c r="I818" s="21" t="inlineStr">
        <is>
          <t>ID постачальника збігся, але назви різні</t>
        </is>
      </c>
    </row>
    <row r="819">
      <c r="A819" s="22" t="n">
        <v>38.6</v>
      </c>
      <c r="B819" s="22" t="inlineStr">
        <is>
          <t>Клуб Рослин</t>
        </is>
      </c>
      <c r="C819" s="22" t="inlineStr">
        <is>
          <t>2300</t>
        </is>
      </c>
      <c r="D819" s="22" t="inlineStr">
        <is>
          <t>2300</t>
        </is>
      </c>
      <c r="E819" s="21" t="inlineStr">
        <is>
          <t>Інсектицид Шаман 5 л Нертус Угорщина</t>
        </is>
      </c>
      <c r="F819" s="21" t="inlineStr">
        <is>
          <t>Гортензія волотиста Меджікал Маттерхорн PC20 C3</t>
        </is>
      </c>
      <c r="G819" s="23" t="n">
        <v>1958</v>
      </c>
      <c r="H819" s="23" t="n">
        <v>240</v>
      </c>
      <c r="I819" s="21" t="inlineStr">
        <is>
          <t>ID постачальника збігся, але назви різні</t>
        </is>
      </c>
    </row>
    <row r="820">
      <c r="A820" s="22" t="n">
        <v>38.6</v>
      </c>
      <c r="B820" s="22" t="inlineStr">
        <is>
          <t>Клуб Рослин</t>
        </is>
      </c>
      <c r="C820" s="22" t="inlineStr">
        <is>
          <t>2024</t>
        </is>
      </c>
      <c r="D820" s="22" t="inlineStr">
        <is>
          <t>2024</t>
        </is>
      </c>
      <c r="E820" s="21" t="inlineStr">
        <is>
          <t>Біоінсектицид Сезар 1 л Агро Захист Україна</t>
        </is>
      </c>
      <c r="F820" s="21" t="inlineStr">
        <is>
          <t>Гібіскус сірійський Френч кабарет Ред PC18 C3</t>
        </is>
      </c>
      <c r="G820" s="23" t="n">
        <v>625</v>
      </c>
      <c r="H820" s="23" t="n">
        <v>180</v>
      </c>
      <c r="I820" s="21" t="inlineStr">
        <is>
          <t>ID постачальника збігся, але назви різні</t>
        </is>
      </c>
    </row>
    <row r="821">
      <c r="A821" s="22" t="n">
        <v>38.6</v>
      </c>
      <c r="B821" s="22" t="inlineStr">
        <is>
          <t>Клуб Рослин</t>
        </is>
      </c>
      <c r="C821" s="22" t="inlineStr">
        <is>
          <t>12106</t>
        </is>
      </c>
      <c r="D821" s="22" t="inlineStr">
        <is>
          <t>12106</t>
        </is>
      </c>
      <c r="E821" s="21" t="inlineStr">
        <is>
          <t>Секатор Dual Kut 2 в 1 з храповим механізмом Winslow &amp; Ross (12106) США</t>
        </is>
      </c>
      <c r="F821" s="21" t="inlineStr">
        <is>
          <t>Сітка NOWO діаметр 50 см упаковка 50 шт, дріт 1,0 мм</t>
        </is>
      </c>
      <c r="G821" s="23" t="n">
        <v>398</v>
      </c>
      <c r="H821" s="23" t="n">
        <v>1400</v>
      </c>
      <c r="I821" s="21" t="inlineStr">
        <is>
          <t>ID постачальника збігся, але різні бренди</t>
        </is>
      </c>
    </row>
    <row r="822">
      <c r="A822" s="22" t="n">
        <v>38.5</v>
      </c>
      <c r="B822" s="22" t="inlineStr">
        <is>
          <t>Клуб Рослин</t>
        </is>
      </c>
      <c r="C822" s="22" t="inlineStr">
        <is>
          <t>9004</t>
        </is>
      </c>
      <c r="D822" s="22" t="inlineStr">
        <is>
          <t>9004</t>
        </is>
      </c>
      <c r="E822" s="21" t="inlineStr">
        <is>
          <t>Прилипач ад'ювант Скаба КЕ 5 л Sumi Agro / Сумі Агро Японія</t>
        </is>
      </c>
      <c r="F822" s="21" t="inlineStr">
        <is>
          <t>Декоративний паркан Eko-Palisada 17 см, 1 м (графіт)</t>
        </is>
      </c>
      <c r="G822" s="23" t="n">
        <v>7998</v>
      </c>
      <c r="H822" s="23" t="n">
        <v>220</v>
      </c>
      <c r="I822" s="21" t="inlineStr">
        <is>
          <t>ID постачальника збігся, але різні об'єми або розміри</t>
        </is>
      </c>
    </row>
    <row r="823">
      <c r="A823" s="22" t="n">
        <v>38.5</v>
      </c>
      <c r="B823" s="22" t="inlineStr">
        <is>
          <t>Клуб Рослин</t>
        </is>
      </c>
      <c r="C823" s="22" t="inlineStr">
        <is>
          <t>8103</t>
        </is>
      </c>
      <c r="D823" s="22" t="inlineStr">
        <is>
          <t>8103</t>
        </is>
      </c>
      <c r="E823" s="21" t="inlineStr">
        <is>
          <t>Добриво Агрекол / Agrecol для газонів 0-10-25 1.2 кг Польща</t>
        </is>
      </c>
      <c r="F823" s="21" t="inlineStr">
        <is>
          <t>Чорниця висока (Голубика, Лохина) Чендлер PC20 C25 / H80-100</t>
        </is>
      </c>
      <c r="G823" s="23" t="n">
        <v>352</v>
      </c>
      <c r="H823" s="23" t="n">
        <v>1200</v>
      </c>
      <c r="I823" s="21" t="inlineStr">
        <is>
          <t>ID постачальника збігся, але назви різні</t>
        </is>
      </c>
    </row>
    <row r="824">
      <c r="A824" s="22" t="n">
        <v>38.4</v>
      </c>
      <c r="B824" s="22" t="inlineStr">
        <is>
          <t>Клуб Рослин</t>
        </is>
      </c>
      <c r="C824" s="22" t="inlineStr">
        <is>
          <t>3377</t>
        </is>
      </c>
      <c r="D824" s="22" t="inlineStr">
        <is>
          <t>3377</t>
        </is>
      </c>
      <c r="E824" s="21" t="inlineStr">
        <is>
          <t>Фунгіцид Фіделіс 1 л Нертус Угорщина</t>
        </is>
      </c>
      <c r="F824" s="21" t="inlineStr">
        <is>
          <t>Магнолія гібридний(а) Джині ® C10 / H80-100</t>
        </is>
      </c>
      <c r="G824" s="23" t="n">
        <v>749</v>
      </c>
      <c r="H824" s="23" t="n">
        <v>2.16</v>
      </c>
      <c r="I824" s="21" t="inlineStr">
        <is>
          <t>ID постачальника збігся, але назви різні</t>
        </is>
      </c>
    </row>
    <row r="825">
      <c r="A825" s="22" t="n">
        <v>38.2</v>
      </c>
      <c r="B825" s="22" t="inlineStr">
        <is>
          <t>Клуб Рослин</t>
        </is>
      </c>
      <c r="C825" s="22" t="inlineStr">
        <is>
          <t>3131</t>
        </is>
      </c>
      <c r="D825" s="22" t="inlineStr">
        <is>
          <t>3131</t>
        </is>
      </c>
      <c r="E825" s="21" t="inlineStr">
        <is>
          <t>Фунгіцид Мелоді Дуо 5 кг Bayer Байєр Німеччина</t>
        </is>
      </c>
      <c r="F825" s="21" t="inlineStr">
        <is>
          <t>Бірючина круглолиста Ауреум PC14 C7,5 / H40-50</t>
        </is>
      </c>
      <c r="G825" s="23" t="n">
        <v>2500</v>
      </c>
      <c r="H825" s="23" t="n">
        <v>155</v>
      </c>
      <c r="I825" s="21" t="inlineStr">
        <is>
          <t>ID постачальника збігся, але назви різні</t>
        </is>
      </c>
    </row>
    <row r="826">
      <c r="A826" s="22" t="n">
        <v>38.2</v>
      </c>
      <c r="B826" s="22" t="inlineStr">
        <is>
          <t>Клуб Рослин</t>
        </is>
      </c>
      <c r="C826" s="22" t="inlineStr">
        <is>
          <t>3062</t>
        </is>
      </c>
      <c r="D826" s="22" t="inlineStr">
        <is>
          <t>3062</t>
        </is>
      </c>
      <c r="E826" s="21" t="inlineStr">
        <is>
          <t>Фунгіцид Стробі 200 г Basf Басф Німеччина</t>
        </is>
      </c>
      <c r="F826" s="21" t="inlineStr">
        <is>
          <t>Ялівець середній Пфітзеріана Бонсай C110 / H100-120</t>
        </is>
      </c>
      <c r="G826" s="23" t="n">
        <v>1148</v>
      </c>
      <c r="H826" s="23" t="n">
        <v>16560</v>
      </c>
      <c r="I826" s="21" t="inlineStr">
        <is>
          <t>ID постачальника збігся, але назви різні</t>
        </is>
      </c>
    </row>
    <row r="827">
      <c r="A827" s="22" t="n">
        <v>38.1</v>
      </c>
      <c r="B827" s="22" t="inlineStr">
        <is>
          <t>Клуб Рослин</t>
        </is>
      </c>
      <c r="C827" s="22" t="inlineStr">
        <is>
          <t>3682</t>
        </is>
      </c>
      <c r="D827" s="22" t="inlineStr">
        <is>
          <t>3682</t>
        </is>
      </c>
      <c r="E827" s="21" t="inlineStr">
        <is>
          <t>Фунгіцид Рекс Дуо 10 л Basf Басф Німеччина</t>
        </is>
      </c>
      <c r="F827" s="21" t="inlineStr">
        <is>
          <t>Нарцис Айс Кінг 14\16</t>
        </is>
      </c>
      <c r="G827" s="23" t="n">
        <v>12220</v>
      </c>
      <c r="H827" s="23" t="n">
        <v>20</v>
      </c>
      <c r="I827" s="21" t="inlineStr">
        <is>
          <t>ID постачальника збігся, але назви різні</t>
        </is>
      </c>
    </row>
    <row r="828">
      <c r="A828" s="22" t="n">
        <v>38.1</v>
      </c>
      <c r="B828" s="22" t="inlineStr">
        <is>
          <t>Клуб Рослин</t>
        </is>
      </c>
      <c r="C828" s="22" t="inlineStr">
        <is>
          <t>5058</t>
        </is>
      </c>
      <c r="D828" s="22" t="inlineStr">
        <is>
          <t>5058</t>
        </is>
      </c>
      <c r="E828" s="21" t="inlineStr">
        <is>
          <t>Протруйник Максим 025 FS 500 мл (Розлив) Syngenta Сингента Швейцарія</t>
        </is>
      </c>
      <c r="F828" s="21" t="inlineStr">
        <is>
          <t>Сосна корейська Шібамічі K20 C80 / H80-100</t>
        </is>
      </c>
      <c r="G828" s="23" t="n">
        <v>748</v>
      </c>
      <c r="H828" s="23" t="n">
        <v>2250</v>
      </c>
      <c r="I828" s="21" t="inlineStr">
        <is>
          <t>ID постачальника збігся, але назви різні</t>
        </is>
      </c>
    </row>
    <row r="829">
      <c r="A829" s="22" t="n">
        <v>38</v>
      </c>
      <c r="B829" s="22" t="inlineStr">
        <is>
          <t>Водоспад</t>
        </is>
      </c>
      <c r="C829" s="22" t="inlineStr">
        <is>
          <t>42-206</t>
        </is>
      </c>
      <c r="D829" s="22" t="inlineStr">
        <is>
          <t>42206</t>
        </is>
      </c>
      <c r="E829" s="21" t="inlineStr">
        <is>
          <t>Плодознімач телескопічний 165-305 см Cellfast IDEAL (42-206) Польща</t>
        </is>
      </c>
      <c r="F829" s="21" t="inlineStr">
        <is>
          <t>Совок садовий для пересадки, ширина 6 см Bellota, арт.3000.B</t>
        </is>
      </c>
      <c r="G829" s="23" t="n">
        <v>1998</v>
      </c>
      <c r="H829" s="23" t="n">
        <v>459</v>
      </c>
      <c r="I829" s="21" t="inlineStr">
        <is>
          <t>ID постачальника збігся, але різні об'єми або розміри</t>
        </is>
      </c>
    </row>
    <row r="830">
      <c r="A830" s="22" t="n">
        <v>38</v>
      </c>
      <c r="B830" s="22" t="inlineStr">
        <is>
          <t>Водоспад</t>
        </is>
      </c>
      <c r="C830" s="22" t="inlineStr">
        <is>
          <t>71-824</t>
        </is>
      </c>
      <c r="D830" s="22" t="inlineStr">
        <is>
          <t>42229</t>
        </is>
      </c>
      <c r="E830" s="21" t="inlineStr">
        <is>
          <t>Кущоріз Верано / Verano телескопічний 660 – 900 мм (71-824)</t>
        </is>
      </c>
      <c r="F830" s="21" t="inlineStr">
        <is>
          <t>Змінне полотно для Silky Gomboy Curve 240-8 (718-24)</t>
        </is>
      </c>
      <c r="G830" s="23" t="n">
        <v>925</v>
      </c>
      <c r="H830" s="23" t="n">
        <v>1890</v>
      </c>
      <c r="I830" s="21" t="inlineStr">
        <is>
          <t>код збігся, але різні бренди</t>
        </is>
      </c>
    </row>
    <row r="831">
      <c r="A831" s="22" t="n">
        <v>38</v>
      </c>
      <c r="B831" s="22" t="inlineStr">
        <is>
          <t>Клуб Рослин</t>
        </is>
      </c>
      <c r="C831" s="22" t="inlineStr">
        <is>
          <t>233-3</t>
        </is>
      </c>
      <c r="D831" s="22" t="inlineStr">
        <is>
          <t>2333</t>
        </is>
      </c>
      <c r="E831" s="21" t="inlineStr">
        <is>
          <t>Гілкоріз висотний з пилою макс 20 мм (233-3) My Garden</t>
        </is>
      </c>
      <c r="F831" s="21" t="inlineStr">
        <is>
          <t>Гортензія волотиста Меджікел Везувіо PC21 C20 / H80</t>
        </is>
      </c>
      <c r="G831" s="23" t="n">
        <v>600</v>
      </c>
      <c r="H831" s="23" t="n">
        <v>492</v>
      </c>
      <c r="I831" s="21" t="inlineStr">
        <is>
          <t>ID постачальника збігся, але назви різні</t>
        </is>
      </c>
    </row>
    <row r="832">
      <c r="A832" s="22" t="n">
        <v>38</v>
      </c>
      <c r="B832" s="22" t="inlineStr">
        <is>
          <t>Клуб Рослин</t>
        </is>
      </c>
      <c r="C832" s="22" t="inlineStr">
        <is>
          <t>9003</t>
        </is>
      </c>
      <c r="D832" s="22" t="inlineStr">
        <is>
          <t>9003</t>
        </is>
      </c>
      <c r="E832" s="21" t="inlineStr">
        <is>
          <t>Прилипач Альфалип 1 л Alfa Smart Agro / Альфа Смарт Агро Україна</t>
        </is>
      </c>
      <c r="F832" s="21" t="inlineStr">
        <is>
          <t>Декоративна мармурова крихта Moon Stone Red, фр. 5-10мм, 10кг</t>
        </is>
      </c>
      <c r="G832" s="23" t="n">
        <v>100</v>
      </c>
      <c r="H832" s="23" t="n">
        <v>145.19</v>
      </c>
      <c r="I832" s="21" t="inlineStr">
        <is>
          <t>ID постачальника збігся, але різні об'єми або розміри</t>
        </is>
      </c>
    </row>
    <row r="833">
      <c r="A833" s="22" t="n">
        <v>38</v>
      </c>
      <c r="B833" s="22" t="inlineStr">
        <is>
          <t>Клуб Рослин</t>
        </is>
      </c>
      <c r="C833" s="22" t="inlineStr">
        <is>
          <t>1068</t>
        </is>
      </c>
      <c r="D833" s="22" t="inlineStr">
        <is>
          <t>1068</t>
        </is>
      </c>
      <c r="E833" s="21" t="inlineStr">
        <is>
          <t>Гербіцид Тарга Макс КЕ 500 мл Sumi Agro Сумі Агро Японія</t>
        </is>
      </c>
      <c r="F833" s="21" t="inlineStr">
        <is>
          <t>Береза плакуча (ий) Янгіі Штамб C15 / o8-12 / Pa180</t>
        </is>
      </c>
      <c r="G833" s="23" t="n"/>
      <c r="H833" s="23" t="n">
        <v>5400</v>
      </c>
      <c r="I833" s="21" t="inlineStr">
        <is>
          <t>ID постачальника збігся, але назви різні</t>
        </is>
      </c>
    </row>
    <row r="834">
      <c r="A834" s="22" t="n">
        <v>37.8</v>
      </c>
      <c r="B834" s="22" t="inlineStr">
        <is>
          <t>Клуб Рослин</t>
        </is>
      </c>
      <c r="C834" s="22" t="inlineStr">
        <is>
          <t>b3a618b6-a8d0-11f0-81aa-e89c257d8b8f</t>
        </is>
      </c>
      <c r="D834" s="22" t="inlineStr">
        <is>
          <t>2295</t>
        </is>
      </c>
      <c r="E834" s="21" t="inlineStr">
        <is>
          <t>Інсектицид Тіаклотрин-М 5 л АХТ Україна</t>
        </is>
      </c>
      <c r="F834" s="21" t="inlineStr">
        <is>
          <t>Гортензія волотиста Меджікал Кіліманджаро PC20 C7,5</t>
        </is>
      </c>
      <c r="G834" s="23" t="n">
        <v>3448</v>
      </c>
      <c r="H834" s="23" t="n">
        <v>580</v>
      </c>
      <c r="I834" s="21" t="inlineStr">
        <is>
          <t>ID постачальника збігся, але назви різні</t>
        </is>
      </c>
    </row>
    <row r="835">
      <c r="A835" s="22" t="n">
        <v>37.8</v>
      </c>
      <c r="B835" s="22" t="inlineStr">
        <is>
          <t>Клуб Рослин</t>
        </is>
      </c>
      <c r="C835" s="22" t="inlineStr">
        <is>
          <t>3160</t>
        </is>
      </c>
      <c r="D835" s="22" t="inlineStr">
        <is>
          <t>3160</t>
        </is>
      </c>
      <c r="E835" s="21" t="inlineStr">
        <is>
          <t>Фунгіцид Скоразол 1 л Нертус Угорщина</t>
        </is>
      </c>
      <c r="F835" s="21" t="inlineStr">
        <is>
          <t>Лілія ЛА-гібридна Голден Тікуун 12\14</t>
        </is>
      </c>
      <c r="G835" s="23" t="n">
        <v>1784</v>
      </c>
      <c r="H835" s="23" t="n">
        <v>50</v>
      </c>
      <c r="I835" s="21" t="inlineStr">
        <is>
          <t>ID постачальника збігся, але назви різні</t>
        </is>
      </c>
    </row>
    <row r="836">
      <c r="A836" s="22" t="n">
        <v>37.8</v>
      </c>
      <c r="B836" s="22" t="inlineStr">
        <is>
          <t>Клуб Рослин</t>
        </is>
      </c>
      <c r="C836" s="22" t="inlineStr">
        <is>
          <t>12108</t>
        </is>
      </c>
      <c r="D836" s="22" t="inlineStr">
        <is>
          <t>12108</t>
        </is>
      </c>
      <c r="E836" s="21" t="inlineStr">
        <is>
          <t>Секатор обвідний Winslow &amp; Ross (12108) США</t>
        </is>
      </c>
      <c r="F836" s="21" t="inlineStr">
        <is>
          <t>Сітка NOWO діаметр 65 см упаковка 25 шт, дріт 1,2 мм</t>
        </is>
      </c>
      <c r="G836" s="23" t="n">
        <v>375</v>
      </c>
      <c r="H836" s="23" t="n">
        <v>1200</v>
      </c>
      <c r="I836" s="21" t="inlineStr">
        <is>
          <t>ID постачальника збігся, але різні бренди</t>
        </is>
      </c>
    </row>
    <row r="837">
      <c r="A837" s="22" t="n">
        <v>37.7</v>
      </c>
      <c r="B837" s="22" t="inlineStr">
        <is>
          <t>Клуб Рослин</t>
        </is>
      </c>
      <c r="C837" s="22" t="inlineStr">
        <is>
          <t>3067</t>
        </is>
      </c>
      <c r="D837" s="22" t="inlineStr">
        <is>
          <t>3067</t>
        </is>
      </c>
      <c r="E837" s="21" t="inlineStr">
        <is>
          <t>Фунгіцид Натіво 500 г (розсип) Bayer Байєр Німеччина</t>
        </is>
      </c>
      <c r="F837" s="21" t="inlineStr">
        <is>
          <t>Ялівець середній Пфітзеріана Компакта Бонсай C65 / H140-160</t>
        </is>
      </c>
      <c r="G837" s="23" t="n">
        <v>2025</v>
      </c>
      <c r="H837" s="23" t="n">
        <v>21603</v>
      </c>
      <c r="I837" s="21" t="inlineStr">
        <is>
          <t>ID постачальника збігся, але назви різні</t>
        </is>
      </c>
    </row>
    <row r="838">
      <c r="A838" s="22" t="n">
        <v>37.5</v>
      </c>
      <c r="B838" s="22" t="inlineStr">
        <is>
          <t>Клуб Рослин</t>
        </is>
      </c>
      <c r="C838" s="22" t="inlineStr">
        <is>
          <t>1004</t>
        </is>
      </c>
      <c r="D838" s="22" t="inlineStr">
        <is>
          <t>1004</t>
        </is>
      </c>
      <c r="E838" s="21" t="inlineStr">
        <is>
          <t>Гербіцид Тотал К 1 л Хімагромаркетинг Україна</t>
        </is>
      </c>
      <c r="F838" s="21" t="inlineStr">
        <is>
          <t>Барбарис Тунберга Роуз Глоу PC18 C3</t>
        </is>
      </c>
      <c r="G838" s="23" t="n">
        <v>348</v>
      </c>
      <c r="H838" s="23" t="n">
        <v>144</v>
      </c>
      <c r="I838" s="21" t="inlineStr">
        <is>
          <t>ID постачальника збігся, але назви різні</t>
        </is>
      </c>
    </row>
    <row r="839">
      <c r="A839" s="22" t="n">
        <v>37.4</v>
      </c>
      <c r="B839" s="22" t="inlineStr">
        <is>
          <t>Водоспад</t>
        </is>
      </c>
      <c r="C839" s="22" t="inlineStr">
        <is>
          <t>40-202</t>
        </is>
      </c>
      <c r="D839" s="22" t="inlineStr">
        <is>
          <t>40202</t>
        </is>
      </c>
      <c r="E839" s="21" t="inlineStr">
        <is>
          <t>Лопата штикова Целлфаст / Cellfast IDEAL LINE 116 см 1.8 кг (40-202) Польща</t>
        </is>
      </c>
      <c r="F839" s="21" t="inlineStr">
        <is>
          <t>Свердло по металу Bosch HSS PointTeQ 11 мм (2608577175)</t>
        </is>
      </c>
      <c r="G839" s="23" t="n">
        <v>795</v>
      </c>
      <c r="H839" s="23" t="n">
        <v>172</v>
      </c>
      <c r="I839" s="21" t="inlineStr">
        <is>
          <t>ID постачальника збігся, але різні об'єми або розміри</t>
        </is>
      </c>
    </row>
    <row r="840">
      <c r="A840" s="22" t="n">
        <v>37.4</v>
      </c>
      <c r="B840" s="22" t="inlineStr">
        <is>
          <t>Клуб Рослин</t>
        </is>
      </c>
      <c r="C840" s="22" t="inlineStr">
        <is>
          <t>1008</t>
        </is>
      </c>
      <c r="D840" s="22" t="inlineStr">
        <is>
          <t>1008</t>
        </is>
      </c>
      <c r="E840" s="21" t="inlineStr">
        <is>
          <t>Гербіцид Десикант Баста 10 л Bayer Байєр Німеччина</t>
        </is>
      </c>
      <c r="F840" s="21" t="inlineStr">
        <is>
          <t>Барбарис Тунберга Роуз Глоу PC22 C5 / H35-40</t>
        </is>
      </c>
      <c r="G840" s="23" t="n">
        <v>8320</v>
      </c>
      <c r="H840" s="23" t="n">
        <v>276</v>
      </c>
      <c r="I840" s="21" t="inlineStr">
        <is>
          <t>ID постачальника збігся, але назви різні</t>
        </is>
      </c>
    </row>
    <row r="841">
      <c r="A841" s="22" t="n">
        <v>37.4</v>
      </c>
      <c r="B841" s="22" t="inlineStr">
        <is>
          <t>Клуб Рослин</t>
        </is>
      </c>
      <c r="C841" s="22" t="inlineStr">
        <is>
          <t>8104</t>
        </is>
      </c>
      <c r="D841" s="22" t="inlineStr">
        <is>
          <t>8104</t>
        </is>
      </c>
      <c r="E841" s="21" t="inlineStr">
        <is>
          <t>Добриво Агрекол / Agrecol для газонів 0-10-25 20 кг Польща</t>
        </is>
      </c>
      <c r="F841" s="21" t="inlineStr">
        <is>
          <t>Чорниця висока (Голубика, Лохина) Чендлер PC20 C30 / H60-80</t>
        </is>
      </c>
      <c r="G841" s="23" t="n">
        <v>3160</v>
      </c>
      <c r="H841" s="23" t="n">
        <v>1159</v>
      </c>
      <c r="I841" s="21" t="inlineStr">
        <is>
          <t>ID постачальника збігся, але назви різні</t>
        </is>
      </c>
    </row>
    <row r="842">
      <c r="A842" s="22" t="n">
        <v>37.4</v>
      </c>
      <c r="B842" s="22" t="inlineStr">
        <is>
          <t>Клуб Рослин</t>
        </is>
      </c>
      <c r="C842" s="22" t="inlineStr">
        <is>
          <t>3143</t>
        </is>
      </c>
      <c r="D842" s="22" t="inlineStr">
        <is>
          <t>3143</t>
        </is>
      </c>
      <c r="E842" s="21" t="inlineStr">
        <is>
          <t>Фунгіцид Орвего 52% 1 л Basf Басф Німеччина</t>
        </is>
      </c>
      <c r="F842" s="21" t="inlineStr">
        <is>
          <t>Лілія азіатська гібридна 'Танго' Тайні Перрот 12\14</t>
        </is>
      </c>
      <c r="G842" s="23" t="n">
        <v>2198</v>
      </c>
      <c r="H842" s="23" t="n">
        <v>50</v>
      </c>
      <c r="I842" s="21" t="inlineStr">
        <is>
          <t>ID постачальника збігся, але назви різні</t>
        </is>
      </c>
    </row>
    <row r="843">
      <c r="A843" s="22" t="n">
        <v>37.4</v>
      </c>
      <c r="B843" s="22" t="inlineStr">
        <is>
          <t>Клуб Рослин</t>
        </is>
      </c>
      <c r="C843" s="22" t="inlineStr">
        <is>
          <t>9011</t>
        </is>
      </c>
      <c r="D843" s="22" t="inlineStr">
        <is>
          <t>9011</t>
        </is>
      </c>
      <c r="E843" s="21" t="inlineStr">
        <is>
          <t>Інсектицид-ад'ювант Захват Ойл 5 л Ukravit Укравіт Україна</t>
        </is>
      </c>
      <c r="F843" s="21" t="inlineStr">
        <is>
          <t>Декоративний паркан Eko-Palisada 22 см, 1 м (теракота)</t>
        </is>
      </c>
      <c r="G843" s="23" t="n">
        <v>925</v>
      </c>
      <c r="H843" s="23" t="n">
        <v>220</v>
      </c>
      <c r="I843" s="21" t="inlineStr">
        <is>
          <t>ID постачальника збігся, але різні об'єми або розміри</t>
        </is>
      </c>
    </row>
    <row r="844">
      <c r="A844" s="22" t="n">
        <v>37.4</v>
      </c>
      <c r="B844" s="22" t="inlineStr">
        <is>
          <t>Клуб Рослин</t>
        </is>
      </c>
      <c r="C844" s="22" t="inlineStr">
        <is>
          <t>9017</t>
        </is>
      </c>
      <c r="D844" s="22" t="inlineStr">
        <is>
          <t>9017</t>
        </is>
      </c>
      <c r="E844" s="21" t="inlineStr">
        <is>
          <t>Прилипач ад’ювант​​​​​​​ Інгрес 1 л Ukravit Укравіт Україна</t>
        </is>
      </c>
      <c r="F844" s="21" t="inlineStr">
        <is>
          <t>Дерев'яна ручка 1,4 м Штокер Stocker 2210</t>
        </is>
      </c>
      <c r="G844" s="23" t="n">
        <v>598</v>
      </c>
      <c r="H844" s="23" t="n">
        <v>197</v>
      </c>
      <c r="I844" s="21" t="inlineStr">
        <is>
          <t>ID постачальника збігся, але різні об'єми або розміри</t>
        </is>
      </c>
    </row>
    <row r="845">
      <c r="A845" s="22" t="n">
        <v>37.4</v>
      </c>
      <c r="B845" s="22" t="inlineStr">
        <is>
          <t>Клуб Рослин</t>
        </is>
      </c>
      <c r="C845" s="22" t="inlineStr">
        <is>
          <t>7760</t>
        </is>
      </c>
      <c r="D845" s="22" t="inlineStr">
        <is>
          <t>10221</t>
        </is>
      </c>
      <c r="E845" s="21" t="inlineStr">
        <is>
          <t>Добриво ТехноГель Аміно / TecnoGel Amino 15-15-15 1 л AgriTecno Іспанія</t>
        </is>
      </c>
      <c r="F845" s="21" t="inlineStr">
        <is>
          <t>Контейнер квадрат 15*15*15см, 3,0л (15*15*15)</t>
        </is>
      </c>
      <c r="G845" s="23" t="n">
        <v>525</v>
      </c>
      <c r="H845" s="23" t="n">
        <v>6</v>
      </c>
      <c r="I845" s="21" t="inlineStr">
        <is>
          <t>код збігся, але різні об'єми або розміри</t>
        </is>
      </c>
    </row>
    <row r="846">
      <c r="A846" s="22" t="n">
        <v>37.3</v>
      </c>
      <c r="B846" s="22" t="inlineStr">
        <is>
          <t>Клуб Рослин</t>
        </is>
      </c>
      <c r="C846" s="22" t="inlineStr">
        <is>
          <t>7226</t>
        </is>
      </c>
      <c r="D846" s="22" t="inlineStr">
        <is>
          <t>7226</t>
        </is>
      </c>
      <c r="E846" s="21" t="inlineStr">
        <is>
          <t>Добриво Кеміра Ріст плодів NPK 10-5-40 1кг Yara Яра Норвегія</t>
        </is>
      </c>
      <c r="F846" s="21" t="inlineStr">
        <is>
          <t>Троянда Кордеса Гебрюдер Грімм DP PC20 C7,5</t>
        </is>
      </c>
      <c r="G846" s="23" t="n">
        <v>225</v>
      </c>
      <c r="H846" s="23" t="n">
        <v>290</v>
      </c>
      <c r="I846" s="21" t="inlineStr">
        <is>
          <t>ID постачальника збігся, але різні бренди</t>
        </is>
      </c>
    </row>
    <row r="847">
      <c r="A847" s="22" t="n">
        <v>37.2</v>
      </c>
      <c r="B847" s="22" t="inlineStr">
        <is>
          <t>Клуб Рослин</t>
        </is>
      </c>
      <c r="C847" s="22" t="inlineStr">
        <is>
          <t>8087</t>
        </is>
      </c>
      <c r="D847" s="22" t="inlineStr">
        <is>
          <t>8087</t>
        </is>
      </c>
      <c r="E847" s="21" t="inlineStr">
        <is>
          <t>Добриво Осмокот / Osmocote Pro 19-9-10 (5-6 М) 25 кг ICL Нідерланди</t>
        </is>
      </c>
      <c r="F847" s="21" t="inlineStr">
        <is>
          <t>В'яз шорсткий Кампердаунії Штамб PC20 C155 / o20-25 / Pa220</t>
        </is>
      </c>
      <c r="G847" s="23" t="n">
        <v>7080</v>
      </c>
      <c r="H847" s="23" t="n">
        <v>8280</v>
      </c>
      <c r="I847" s="21" t="inlineStr">
        <is>
          <t>ID постачальника збігся, але назви різні</t>
        </is>
      </c>
    </row>
    <row r="848">
      <c r="A848" s="22" t="n">
        <v>37.2</v>
      </c>
      <c r="B848" s="22" t="inlineStr">
        <is>
          <t>Клуб Рослин</t>
        </is>
      </c>
      <c r="C848" s="22" t="inlineStr">
        <is>
          <t>1079</t>
        </is>
      </c>
      <c r="D848" s="22" t="inlineStr">
        <is>
          <t>1079</t>
        </is>
      </c>
      <c r="E848" s="21" t="inlineStr">
        <is>
          <t>Гербіцид Челендж 600 КС 5 л Bayer Байєр Німеччина</t>
        </is>
      </c>
      <c r="F848" s="21" t="inlineStr">
        <is>
          <t>Будлея Давіда Блек Найт PC14 C3 / H60-80</t>
        </is>
      </c>
      <c r="G848" s="23" t="n">
        <v>4748</v>
      </c>
      <c r="H848" s="23" t="n">
        <v>90</v>
      </c>
      <c r="I848" s="21" t="inlineStr">
        <is>
          <t>ID постачальника збігся, але назви різні</t>
        </is>
      </c>
    </row>
    <row r="849">
      <c r="A849" s="22" t="n">
        <v>37.2</v>
      </c>
      <c r="B849" s="22" t="inlineStr">
        <is>
          <t>Клуб Рослин</t>
        </is>
      </c>
      <c r="C849" s="22" t="inlineStr">
        <is>
          <t>7782</t>
        </is>
      </c>
      <c r="D849" s="22" t="inlineStr">
        <is>
          <t>7782</t>
        </is>
      </c>
      <c r="E849" s="21" t="inlineStr">
        <is>
          <t>Добриво Ікар Елайз (Сірка) / Ikar Elais 5 л Литва</t>
        </is>
      </c>
      <c r="F849" s="21" t="inlineStr">
        <is>
          <t>Туя західна (ий) Мр Боулінг Бол K C65 / H50-60</t>
        </is>
      </c>
      <c r="G849" s="23" t="n">
        <v>1806</v>
      </c>
      <c r="H849" s="23" t="n">
        <v>580</v>
      </c>
      <c r="I849" s="21" t="inlineStr">
        <is>
          <t>ID постачальника збігся, але назви різні</t>
        </is>
      </c>
    </row>
    <row r="850">
      <c r="A850" s="22" t="n">
        <v>37.2</v>
      </c>
      <c r="B850" s="22" t="inlineStr">
        <is>
          <t>Клуб Рослин</t>
        </is>
      </c>
      <c r="C850" s="22" t="inlineStr">
        <is>
          <t>1186</t>
        </is>
      </c>
      <c r="D850" s="22" t="inlineStr">
        <is>
          <t>1186</t>
        </is>
      </c>
      <c r="E850" s="21" t="inlineStr">
        <is>
          <t>Гербіцид Аргумент Форте 500 SL 1 л Нертус Угорщина</t>
        </is>
      </c>
      <c r="F850" s="21" t="inlineStr">
        <is>
          <t>Осока Моррова Айс Денс PC19 C3 / H25-30</t>
        </is>
      </c>
      <c r="G850" s="23" t="n">
        <v>298</v>
      </c>
      <c r="H850" s="23" t="n">
        <v>174</v>
      </c>
      <c r="I850" s="21" t="inlineStr">
        <is>
          <t>ID постачальника збігся, але назви різні</t>
        </is>
      </c>
    </row>
    <row r="851">
      <c r="A851" s="22" t="n">
        <v>37.1</v>
      </c>
      <c r="B851" s="22" t="inlineStr">
        <is>
          <t>Клуб Рослин</t>
        </is>
      </c>
      <c r="C851" s="22" t="inlineStr">
        <is>
          <t>3334</t>
        </is>
      </c>
      <c r="D851" s="22" t="inlineStr">
        <is>
          <t>3334</t>
        </is>
      </c>
      <c r="E851" s="21" t="inlineStr">
        <is>
          <t>Фунгіцид Фонтес 5 кг Нертус Угорщина</t>
        </is>
      </c>
      <c r="F851" s="21" t="inlineStr">
        <is>
          <t>Магнолія Джорж Генрі Керн C4 / H50-60</t>
        </is>
      </c>
      <c r="G851" s="23" t="n">
        <v>2517</v>
      </c>
      <c r="H851" s="23" t="n">
        <v>455</v>
      </c>
      <c r="I851" s="21" t="inlineStr">
        <is>
          <t>ID постачальника збігся, але назви різні</t>
        </is>
      </c>
    </row>
    <row r="852">
      <c r="A852" s="22" t="n">
        <v>37.1</v>
      </c>
      <c r="B852" s="22" t="inlineStr">
        <is>
          <t>Клуб Рослин</t>
        </is>
      </c>
      <c r="C852" s="22" t="inlineStr">
        <is>
          <t>15-901</t>
        </is>
      </c>
      <c r="D852" s="22" t="inlineStr">
        <is>
          <t>15901</t>
        </is>
      </c>
      <c r="E852" s="21" t="inlineStr">
        <is>
          <t>Парник складаний 160х69х49 см ПВХ плівка 4 полиці Neo Tools (15-901)</t>
        </is>
      </c>
      <c r="F852" s="21" t="inlineStr">
        <is>
          <t>Хомут для підв'язки рослин Agrario TT-5 23 см 50 шт (Аграріо TT-5)</t>
        </is>
      </c>
      <c r="G852" s="23" t="n">
        <v>2005</v>
      </c>
      <c r="H852" s="23" t="n">
        <v>57</v>
      </c>
      <c r="I852" s="21" t="inlineStr">
        <is>
          <t>ID постачальника збігся, але різні об'єми або розміри</t>
        </is>
      </c>
    </row>
    <row r="853">
      <c r="A853" s="22" t="n">
        <v>37.1</v>
      </c>
      <c r="B853" s="22" t="inlineStr">
        <is>
          <t>Клуб Рослин</t>
        </is>
      </c>
      <c r="C853" s="22" t="inlineStr">
        <is>
          <t>2181</t>
        </is>
      </c>
      <c r="D853" s="22" t="inlineStr">
        <is>
          <t>2181</t>
        </is>
      </c>
      <c r="E853" s="21" t="inlineStr">
        <is>
          <t>Інсектицид Катадін КЕ 1 л IFAGRI Велика Британія</t>
        </is>
      </c>
      <c r="F853" s="21" t="inlineStr">
        <is>
          <t>Гортензія великолисткова Шлосс Вакербарт ® C5 / H30-40</t>
        </is>
      </c>
      <c r="G853" s="23" t="n">
        <v>1725</v>
      </c>
      <c r="H853" s="23" t="n">
        <v>1200</v>
      </c>
      <c r="I853" s="21" t="inlineStr">
        <is>
          <t>ID постачальника збігся, але назви різні</t>
        </is>
      </c>
    </row>
    <row r="854">
      <c r="A854" s="22" t="n">
        <v>37.1</v>
      </c>
      <c r="B854" s="22" t="inlineStr">
        <is>
          <t>Клуб Рослин</t>
        </is>
      </c>
      <c r="C854" s="22" t="inlineStr">
        <is>
          <t>1137</t>
        </is>
      </c>
      <c r="D854" s="22" t="inlineStr">
        <is>
          <t>1137</t>
        </is>
      </c>
      <c r="E854" s="21" t="inlineStr">
        <is>
          <t>Гербіцид Норвел Екстра 1 л Хімагромаркетинг Україна</t>
        </is>
      </c>
      <c r="F854" s="21" t="inlineStr">
        <is>
          <t>Куничник гостроквітковий Карл Фоерстер PC17 C4</t>
        </is>
      </c>
      <c r="G854" s="23" t="n">
        <v>448</v>
      </c>
      <c r="H854" s="23" t="n">
        <v>144</v>
      </c>
      <c r="I854" s="21" t="inlineStr">
        <is>
          <t>ID постачальника збігся, але назви різні</t>
        </is>
      </c>
    </row>
    <row r="855">
      <c r="A855" s="22" t="n">
        <v>37.1</v>
      </c>
      <c r="B855" s="22" t="inlineStr">
        <is>
          <t>Клуб Рослин</t>
        </is>
      </c>
      <c r="C855" s="22" t="inlineStr">
        <is>
          <t>7225</t>
        </is>
      </c>
      <c r="D855" s="22" t="inlineStr">
        <is>
          <t>7225</t>
        </is>
      </c>
      <c r="E855" s="21" t="inlineStr">
        <is>
          <t>Добриво Кеміра Цвітіння NPK 12-46-8 1 кг Yara Яра Норвегія</t>
        </is>
      </c>
      <c r="F855" s="21" t="inlineStr">
        <is>
          <t>Троянда Кордеса Гебрюдер Грімм DP PC20 C2</t>
        </is>
      </c>
      <c r="G855" s="23" t="n">
        <v>225</v>
      </c>
      <c r="H855" s="23" t="n">
        <v>174</v>
      </c>
      <c r="I855" s="21" t="inlineStr">
        <is>
          <t>ID постачальника збігся, але різні бренди</t>
        </is>
      </c>
    </row>
    <row r="856">
      <c r="A856" s="22" t="n">
        <v>37</v>
      </c>
      <c r="B856" s="22" t="inlineStr">
        <is>
          <t>Водоспад</t>
        </is>
      </c>
      <c r="C856" s="22" t="inlineStr">
        <is>
          <t>40-001</t>
        </is>
      </c>
      <c r="D856" s="22" t="inlineStr">
        <is>
          <t>40001</t>
        </is>
      </c>
      <c r="E856" s="21" t="inlineStr">
        <is>
          <t>Лопата штикова Целлфаст / Cellfast ERGO 123 см 2.1 кг (40-001) Польша</t>
        </is>
      </c>
      <c r="F856" s="21" t="inlineStr">
        <is>
          <t>5 шліфколів M480 на сітчастій основі Ø150 K80 (2608621162)</t>
        </is>
      </c>
      <c r="G856" s="23" t="n">
        <v>1348</v>
      </c>
      <c r="H856" s="23" t="n">
        <v>355</v>
      </c>
      <c r="I856" s="21" t="inlineStr">
        <is>
          <t>ID постачальника збігся, але різні коди виробника</t>
        </is>
      </c>
    </row>
    <row r="857">
      <c r="A857" s="22" t="n">
        <v>37</v>
      </c>
      <c r="B857" s="22" t="inlineStr">
        <is>
          <t>Клуб Рослин</t>
        </is>
      </c>
      <c r="C857" s="22" t="inlineStr">
        <is>
          <t>7132</t>
        </is>
      </c>
      <c r="D857" s="22" t="inlineStr">
        <is>
          <t>7132</t>
        </is>
      </c>
      <c r="E857" s="21" t="inlineStr">
        <is>
          <t>Регулятор росту Атонік Плюс 5 л Arysta</t>
        </is>
      </c>
      <c r="F857" s="21" t="inlineStr">
        <is>
          <t>Троянда густоквіткова Фо Ю Айс Онлі PC21 C5</t>
        </is>
      </c>
      <c r="G857" s="23" t="n">
        <v>13248</v>
      </c>
      <c r="H857" s="23" t="n">
        <v>232</v>
      </c>
      <c r="I857" s="21" t="inlineStr">
        <is>
          <t>ID постачальника збігся, але назви різні</t>
        </is>
      </c>
    </row>
    <row r="858">
      <c r="A858" s="22" t="n">
        <v>37</v>
      </c>
      <c r="B858" s="22" t="inlineStr">
        <is>
          <t>Клуб Рослин</t>
        </is>
      </c>
      <c r="C858" s="22" t="inlineStr">
        <is>
          <t>1264</t>
        </is>
      </c>
      <c r="D858" s="22" t="inlineStr">
        <is>
          <t>1264</t>
        </is>
      </c>
      <c r="E858" s="21" t="inlineStr">
        <is>
          <t>Гербіцид Цукрон + 5 л Хімагромаркетинг Україна</t>
        </is>
      </c>
      <c r="F858" s="21" t="inlineStr">
        <is>
          <t>Кедр гімалайський Філін Блю C10 / H35-40</t>
        </is>
      </c>
      <c r="G858" s="23" t="n">
        <v>5148</v>
      </c>
      <c r="H858" s="23" t="n">
        <v>1385</v>
      </c>
      <c r="I858" s="21" t="inlineStr">
        <is>
          <t>ID постачальника збігся, але назви різні</t>
        </is>
      </c>
    </row>
    <row r="859">
      <c r="A859" s="22" t="n">
        <v>37</v>
      </c>
      <c r="B859" s="22" t="inlineStr">
        <is>
          <t>Клуб Рослин</t>
        </is>
      </c>
      <c r="C859" s="22" t="inlineStr">
        <is>
          <t>1126</t>
        </is>
      </c>
      <c r="D859" s="22" t="inlineStr">
        <is>
          <t>1126</t>
        </is>
      </c>
      <c r="E859" s="21" t="inlineStr">
        <is>
          <t>Гербіцид Стемат 500 КС 5 л Stefes / Штефес Ліхтенштейн</t>
        </is>
      </c>
      <c r="F859" s="21" t="inlineStr">
        <is>
          <t>Самшит вічнозенений K G / H20-30</t>
        </is>
      </c>
      <c r="G859" s="23" t="n">
        <v>4498</v>
      </c>
      <c r="H859" s="23" t="n">
        <v>166</v>
      </c>
      <c r="I859" s="21" t="inlineStr">
        <is>
          <t>ID постачальника збігся, але назви різні</t>
        </is>
      </c>
    </row>
    <row r="860">
      <c r="A860" s="22" t="n">
        <v>37</v>
      </c>
      <c r="B860" s="22" t="inlineStr">
        <is>
          <t>Клуб Рослин</t>
        </is>
      </c>
      <c r="C860" s="22" t="inlineStr">
        <is>
          <t>8030</t>
        </is>
      </c>
      <c r="D860" s="22" t="inlineStr">
        <is>
          <t>10221</t>
        </is>
      </c>
      <c r="E860" s="21" t="inlineStr">
        <is>
          <t>Добриво ТекноГель Аміно / TecnoGel Amino 15-15-15 10 л AgriTecno Іспанія</t>
        </is>
      </c>
      <c r="F860" s="21" t="inlineStr">
        <is>
          <t>Контейнер квадрат 15*15*15см, 3,0л (15*15*15)</t>
        </is>
      </c>
      <c r="G860" s="23" t="n">
        <v>4056</v>
      </c>
      <c r="H860" s="23" t="n">
        <v>6</v>
      </c>
      <c r="I860" s="21" t="inlineStr">
        <is>
          <t>код збігся, але різні об'єми або розміри</t>
        </is>
      </c>
    </row>
    <row r="861">
      <c r="A861" s="22" t="n">
        <v>37</v>
      </c>
      <c r="B861" s="22" t="inlineStr">
        <is>
          <t>Клуб Рослин</t>
        </is>
      </c>
      <c r="C861" s="22" t="inlineStr">
        <is>
          <t>3182</t>
        </is>
      </c>
      <c r="D861" s="22" t="inlineStr">
        <is>
          <t>3182</t>
        </is>
      </c>
      <c r="E861" s="21" t="inlineStr">
        <is>
          <t>Фунгіцид Тіофен 5 кг Хімагромаркетинг Україна</t>
        </is>
      </c>
      <c r="F861" s="21" t="inlineStr">
        <is>
          <t>Лілія ОА-гібридна Фірст Кровен 12\14</t>
        </is>
      </c>
      <c r="G861" s="23" t="n">
        <v>2600</v>
      </c>
      <c r="H861" s="23" t="n">
        <v>50</v>
      </c>
      <c r="I861" s="21" t="inlineStr">
        <is>
          <t>ID постачальника збігся, але назви різні</t>
        </is>
      </c>
    </row>
    <row r="862">
      <c r="A862" s="22" t="n">
        <v>37</v>
      </c>
      <c r="B862" s="22" t="inlineStr">
        <is>
          <t>Клуб Рослин</t>
        </is>
      </c>
      <c r="C862" s="22" t="inlineStr">
        <is>
          <t>3049</t>
        </is>
      </c>
      <c r="D862" s="22" t="inlineStr">
        <is>
          <t>3049</t>
        </is>
      </c>
      <c r="E862" s="21" t="inlineStr">
        <is>
          <t>Фунгіцид Док Про 1 кг Alfa Smart Agro Альфа Смарт Агро Україна</t>
        </is>
      </c>
      <c r="F862" s="21" t="inlineStr">
        <is>
          <t>Ялівець середній Олд Голд Штамб C15 / L40-50 / Pa40</t>
        </is>
      </c>
      <c r="G862" s="23" t="n">
        <v>1148</v>
      </c>
      <c r="H862" s="23" t="n">
        <v>1605</v>
      </c>
      <c r="I862" s="21" t="inlineStr">
        <is>
          <t>ID постачальника збігся, але назви різні</t>
        </is>
      </c>
    </row>
    <row r="863">
      <c r="A863" s="22" t="n">
        <v>37</v>
      </c>
      <c r="B863" s="22" t="inlineStr">
        <is>
          <t>Клуб Рослин</t>
        </is>
      </c>
      <c r="C863" s="22" t="inlineStr">
        <is>
          <t>7182</t>
        </is>
      </c>
      <c r="D863" s="22" t="inlineStr">
        <is>
          <t>7182</t>
        </is>
      </c>
      <c r="E863" s="21" t="inlineStr">
        <is>
          <t>Добриво Нутрівант Плюс Пасльоновий 6-18-37+2MgO 1 кг Вітера ICL Ізраїль</t>
        </is>
      </c>
      <c r="F863" s="21" t="inlineStr">
        <is>
          <t>Троянда гібридний(а) Інгрід Бергман Штамб C12 / Pa100</t>
        </is>
      </c>
      <c r="G863" s="23" t="n">
        <v>398</v>
      </c>
      <c r="H863" s="23" t="n">
        <v>480</v>
      </c>
      <c r="I863" s="21" t="inlineStr">
        <is>
          <t>ID постачальника збігся, але назви різні</t>
        </is>
      </c>
    </row>
    <row r="864">
      <c r="A864" s="22" t="n">
        <v>36.8</v>
      </c>
      <c r="B864" s="22" t="inlineStr">
        <is>
          <t>Водоспад</t>
        </is>
      </c>
      <c r="C864" s="22" t="inlineStr">
        <is>
          <t>12241-20.000.00</t>
        </is>
      </c>
      <c r="D864" s="22" t="inlineStr">
        <is>
          <t>41085</t>
        </is>
      </c>
      <c r="E864" s="21" t="inlineStr">
        <is>
          <t>Секатор Gardena PremiumCut 22 мм (12241) Німеччина</t>
        </is>
      </c>
      <c r="F864" s="21" t="inlineStr">
        <is>
          <t>Ніж Morakniv Basic 546 (12241)</t>
        </is>
      </c>
      <c r="G864" s="23" t="n">
        <v>945</v>
      </c>
      <c r="H864" s="23" t="n">
        <v>359</v>
      </c>
      <c r="I864" s="21" t="inlineStr">
        <is>
          <t>код збігся, але різні бренди</t>
        </is>
      </c>
    </row>
    <row r="865">
      <c r="A865" s="22" t="n">
        <v>36.8</v>
      </c>
      <c r="B865" s="22" t="inlineStr">
        <is>
          <t>Клуб Рослин</t>
        </is>
      </c>
      <c r="C865" s="22" t="inlineStr">
        <is>
          <t>3020</t>
        </is>
      </c>
      <c r="D865" s="22" t="inlineStr">
        <is>
          <t>3020</t>
        </is>
      </c>
      <c r="E865" s="21" t="inlineStr">
        <is>
          <t>Фунгіцид Малахіт 5 л Basf Басф Німеччина</t>
        </is>
      </c>
      <c r="F865" s="21" t="inlineStr">
        <is>
          <t>Ялівець середній Мінт Джулеп PC21 C5</t>
        </is>
      </c>
      <c r="G865" s="23" t="n">
        <v>10400</v>
      </c>
      <c r="H865" s="23" t="n">
        <v>290</v>
      </c>
      <c r="I865" s="21" t="inlineStr">
        <is>
          <t>ID постачальника збігся, але назви різні</t>
        </is>
      </c>
    </row>
    <row r="866">
      <c r="A866" s="22" t="n">
        <v>36.8</v>
      </c>
      <c r="B866" s="22" t="inlineStr">
        <is>
          <t>Клуб Рослин</t>
        </is>
      </c>
      <c r="C866" s="22" t="inlineStr">
        <is>
          <t>7700</t>
        </is>
      </c>
      <c r="D866" s="22" t="inlineStr">
        <is>
          <t>7700</t>
        </is>
      </c>
      <c r="E866" s="21" t="inlineStr">
        <is>
          <t>Добриво Хелатин Калій (K) 10 л Кіссон Україна</t>
        </is>
      </c>
      <c r="F866" s="21" t="inlineStr">
        <is>
          <t>Туя західна (ий) Даніка K19 G / H30-40</t>
        </is>
      </c>
      <c r="G866" s="23" t="n">
        <v>2106</v>
      </c>
      <c r="H866" s="23" t="n">
        <v>300</v>
      </c>
      <c r="I866" s="21" t="inlineStr">
        <is>
          <t>ID постачальника збігся, але різні об'єми або розміри</t>
        </is>
      </c>
    </row>
    <row r="867">
      <c r="A867" s="22" t="n">
        <v>36.8</v>
      </c>
      <c r="B867" s="22" t="inlineStr">
        <is>
          <t>Клуб Рослин</t>
        </is>
      </c>
      <c r="C867" s="22" t="inlineStr">
        <is>
          <t>3210</t>
        </is>
      </c>
      <c r="D867" s="22" t="inlineStr">
        <is>
          <t>3210</t>
        </is>
      </c>
      <c r="E867" s="21" t="inlineStr">
        <is>
          <t>Фунгіцид Тіофен Екстра 1 кг Хімагромаркетинг Україна</t>
        </is>
      </c>
      <c r="F867" s="21" t="inlineStr">
        <is>
          <t>Лілія ОТ-гібридна Райзінг Мун 12\14</t>
        </is>
      </c>
      <c r="G867" s="23" t="n">
        <v>698</v>
      </c>
      <c r="H867" s="23" t="n">
        <v>50</v>
      </c>
      <c r="I867" s="21" t="inlineStr">
        <is>
          <t>ID постачальника збігся, але назви різні</t>
        </is>
      </c>
    </row>
    <row r="868">
      <c r="A868" s="22" t="n">
        <v>36.7</v>
      </c>
      <c r="B868" s="22" t="inlineStr">
        <is>
          <t>Водоспад</t>
        </is>
      </c>
      <c r="C868" s="22" t="inlineStr">
        <is>
          <t>40-002</t>
        </is>
      </c>
      <c r="D868" s="22" t="inlineStr">
        <is>
          <t>40002</t>
        </is>
      </c>
      <c r="E868" s="21" t="inlineStr">
        <is>
          <t>Лопата штикова Целлфаст / Cellfast ERGO 123 см 2.1кг (40-002) Польща</t>
        </is>
      </c>
      <c r="F868" s="21" t="inlineStr">
        <is>
          <t>5 шліфколів M480 на сітчастій основі Ø150 K100 (2608621163)</t>
        </is>
      </c>
      <c r="G868" s="23" t="n">
        <v>1794</v>
      </c>
      <c r="H868" s="23" t="n">
        <v>327</v>
      </c>
      <c r="I868" s="21" t="inlineStr">
        <is>
          <t>ID постачальника збігся, але різні коди виробника</t>
        </is>
      </c>
    </row>
    <row r="869">
      <c r="A869" s="22" t="n">
        <v>36.7</v>
      </c>
      <c r="B869" s="22" t="inlineStr">
        <is>
          <t>Клуб Рослин</t>
        </is>
      </c>
      <c r="C869" s="22" t="inlineStr">
        <is>
          <t>6200</t>
        </is>
      </c>
      <c r="D869" s="22" t="inlineStr">
        <is>
          <t>6200</t>
        </is>
      </c>
      <c r="E869" s="21" t="inlineStr">
        <is>
          <t>Напівмаска захисна 3М 6000 размер M (6200)</t>
        </is>
      </c>
      <c r="F869" s="21" t="inlineStr">
        <is>
          <t>Сосна Веймутова (біла, східна) Пендула Woodenbox 600 / H300-350</t>
        </is>
      </c>
      <c r="G869" s="23" t="n">
        <v>1234</v>
      </c>
      <c r="H869" s="23" t="n">
        <v>37260</v>
      </c>
      <c r="I869" s="21" t="inlineStr">
        <is>
          <t>ID постачальника збігся, але назви різні</t>
        </is>
      </c>
    </row>
    <row r="870">
      <c r="A870" s="22" t="n">
        <v>36.7</v>
      </c>
      <c r="B870" s="22" t="inlineStr">
        <is>
          <t>Клуб Рослин</t>
        </is>
      </c>
      <c r="C870" s="22" t="inlineStr">
        <is>
          <t>2214</t>
        </is>
      </c>
      <c r="D870" s="22" t="inlineStr">
        <is>
          <t>2214</t>
        </is>
      </c>
      <c r="E870" s="21" t="inlineStr">
        <is>
          <t>Інсекто-акарицид Шірудо 100 г Belchim / Белхим Бельгія</t>
        </is>
      </c>
      <c r="F870" s="21" t="inlineStr">
        <is>
          <t>Гортензія волотиста Грандіфлора PC16 C10 / H60-80</t>
        </is>
      </c>
      <c r="G870" s="23" t="n">
        <v>598</v>
      </c>
      <c r="H870" s="23" t="n">
        <v>480</v>
      </c>
      <c r="I870" s="21" t="inlineStr">
        <is>
          <t>ID постачальника збігся, але назви різні</t>
        </is>
      </c>
    </row>
    <row r="871">
      <c r="A871" s="22" t="n">
        <v>36.6</v>
      </c>
      <c r="B871" s="22" t="inlineStr">
        <is>
          <t>Клуб Рослин</t>
        </is>
      </c>
      <c r="C871" s="22" t="inlineStr">
        <is>
          <t>1006</t>
        </is>
      </c>
      <c r="D871" s="22" t="inlineStr">
        <is>
          <t>1006</t>
        </is>
      </c>
      <c r="E871" s="21" t="inlineStr">
        <is>
          <t>Гербіцид 2,4-Д Актив 10 л Хімагромаркетинг Україна</t>
        </is>
      </c>
      <c r="F871" s="21" t="inlineStr">
        <is>
          <t>Барбарис Тунберга Роуз Глоу PC20 C7,5 / H60-70</t>
        </is>
      </c>
      <c r="G871" s="23" t="n">
        <v>3648</v>
      </c>
      <c r="H871" s="23" t="n">
        <v>300</v>
      </c>
      <c r="I871" s="21" t="inlineStr">
        <is>
          <t>ID постачальника збігся, але назви різні</t>
        </is>
      </c>
    </row>
    <row r="872">
      <c r="A872" s="22" t="n">
        <v>36.6</v>
      </c>
      <c r="B872" s="22" t="inlineStr">
        <is>
          <t>Клуб Рослин</t>
        </is>
      </c>
      <c r="C872" s="22" t="inlineStr">
        <is>
          <t>1018</t>
        </is>
      </c>
      <c r="D872" s="22" t="inlineStr">
        <is>
          <t>1018</t>
        </is>
      </c>
      <c r="E872" s="21" t="inlineStr">
        <is>
          <t>Гербіцид Гліфовіт 20 л Ukravit Укравіт Україна</t>
        </is>
      </c>
      <c r="F872" s="21" t="inlineStr">
        <is>
          <t>Барбарис Тунберга Спешл Голд PC13 C3</t>
        </is>
      </c>
      <c r="G872" s="23" t="n">
        <v>3398</v>
      </c>
      <c r="H872" s="23" t="n">
        <v>170</v>
      </c>
      <c r="I872" s="21" t="inlineStr">
        <is>
          <t>ID постачальника збігся, але назви різні</t>
        </is>
      </c>
    </row>
    <row r="873">
      <c r="A873" s="22" t="n">
        <v>36.6</v>
      </c>
      <c r="B873" s="22" t="inlineStr">
        <is>
          <t>Клуб Рослин</t>
        </is>
      </c>
      <c r="C873" s="22" t="inlineStr">
        <is>
          <t>5002</t>
        </is>
      </c>
      <c r="D873" s="22" t="inlineStr">
        <is>
          <t>5002</t>
        </is>
      </c>
      <c r="E873" s="21" t="inlineStr">
        <is>
          <t>Протруювач Оріус Універсал 5 л Adama Адама Ізраїль</t>
        </is>
      </c>
      <c r="F873" s="21" t="inlineStr">
        <is>
          <t>Сосна густоквіткова Умбракуліфера C55 / H60-80</t>
        </is>
      </c>
      <c r="G873" s="23" t="n">
        <v>2000</v>
      </c>
      <c r="H873" s="23" t="n">
        <v>2760</v>
      </c>
      <c r="I873" s="21" t="inlineStr">
        <is>
          <t>ID постачальника збігся, але назви різні</t>
        </is>
      </c>
    </row>
    <row r="874">
      <c r="A874" s="22" t="n">
        <v>36.6</v>
      </c>
      <c r="B874" s="22" t="inlineStr">
        <is>
          <t>Клуб Рослин</t>
        </is>
      </c>
      <c r="C874" s="22" t="inlineStr">
        <is>
          <t>2301</t>
        </is>
      </c>
      <c r="D874" s="22" t="inlineStr">
        <is>
          <t>2301</t>
        </is>
      </c>
      <c r="E874" s="21" t="inlineStr">
        <is>
          <t>Інсектицид Дозор 600 г Нертус Угорщина</t>
        </is>
      </c>
      <c r="F874" s="21" t="inlineStr">
        <is>
          <t>Гортензія волотиста Меджікал Маттерхорн PC20 C7,5 / H40-50</t>
        </is>
      </c>
      <c r="G874" s="23" t="n">
        <v>1634</v>
      </c>
      <c r="H874" s="23" t="n">
        <v>420</v>
      </c>
      <c r="I874" s="21" t="inlineStr">
        <is>
          <t>ID постачальника збігся, але назви різні</t>
        </is>
      </c>
    </row>
    <row r="875">
      <c r="A875" s="22" t="n">
        <v>36.5</v>
      </c>
      <c r="B875" s="22" t="inlineStr">
        <is>
          <t>Клуб Рослин</t>
        </is>
      </c>
      <c r="C875" s="22" t="inlineStr">
        <is>
          <t>5059</t>
        </is>
      </c>
      <c r="D875" s="22" t="inlineStr">
        <is>
          <t>5059</t>
        </is>
      </c>
      <c r="E875" s="21" t="inlineStr">
        <is>
          <t>Протруйник Селест Топ 500 мл (розлив) Syngenta Сингента Швейцарія</t>
        </is>
      </c>
      <c r="F875" s="21" t="inlineStr">
        <is>
          <t>Сосна корейська Сільвер Лайнінг C15 / H40-50</t>
        </is>
      </c>
      <c r="G875" s="23" t="n">
        <v>1750</v>
      </c>
      <c r="H875" s="23" t="n">
        <v>2981</v>
      </c>
      <c r="I875" s="21" t="inlineStr">
        <is>
          <t>ID постачальника збігся, але назви різні</t>
        </is>
      </c>
    </row>
    <row r="876">
      <c r="A876" s="22" t="n">
        <v>36.5</v>
      </c>
      <c r="B876" s="22" t="inlineStr">
        <is>
          <t>Клуб Рослин</t>
        </is>
      </c>
      <c r="C876" s="22" t="inlineStr">
        <is>
          <t>2324</t>
        </is>
      </c>
      <c r="D876" s="22" t="inlineStr">
        <is>
          <t>2324</t>
        </is>
      </c>
      <c r="E876" s="21" t="inlineStr">
        <is>
          <t>Інсектоакарицид Імексаб Форте СФ 1 кг Імекс Агро Україна</t>
        </is>
      </c>
      <c r="F876" s="21" t="inlineStr">
        <is>
          <t>Гортензія волотиста Меджікал Світ Саммер PC20 C3</t>
        </is>
      </c>
      <c r="G876" s="23" t="n">
        <v>1748</v>
      </c>
      <c r="H876" s="23" t="n">
        <v>290</v>
      </c>
      <c r="I876" s="21" t="inlineStr">
        <is>
          <t>ID постачальника збігся, але назви різні</t>
        </is>
      </c>
    </row>
    <row r="877">
      <c r="A877" s="22" t="n">
        <v>36.4</v>
      </c>
      <c r="B877" s="22" t="inlineStr">
        <is>
          <t>Клуб Рослин</t>
        </is>
      </c>
      <c r="C877" s="22" t="inlineStr">
        <is>
          <t>3410</t>
        </is>
      </c>
      <c r="D877" s="22" t="inlineStr">
        <is>
          <t>3410</t>
        </is>
      </c>
      <c r="E877" s="21" t="inlineStr">
        <is>
          <t>Фунгіцид Бредлі 5 л Хімагромаркетинг Україна</t>
        </is>
      </c>
      <c r="F877" s="21" t="inlineStr">
        <is>
          <t>Магнолія гібридний(а) Вадас Меморі Woodenbox 300 / H150-175</t>
        </is>
      </c>
      <c r="G877" s="23" t="n">
        <v>13748</v>
      </c>
      <c r="H877" s="23" t="n">
        <v>7799</v>
      </c>
      <c r="I877" s="21" t="inlineStr">
        <is>
          <t>ID постачальника збігся, але назви різні</t>
        </is>
      </c>
    </row>
    <row r="878">
      <c r="A878" s="22" t="n">
        <v>36.4</v>
      </c>
      <c r="B878" s="22" t="inlineStr">
        <is>
          <t>Клуб Рослин</t>
        </is>
      </c>
      <c r="C878" s="22" t="inlineStr">
        <is>
          <t>1147</t>
        </is>
      </c>
      <c r="D878" s="22" t="inlineStr">
        <is>
          <t>1147</t>
        </is>
      </c>
      <c r="E878" s="21" t="inlineStr">
        <is>
          <t>Гербіцид Протеже 10 л Хімагромаркетинг Україна</t>
        </is>
      </c>
      <c r="F878" s="21" t="inlineStr">
        <is>
          <t>Калла Блек Меджік 14+</t>
        </is>
      </c>
      <c r="G878" s="23" t="n">
        <v>4925</v>
      </c>
      <c r="H878" s="23" t="n">
        <v>50</v>
      </c>
      <c r="I878" s="21" t="inlineStr">
        <is>
          <t>ID постачальника збігся, але назви різні</t>
        </is>
      </c>
    </row>
    <row r="879">
      <c r="A879" s="22" t="n">
        <v>36.4</v>
      </c>
      <c r="B879" s="22" t="inlineStr">
        <is>
          <t>Клуб Рослин</t>
        </is>
      </c>
      <c r="C879" s="22" t="inlineStr">
        <is>
          <t>2092</t>
        </is>
      </c>
      <c r="D879" s="22" t="inlineStr">
        <is>
          <t>2092</t>
        </is>
      </c>
      <c r="E879" s="21" t="inlineStr">
        <is>
          <t>Інсектицид Децис 100 1 л Bayer Байєр Німеччина</t>
        </is>
      </c>
      <c r="F879" s="21" t="inlineStr">
        <is>
          <t>Гіацинт Ян Бос 15\16</t>
        </is>
      </c>
      <c r="G879" s="23" t="n">
        <v>1748</v>
      </c>
      <c r="H879" s="23" t="n">
        <v>25</v>
      </c>
      <c r="I879" s="21" t="inlineStr">
        <is>
          <t>ID постачальника збігся, але назви різні</t>
        </is>
      </c>
    </row>
    <row r="880">
      <c r="A880" s="22" t="n">
        <v>36.4</v>
      </c>
      <c r="B880" s="22" t="inlineStr">
        <is>
          <t>Клуб Рослин</t>
        </is>
      </c>
      <c r="C880" s="22" t="inlineStr">
        <is>
          <t>2179</t>
        </is>
      </c>
      <c r="D880" s="22" t="inlineStr">
        <is>
          <t>2179</t>
        </is>
      </c>
      <c r="E880" s="21" t="inlineStr">
        <is>
          <t>Інсектицид Енжіо 247 SC КС 500 мл (розлив) Syngenta Сингента Швейцарія</t>
        </is>
      </c>
      <c r="F880" s="21" t="inlineStr">
        <is>
          <t>Гортензія великолисткова Роял Ред C2 / H30-40</t>
        </is>
      </c>
      <c r="G880" s="23" t="n">
        <v>1040</v>
      </c>
      <c r="H880" s="23" t="n">
        <v>270</v>
      </c>
      <c r="I880" s="21" t="inlineStr">
        <is>
          <t>ID постачальника збігся, але назви різні</t>
        </is>
      </c>
    </row>
    <row r="881">
      <c r="A881" s="22" t="n">
        <v>36.4</v>
      </c>
      <c r="B881" s="22" t="inlineStr">
        <is>
          <t>Клуб Рослин</t>
        </is>
      </c>
      <c r="C881" s="22" t="inlineStr">
        <is>
          <t>3316</t>
        </is>
      </c>
      <c r="D881" s="22" t="inlineStr">
        <is>
          <t>3316</t>
        </is>
      </c>
      <c r="E881" s="21" t="inlineStr">
        <is>
          <t>Фунгіцид Ютака СЕ 100 мл SumiAgro Сумі Агро Японія</t>
        </is>
      </c>
      <c r="F881" s="21" t="inlineStr">
        <is>
          <t>Магнолія гола Дабл Діамант C25 / H100-125</t>
        </is>
      </c>
      <c r="G881" s="23" t="n">
        <v>225</v>
      </c>
      <c r="H881" s="23" t="n">
        <v>3010</v>
      </c>
      <c r="I881" s="21" t="inlineStr">
        <is>
          <t>ID постачальника збігся, але назви різні</t>
        </is>
      </c>
    </row>
    <row r="882">
      <c r="A882" s="22" t="n">
        <v>36.4</v>
      </c>
      <c r="B882" s="22" t="inlineStr">
        <is>
          <t>Клуб Рослин</t>
        </is>
      </c>
      <c r="C882" s="22" t="inlineStr">
        <is>
          <t>2093</t>
        </is>
      </c>
      <c r="D882" s="22" t="inlineStr">
        <is>
          <t>2093</t>
        </is>
      </c>
      <c r="E882" s="21" t="inlineStr">
        <is>
          <t>Інсектицид Штурм 100 г Агросфера</t>
        </is>
      </c>
      <c r="F882" s="21" t="inlineStr">
        <is>
          <t>Гіацинт Пінк Перл 15\16</t>
        </is>
      </c>
      <c r="G882" s="23" t="n">
        <v>90</v>
      </c>
      <c r="H882" s="23" t="n">
        <v>25</v>
      </c>
      <c r="I882" s="21" t="inlineStr">
        <is>
          <t>ID постачальника збігся, але назви різні</t>
        </is>
      </c>
    </row>
    <row r="883">
      <c r="A883" s="22" t="n">
        <v>36.2</v>
      </c>
      <c r="B883" s="22" t="inlineStr">
        <is>
          <t>Клуб Рослин</t>
        </is>
      </c>
      <c r="C883" s="22" t="inlineStr">
        <is>
          <t>1181</t>
        </is>
      </c>
      <c r="D883" s="22" t="inlineStr">
        <is>
          <t>1181</t>
        </is>
      </c>
      <c r="E883" s="21" t="inlineStr">
        <is>
          <t>Десикант Мега Дикват 10 л Хімагромаркетинг Україна</t>
        </is>
      </c>
      <c r="F883" s="21" t="inlineStr">
        <is>
          <t>Карагана деревовидна Пендула Штамб C15 / Pa125</t>
        </is>
      </c>
      <c r="G883" s="23" t="n">
        <v>2698</v>
      </c>
      <c r="H883" s="23" t="n">
        <v>1.03</v>
      </c>
      <c r="I883" s="21" t="inlineStr">
        <is>
          <t>ID постачальника збігся, але назви різні</t>
        </is>
      </c>
    </row>
    <row r="884">
      <c r="A884" s="22" t="n">
        <v>36.2</v>
      </c>
      <c r="B884" s="22" t="inlineStr">
        <is>
          <t>Клуб Рослин</t>
        </is>
      </c>
      <c r="C884" s="22" t="inlineStr">
        <is>
          <t>3073</t>
        </is>
      </c>
      <c r="D884" s="22" t="inlineStr">
        <is>
          <t>3073</t>
        </is>
      </c>
      <c r="E884" s="21" t="inlineStr">
        <is>
          <t>Фунгіцид Дезарал Екстра 5 л Ukravit Укравіт Україна</t>
        </is>
      </c>
      <c r="F884" s="21" t="inlineStr">
        <is>
          <t>Ялівець середній Пфітзеріана Глаука PC18 C3</t>
        </is>
      </c>
      <c r="G884" s="23" t="n">
        <v>2148</v>
      </c>
      <c r="H884" s="23" t="n">
        <v>155</v>
      </c>
      <c r="I884" s="21" t="inlineStr">
        <is>
          <t>ID постачальника збігся, але назви різні</t>
        </is>
      </c>
    </row>
    <row r="885">
      <c r="A885" s="22" t="n">
        <v>36.2</v>
      </c>
      <c r="B885" s="22" t="inlineStr">
        <is>
          <t>Клуб Рослин</t>
        </is>
      </c>
      <c r="C885" s="22" t="inlineStr">
        <is>
          <t>7591</t>
        </is>
      </c>
      <c r="D885" s="22" t="inlineStr">
        <is>
          <t>7591</t>
        </is>
      </c>
      <c r="E885" s="21" t="inlineStr">
        <is>
          <t>Антистресант Гуміфілд Форте Аміно 1 л Humin Tech Німеччина</t>
        </is>
      </c>
      <c r="F885" s="21" t="inlineStr">
        <is>
          <t>Тис ягідний (а) Woodenbox 1000 / H175-200</t>
        </is>
      </c>
      <c r="G885" s="23" t="n">
        <v>548</v>
      </c>
      <c r="H885" s="23" t="n">
        <v>8401</v>
      </c>
      <c r="I885" s="21" t="inlineStr">
        <is>
          <t>ID постачальника збігся, але різні бренди</t>
        </is>
      </c>
    </row>
    <row r="886">
      <c r="A886" s="22" t="n">
        <v>36.2</v>
      </c>
      <c r="B886" s="22" t="inlineStr">
        <is>
          <t>Клуб Рослин</t>
        </is>
      </c>
      <c r="C886" s="22" t="inlineStr">
        <is>
          <t>7123</t>
        </is>
      </c>
      <c r="D886" s="22" t="inlineStr">
        <is>
          <t>7123</t>
        </is>
      </c>
      <c r="E886" s="21" t="inlineStr">
        <is>
          <t>Регулятор росту Вимпел Два 1 л Долина Україна</t>
        </is>
      </c>
      <c r="F886" s="21" t="inlineStr">
        <is>
          <t>Троянда англійська Б'янка Профумо Арка 180*220 C30</t>
        </is>
      </c>
      <c r="G886" s="23" t="n">
        <v>498</v>
      </c>
      <c r="H886" s="23" t="n">
        <v>9385</v>
      </c>
      <c r="I886" s="21" t="inlineStr">
        <is>
          <t>ID постачальника збігся, але назви різні</t>
        </is>
      </c>
    </row>
    <row r="887">
      <c r="A887" s="22" t="n">
        <v>36.2</v>
      </c>
      <c r="B887" s="22" t="inlineStr">
        <is>
          <t>Клуб Рослин</t>
        </is>
      </c>
      <c r="C887" s="22" t="inlineStr">
        <is>
          <t>1038</t>
        </is>
      </c>
      <c r="D887" s="22" t="inlineStr">
        <is>
          <t>1038</t>
        </is>
      </c>
      <c r="E887" s="21" t="inlineStr">
        <is>
          <t>Гербіцид Гезагард 300 мл Syngenta Сингента Швейцарія</t>
        </is>
      </c>
      <c r="F887" s="21" t="inlineStr">
        <is>
          <t>Барбарис середній Ред Джевел PC14 C5 / H30-40</t>
        </is>
      </c>
      <c r="G887" s="23" t="n">
        <v>268</v>
      </c>
      <c r="H887" s="23" t="n">
        <v>140</v>
      </c>
      <c r="I887" s="21" t="inlineStr">
        <is>
          <t>ID постачальника збігся, але назви різні</t>
        </is>
      </c>
    </row>
    <row r="888">
      <c r="A888" s="22" t="n">
        <v>36.1</v>
      </c>
      <c r="B888" s="22" t="inlineStr">
        <is>
          <t>Клуб Рослин</t>
        </is>
      </c>
      <c r="C888" s="22" t="inlineStr">
        <is>
          <t>2340</t>
        </is>
      </c>
      <c r="D888" s="22" t="inlineStr">
        <is>
          <t>2340</t>
        </is>
      </c>
      <c r="E888" s="21" t="inlineStr">
        <is>
          <t>Інсектицид Кораген 20 КС 1 л (розлив) FMС США</t>
        </is>
      </c>
      <c r="F888" s="21" t="inlineStr">
        <is>
          <t>Гортензія волотиста Фантом PC14 C5 / H40-50</t>
        </is>
      </c>
      <c r="G888" s="23" t="n">
        <v>8000</v>
      </c>
      <c r="H888" s="23" t="n">
        <v>170</v>
      </c>
      <c r="I888" s="21" t="inlineStr">
        <is>
          <t>ID постачальника збігся, але назви різні</t>
        </is>
      </c>
    </row>
    <row r="889">
      <c r="A889" s="22" t="n">
        <v>36.1</v>
      </c>
      <c r="B889" s="22" t="inlineStr">
        <is>
          <t>Клуб Рослин</t>
        </is>
      </c>
      <c r="C889" s="22" t="inlineStr">
        <is>
          <t>2040</t>
        </is>
      </c>
      <c r="D889" s="22" t="inlineStr">
        <is>
          <t>2040</t>
        </is>
      </c>
      <c r="E889" s="21" t="inlineStr">
        <is>
          <t>Інсектицид Фараон 20 л Хімагромаркетинг Україна</t>
        </is>
      </c>
      <c r="F889" s="21" t="inlineStr">
        <is>
          <t>Гібіскус сірійський Маріна C10 / H50-60</t>
        </is>
      </c>
      <c r="G889" s="23" t="n">
        <v>7200</v>
      </c>
      <c r="H889" s="23" t="n">
        <v>290</v>
      </c>
      <c r="I889" s="21" t="inlineStr">
        <is>
          <t>ID постачальника збігся, але назви різні</t>
        </is>
      </c>
    </row>
    <row r="890">
      <c r="A890" s="22" t="n">
        <v>36.1</v>
      </c>
      <c r="B890" s="22" t="inlineStr">
        <is>
          <t>Клуб Рослин</t>
        </is>
      </c>
      <c r="C890" s="22" t="inlineStr">
        <is>
          <t>1073</t>
        </is>
      </c>
      <c r="D890" s="22" t="inlineStr">
        <is>
          <t>1073</t>
        </is>
      </c>
      <c r="E890" s="21" t="inlineStr">
        <is>
          <t>Гербіцид Тотал Пауер 10 кг Хімагромаркетинг Україна</t>
        </is>
      </c>
      <c r="F890" s="21" t="inlineStr">
        <is>
          <t>Береза звичайна Жакмана C45 / o8-10</t>
        </is>
      </c>
      <c r="G890" s="23" t="n">
        <v>3548</v>
      </c>
      <c r="H890" s="23" t="n">
        <v>6000</v>
      </c>
      <c r="I890" s="21" t="inlineStr">
        <is>
          <t>ID постачальника збігся, але назви різні</t>
        </is>
      </c>
    </row>
    <row r="891">
      <c r="A891" s="22" t="n">
        <v>36.1</v>
      </c>
      <c r="B891" s="22" t="inlineStr">
        <is>
          <t>Клуб Рослин</t>
        </is>
      </c>
      <c r="C891" s="22" t="inlineStr">
        <is>
          <t>3158</t>
        </is>
      </c>
      <c r="D891" s="22" t="inlineStr">
        <is>
          <t>3158</t>
        </is>
      </c>
      <c r="E891" s="21" t="inlineStr">
        <is>
          <t>Фунгіцид Блюз КС 1 л Арокс Кроп / Aroks Crop</t>
        </is>
      </c>
      <c r="F891" s="21" t="inlineStr">
        <is>
          <t>Лілія ЛА-гібридна Фангіо 12\14</t>
        </is>
      </c>
      <c r="G891" s="23" t="n">
        <v>1675</v>
      </c>
      <c r="H891" s="23" t="n">
        <v>50</v>
      </c>
      <c r="I891" s="21" t="inlineStr">
        <is>
          <t>ID постачальника збігся, але назви різні</t>
        </is>
      </c>
    </row>
    <row r="892">
      <c r="A892" s="22" t="n">
        <v>36</v>
      </c>
      <c r="B892" s="22" t="inlineStr">
        <is>
          <t>Клуб Рослин</t>
        </is>
      </c>
      <c r="C892" s="22" t="inlineStr">
        <is>
          <t>7897</t>
        </is>
      </c>
      <c r="D892" s="22" t="inlineStr">
        <is>
          <t>7897</t>
        </is>
      </c>
      <c r="E892" s="21" t="inlineStr">
        <is>
          <t>Стимулятор росту Фульвітал Плюс ЗП 1.5 кг Humin Tech Німеччина</t>
        </is>
      </c>
      <c r="F892" s="21" t="inlineStr">
        <is>
          <t>Туя західна (ий) Смарагд PC20 C7,5 / H60-70</t>
        </is>
      </c>
      <c r="G892" s="23" t="n">
        <v>2748</v>
      </c>
      <c r="H892" s="23" t="n">
        <v>420</v>
      </c>
      <c r="I892" s="21" t="inlineStr">
        <is>
          <t>ID постачальника збігся, але назви різні</t>
        </is>
      </c>
    </row>
    <row r="893">
      <c r="A893" s="22" t="n">
        <v>36</v>
      </c>
      <c r="B893" s="22" t="inlineStr">
        <is>
          <t>Клуб Рослин</t>
        </is>
      </c>
      <c r="C893" s="22" t="inlineStr">
        <is>
          <t>2072</t>
        </is>
      </c>
      <c r="D893" s="22" t="inlineStr">
        <is>
          <t>2072</t>
        </is>
      </c>
      <c r="E893" s="21" t="inlineStr">
        <is>
          <t>Інсектицид Пірінекс КЕ 5 л Adama Адама Ізраїль</t>
        </is>
      </c>
      <c r="F893" s="21" t="inlineStr">
        <is>
          <t>Гібіскус сірійський Спеціозус Штамб C5 / Pa80</t>
        </is>
      </c>
      <c r="G893" s="23" t="n">
        <v>1924</v>
      </c>
      <c r="H893" s="23" t="n">
        <v>605</v>
      </c>
      <c r="I893" s="21" t="inlineStr">
        <is>
          <t>ID постачальника збігся, але назви різні</t>
        </is>
      </c>
    </row>
    <row r="894">
      <c r="A894" s="22" t="n">
        <v>36</v>
      </c>
      <c r="B894" s="22" t="inlineStr">
        <is>
          <t>Клуб Рослин</t>
        </is>
      </c>
      <c r="C894" s="22" t="inlineStr">
        <is>
          <t>2211</t>
        </is>
      </c>
      <c r="D894" s="22" t="inlineStr">
        <is>
          <t>2211</t>
        </is>
      </c>
      <c r="E894" s="21" t="inlineStr">
        <is>
          <t>Інсектицид Блискавка 5 л Presence / Презенс</t>
        </is>
      </c>
      <c r="F894" s="21" t="inlineStr">
        <is>
          <t>Гортензія волотиста Ерлі Сенсейшен (Балк) Штамб ® D6 / L30-40 / Pa40</t>
        </is>
      </c>
      <c r="G894" s="23" t="n">
        <v>1448</v>
      </c>
      <c r="H894" s="23" t="n">
        <v>1050</v>
      </c>
      <c r="I894" s="21" t="inlineStr">
        <is>
          <t>ID постачальника збігся, але назви різні</t>
        </is>
      </c>
    </row>
    <row r="895">
      <c r="A895" s="22" t="n">
        <v>36</v>
      </c>
      <c r="B895" s="22" t="inlineStr">
        <is>
          <t>Клуб Рослин</t>
        </is>
      </c>
      <c r="C895" s="22" t="inlineStr">
        <is>
          <t>5050</t>
        </is>
      </c>
      <c r="D895" s="22" t="inlineStr">
        <is>
          <t>5050</t>
        </is>
      </c>
      <c r="E895" s="21" t="inlineStr">
        <is>
          <t>Протруйник Бакаш 1 л Нертус Угорщина</t>
        </is>
      </c>
      <c r="F895" s="21" t="inlineStr">
        <is>
          <t>Сосна гнучка Ван дер Волфс Пірамід Extra C100 / H100-125</t>
        </is>
      </c>
      <c r="G895" s="23" t="n">
        <v>1425</v>
      </c>
      <c r="H895" s="23" t="n">
        <v>5761</v>
      </c>
      <c r="I895" s="21" t="inlineStr">
        <is>
          <t>ID постачальника збігся, але назви різні</t>
        </is>
      </c>
    </row>
    <row r="896">
      <c r="A896" s="22" t="n">
        <v>36</v>
      </c>
      <c r="B896" s="22" t="inlineStr">
        <is>
          <t>Клуб Рослин</t>
        </is>
      </c>
      <c r="C896" s="22" t="inlineStr">
        <is>
          <t>9049</t>
        </is>
      </c>
      <c r="D896" s="22" t="inlineStr">
        <is>
          <t>9049</t>
        </is>
      </c>
      <c r="E896" s="21" t="inlineStr">
        <is>
          <t>Регулятор кислотності Ікар Корект / Ikar Korekt 1 л Литва</t>
        </is>
      </c>
      <c r="F896" s="21" t="inlineStr">
        <is>
          <t>Деталі руків'я для степлерів MAX HT-R1, HT-R2, HT-RS (деталь 58)</t>
        </is>
      </c>
      <c r="G896" s="23" t="n">
        <v>606</v>
      </c>
      <c r="H896" s="23" t="n">
        <v>916</v>
      </c>
      <c r="I896" s="21" t="inlineStr">
        <is>
          <t>ID постачальника збігся, але різні бренди</t>
        </is>
      </c>
    </row>
    <row r="897">
      <c r="A897" s="22" t="n">
        <v>35.9</v>
      </c>
      <c r="B897" s="22" t="inlineStr">
        <is>
          <t>Водоспад</t>
        </is>
      </c>
      <c r="C897" s="22" t="inlineStr">
        <is>
          <t>40-221</t>
        </is>
      </c>
      <c r="D897" s="22" t="inlineStr">
        <is>
          <t>40221</t>
        </is>
      </c>
      <c r="E897" s="21" t="inlineStr">
        <is>
          <t>Вила для компоста Целлфаст / Cellfast IDEAL 128 см (40-221) Польша</t>
        </is>
      </c>
      <c r="F897" s="21" t="inlineStr">
        <is>
          <t>Свердло перове Bosch Self Cut Speed 20х152 мм (2608595491)</t>
        </is>
      </c>
      <c r="G897" s="23" t="n">
        <v>990</v>
      </c>
      <c r="H897" s="23" t="n">
        <v>232</v>
      </c>
      <c r="I897" s="21" t="inlineStr">
        <is>
          <t>ID постачальника збігся, але різні об'єми або розміри</t>
        </is>
      </c>
    </row>
    <row r="898">
      <c r="A898" s="22" t="n">
        <v>35.9</v>
      </c>
      <c r="B898" s="22" t="inlineStr">
        <is>
          <t>Клуб Рослин</t>
        </is>
      </c>
      <c r="C898" s="22" t="inlineStr">
        <is>
          <t>8085</t>
        </is>
      </c>
      <c r="D898" s="22" t="inlineStr">
        <is>
          <t>8085</t>
        </is>
      </c>
      <c r="E898" s="21" t="inlineStr">
        <is>
          <t>Добриво Осмокот / Osmocote Bloom 12-7-18 (2-3 М) 25 кг ICL Нідерланди</t>
        </is>
      </c>
      <c r="F898" s="21" t="inlineStr">
        <is>
          <t>В'яз шорсткий Кампердаунії Штамб PC18 C100 / o8-10 / Pa200-220</t>
        </is>
      </c>
      <c r="G898" s="23" t="n">
        <v>6768</v>
      </c>
      <c r="H898" s="23" t="n">
        <v>4200</v>
      </c>
      <c r="I898" s="21" t="inlineStr">
        <is>
          <t>ID постачальника збігся, але назви різні</t>
        </is>
      </c>
    </row>
    <row r="899">
      <c r="A899" s="22" t="n">
        <v>35.9</v>
      </c>
      <c r="B899" s="22" t="inlineStr">
        <is>
          <t>Клуб Рослин</t>
        </is>
      </c>
      <c r="C899" s="22" t="inlineStr">
        <is>
          <t>7364</t>
        </is>
      </c>
      <c r="D899" s="22" t="inlineStr">
        <is>
          <t>7364</t>
        </is>
      </c>
      <c r="E899" s="21" t="inlineStr">
        <is>
          <t>Регулятор росту Вимпел Два 5 л Долина Україна</t>
        </is>
      </c>
      <c r="F899" s="21" t="inlineStr">
        <is>
          <t>Спірея японська Голдфлейм PC21 C3</t>
        </is>
      </c>
      <c r="G899" s="23" t="n">
        <v>2278</v>
      </c>
      <c r="H899" s="23" t="n">
        <v>151</v>
      </c>
      <c r="I899" s="21" t="inlineStr">
        <is>
          <t>ID постачальника збігся, але назви різні</t>
        </is>
      </c>
    </row>
    <row r="900">
      <c r="A900" s="22" t="n">
        <v>35.9</v>
      </c>
      <c r="B900" s="22" t="inlineStr">
        <is>
          <t>Клуб Рослин</t>
        </is>
      </c>
      <c r="C900" s="22" t="inlineStr">
        <is>
          <t>6100</t>
        </is>
      </c>
      <c r="D900" s="22" t="inlineStr">
        <is>
          <t>6100</t>
        </is>
      </c>
      <c r="E900" s="21" t="inlineStr">
        <is>
          <t>Напівмаска захисна 3М серії 6000 размер S (6100)</t>
        </is>
      </c>
      <c r="F900" s="21" t="inlineStr">
        <is>
          <t>Сосна румелійська K C45 / H100-120</t>
        </is>
      </c>
      <c r="G900" s="23" t="n">
        <v>1234</v>
      </c>
      <c r="H900" s="23" t="n">
        <v>3900</v>
      </c>
      <c r="I900" s="21" t="inlineStr">
        <is>
          <t>ID постачальника збігся, але назви різні</t>
        </is>
      </c>
    </row>
    <row r="901">
      <c r="A901" s="22" t="n">
        <v>35.9</v>
      </c>
      <c r="B901" s="22" t="inlineStr">
        <is>
          <t>Клуб Рослин</t>
        </is>
      </c>
      <c r="C901" s="22" t="inlineStr">
        <is>
          <t>7053</t>
        </is>
      </c>
      <c r="D901" s="22" t="inlineStr">
        <is>
          <t>7053</t>
        </is>
      </c>
      <c r="E901" s="21" t="inlineStr">
        <is>
          <t>Добриво Едта 5SG Edta 1 кг Valagro Валагро Італія</t>
        </is>
      </c>
      <c r="F901" s="21" t="inlineStr">
        <is>
          <t>Смородина чорна Вернісаж BS G</t>
        </is>
      </c>
      <c r="G901" s="23" t="n">
        <v>998</v>
      </c>
      <c r="H901" s="23" t="n">
        <v>30</v>
      </c>
      <c r="I901" s="21" t="inlineStr">
        <is>
          <t>ID постачальника збігся, але різні бренди</t>
        </is>
      </c>
    </row>
    <row r="902">
      <c r="A902" s="22" t="n">
        <v>35.8</v>
      </c>
      <c r="B902" s="22" t="inlineStr">
        <is>
          <t>Клуб Рослин</t>
        </is>
      </c>
      <c r="C902" s="22" t="inlineStr">
        <is>
          <t>7590</t>
        </is>
      </c>
      <c r="D902" s="22" t="inlineStr">
        <is>
          <t>7590</t>
        </is>
      </c>
      <c r="E902" s="21" t="inlineStr">
        <is>
          <t>Антистресант Гуміфілд Форте Аміно 20 л Humin Tech Німеччина</t>
        </is>
      </c>
      <c r="F902" s="21" t="inlineStr">
        <is>
          <t>Тис ягідний (а) Woodenbox 1000 / H125-150</t>
        </is>
      </c>
      <c r="G902" s="23" t="n">
        <v>9898</v>
      </c>
      <c r="H902" s="23" t="n">
        <v>7452</v>
      </c>
      <c r="I902" s="21" t="inlineStr">
        <is>
          <t>ID постачальника збігся, але різні бренди</t>
        </is>
      </c>
    </row>
    <row r="903">
      <c r="A903" s="22" t="n">
        <v>35.8</v>
      </c>
      <c r="B903" s="22" t="inlineStr">
        <is>
          <t>Клуб Рослин</t>
        </is>
      </c>
      <c r="C903" s="22" t="inlineStr">
        <is>
          <t>9051</t>
        </is>
      </c>
      <c r="D903" s="22" t="inlineStr">
        <is>
          <t>9051</t>
        </is>
      </c>
      <c r="E903" s="21" t="inlineStr">
        <is>
          <t>Ад'ювант Ікар Перфект Стік / Ikar Perfect Stick 5 л Литва</t>
        </is>
      </c>
      <c r="F903" s="21" t="inlineStr">
        <is>
          <t>Джутовий шнурок 100 м Штокер Stocker 4695</t>
        </is>
      </c>
      <c r="G903" s="23" t="n">
        <v>8905</v>
      </c>
      <c r="H903" s="23" t="n">
        <v>99</v>
      </c>
      <c r="I903" s="21" t="inlineStr">
        <is>
          <t>ID постачальника збігся, але різні об'єми або розміри</t>
        </is>
      </c>
    </row>
    <row r="904">
      <c r="A904" s="22" t="n">
        <v>35.8</v>
      </c>
      <c r="B904" s="22" t="inlineStr">
        <is>
          <t>Клуб Рослин</t>
        </is>
      </c>
      <c r="C904" s="22" t="inlineStr">
        <is>
          <t>3077</t>
        </is>
      </c>
      <c r="D904" s="22" t="inlineStr">
        <is>
          <t>3077</t>
        </is>
      </c>
      <c r="E904" s="21" t="inlineStr">
        <is>
          <t>Фунгіцид ЧЕМП УЛЬТРА 10 кг Nufarm Нуфарм Австралія</t>
        </is>
      </c>
      <c r="F904" s="21" t="inlineStr">
        <is>
          <t>Бобовник альпійський Санспайє Штамб C10 / Pa130</t>
        </is>
      </c>
      <c r="G904" s="23" t="n">
        <v>5998</v>
      </c>
      <c r="H904" s="23" t="n">
        <v>1330</v>
      </c>
      <c r="I904" s="21" t="inlineStr">
        <is>
          <t>ID постачальника збігся, але назви різні</t>
        </is>
      </c>
    </row>
    <row r="905">
      <c r="A905" s="22" t="n">
        <v>35.8</v>
      </c>
      <c r="B905" s="22" t="inlineStr">
        <is>
          <t>Клуб Рослин</t>
        </is>
      </c>
      <c r="C905" s="22" t="inlineStr">
        <is>
          <t>7310</t>
        </is>
      </c>
      <c r="D905" s="22" t="inlineStr">
        <is>
          <t>7310</t>
        </is>
      </c>
      <c r="E905" s="21" t="inlineStr">
        <is>
          <t>Добриво Кафом Калій / Kafom K 5 л Меристем Meristem Іспанія</t>
        </is>
      </c>
      <c r="F905" s="21" t="inlineStr">
        <is>
          <t>Верба цільнолиста Хакуро Нішікі Штамб K16 G / Pa120</t>
        </is>
      </c>
      <c r="G905" s="23" t="n">
        <v>4798</v>
      </c>
      <c r="H905" s="23" t="n">
        <v>260</v>
      </c>
      <c r="I905" s="21" t="inlineStr">
        <is>
          <t>ID постачальника збігся, але різні об'єми або розміри</t>
        </is>
      </c>
    </row>
    <row r="906">
      <c r="A906" s="22" t="n">
        <v>35.8</v>
      </c>
      <c r="B906" s="22" t="inlineStr">
        <is>
          <t>Клуб Рослин</t>
        </is>
      </c>
      <c r="C906" s="22" t="inlineStr">
        <is>
          <t>2103</t>
        </is>
      </c>
      <c r="D906" s="22" t="inlineStr">
        <is>
          <t>2103</t>
        </is>
      </c>
      <c r="E906" s="21" t="inlineStr">
        <is>
          <t>Грунтовий інсектицид Бізар 5 л Агро-Захист Україна</t>
        </is>
      </c>
      <c r="F906" s="21" t="inlineStr">
        <is>
          <t>Гортензія деревовидна Пінк Анабелль ® C12 / H40-50</t>
        </is>
      </c>
      <c r="G906" s="23" t="n">
        <v>4425</v>
      </c>
      <c r="H906" s="23" t="n">
        <v>495</v>
      </c>
      <c r="I906" s="21" t="inlineStr">
        <is>
          <t>ID постачальника збігся, але назви різні</t>
        </is>
      </c>
    </row>
    <row r="907">
      <c r="A907" s="22" t="n">
        <v>35.8</v>
      </c>
      <c r="B907" s="22" t="inlineStr">
        <is>
          <t>Клуб Рослин</t>
        </is>
      </c>
      <c r="C907" s="22" t="inlineStr">
        <is>
          <t>1281</t>
        </is>
      </c>
      <c r="D907" s="22" t="inlineStr">
        <is>
          <t>1281</t>
        </is>
      </c>
      <c r="E907" s="21" t="inlineStr">
        <is>
          <t>Гербіцид Аутбаг 500 мл Хімагромаркетинг Україна</t>
        </is>
      </c>
      <c r="F907" s="21" t="inlineStr">
        <is>
          <t>Головчатотис Харрінгтона Мультиштамб C90 / H150-175</t>
        </is>
      </c>
      <c r="G907" s="23" t="n">
        <v>2648</v>
      </c>
      <c r="H907" s="23" t="n">
        <v>12420</v>
      </c>
      <c r="I907" s="21" t="inlineStr">
        <is>
          <t>ID постачальника збігся, але назви різні</t>
        </is>
      </c>
    </row>
    <row r="908">
      <c r="A908" s="22" t="n">
        <v>35.8</v>
      </c>
      <c r="B908" s="22" t="inlineStr">
        <is>
          <t>Клуб Рослин</t>
        </is>
      </c>
      <c r="C908" s="22" t="inlineStr">
        <is>
          <t>9005</t>
        </is>
      </c>
      <c r="D908" s="22" t="inlineStr">
        <is>
          <t>9005</t>
        </is>
      </c>
      <c r="E908" s="21" t="inlineStr">
        <is>
          <t>Прилипач Олемікс 84 КЕ 10 л Sumi Agro Сумі Агро Японія</t>
        </is>
      </c>
      <c r="F908" s="21" t="inlineStr">
        <is>
          <t>Декоративний паркан Eko-Palisada 17 см, 1 м (коричневий)</t>
        </is>
      </c>
      <c r="G908" s="23" t="n">
        <v>2598</v>
      </c>
      <c r="H908" s="23" t="n">
        <v>220</v>
      </c>
      <c r="I908" s="21" t="inlineStr">
        <is>
          <t>ID постачальника збігся, але різні об'єми або розміри</t>
        </is>
      </c>
    </row>
    <row r="909">
      <c r="A909" s="22" t="n">
        <v>35.8</v>
      </c>
      <c r="B909" s="22" t="inlineStr">
        <is>
          <t>Клуб Рослин</t>
        </is>
      </c>
      <c r="C909" s="22" t="inlineStr">
        <is>
          <t>3169</t>
        </is>
      </c>
      <c r="D909" s="22" t="inlineStr">
        <is>
          <t>3169</t>
        </is>
      </c>
      <c r="E909" s="21" t="inlineStr">
        <is>
          <t>Фунгіцид Луна Сенсейшн 250 мл (розлив) Bayer Байєр Німеччина</t>
        </is>
      </c>
      <c r="F909" s="21" t="inlineStr">
        <is>
          <t>Лілія східна гібридна Акапулько 12\14</t>
        </is>
      </c>
      <c r="G909" s="23" t="n">
        <v>1998</v>
      </c>
      <c r="H909" s="23" t="n">
        <v>50</v>
      </c>
      <c r="I909" s="21" t="inlineStr">
        <is>
          <t>ID постачальника збігся, але назви різні</t>
        </is>
      </c>
    </row>
    <row r="910">
      <c r="A910" s="22" t="n">
        <v>35.8</v>
      </c>
      <c r="B910" s="22" t="inlineStr">
        <is>
          <t>Клуб Рослин</t>
        </is>
      </c>
      <c r="C910" s="22" t="inlineStr">
        <is>
          <t>2159</t>
        </is>
      </c>
      <c r="D910" s="22" t="inlineStr">
        <is>
          <t>2159</t>
        </is>
      </c>
      <c r="E910" s="21" t="inlineStr">
        <is>
          <t>Інсектицид Радіант 500 мл Corteva Кортева США</t>
        </is>
      </c>
      <c r="F910" s="21" t="inlineStr">
        <is>
          <t>Гортензія великолисткова Меджікал Крімсон ® 1gr PC22 C7,5 / H50-60</t>
        </is>
      </c>
      <c r="G910" s="23" t="n">
        <v>1750</v>
      </c>
      <c r="H910" s="23" t="n">
        <v>840</v>
      </c>
      <c r="I910" s="21" t="inlineStr">
        <is>
          <t>ID постачальника збігся, але назви різні</t>
        </is>
      </c>
    </row>
    <row r="911">
      <c r="A911" s="22" t="n">
        <v>35.8</v>
      </c>
      <c r="B911" s="22" t="inlineStr">
        <is>
          <t>Клуб Рослин</t>
        </is>
      </c>
      <c r="C911" s="22" t="inlineStr">
        <is>
          <t>2264</t>
        </is>
      </c>
      <c r="D911" s="22" t="inlineStr">
        <is>
          <t>2264</t>
        </is>
      </c>
      <c r="E911" s="21" t="inlineStr">
        <is>
          <t>Інсектицид Колорит 1 л Хімагромаркетинг Україна</t>
        </is>
      </c>
      <c r="F911" s="21" t="inlineStr">
        <is>
          <t>Гортензія волотиста Меджікал Андс PC20 C5 / H90-100</t>
        </is>
      </c>
      <c r="G911" s="23" t="n">
        <v>1698</v>
      </c>
      <c r="H911" s="23" t="n">
        <v>362</v>
      </c>
      <c r="I911" s="21" t="inlineStr">
        <is>
          <t>ID постачальника збігся, але назви різні</t>
        </is>
      </c>
    </row>
    <row r="912">
      <c r="A912" s="22" t="n">
        <v>35.8</v>
      </c>
      <c r="B912" s="22" t="inlineStr">
        <is>
          <t>Клуб Рослин</t>
        </is>
      </c>
      <c r="C912" s="22" t="inlineStr">
        <is>
          <t>7060</t>
        </is>
      </c>
      <c r="D912" s="22" t="inlineStr">
        <is>
          <t>7060</t>
        </is>
      </c>
      <c r="E912" s="21" t="inlineStr">
        <is>
          <t>Біостимулятор Максікроп Сет Maxicrop Set 1 л Valagro Валагро Італія</t>
        </is>
      </c>
      <c r="F912" s="21" t="inlineStr">
        <is>
          <t>Смородина Trio (Тріо) PC17 C12</t>
        </is>
      </c>
      <c r="G912" s="23" t="n">
        <v>653</v>
      </c>
      <c r="H912" s="23" t="n">
        <v>358</v>
      </c>
      <c r="I912" s="21" t="inlineStr">
        <is>
          <t>ID постачальника збігся, але різні бренди</t>
        </is>
      </c>
    </row>
    <row r="913">
      <c r="A913" s="22" t="n">
        <v>35.8</v>
      </c>
      <c r="B913" s="22" t="inlineStr">
        <is>
          <t>Клуб Рослин</t>
        </is>
      </c>
      <c r="C913" s="22" t="inlineStr">
        <is>
          <t>1037</t>
        </is>
      </c>
      <c r="D913" s="22" t="inlineStr">
        <is>
          <t>1037</t>
        </is>
      </c>
      <c r="E913" s="21" t="inlineStr">
        <is>
          <t>Гербіцид Дуал Голд 300 мл Syngenta Сингента Швейцарія</t>
        </is>
      </c>
      <c r="F913" s="21" t="inlineStr">
        <is>
          <t>Барбарис середній Паркджавел PC14 C5 / H30-40</t>
        </is>
      </c>
      <c r="G913" s="23" t="n">
        <v>535</v>
      </c>
      <c r="H913" s="23" t="n">
        <v>140</v>
      </c>
      <c r="I913" s="21" t="inlineStr">
        <is>
          <t>ID постачальника збігся, але назви різні</t>
        </is>
      </c>
    </row>
    <row r="914">
      <c r="A914" s="22" t="n">
        <v>35.8</v>
      </c>
      <c r="B914" s="22" t="inlineStr">
        <is>
          <t>Клуб Рослин</t>
        </is>
      </c>
      <c r="C914" s="22" t="inlineStr">
        <is>
          <t>2146</t>
        </is>
      </c>
      <c r="D914" s="22" t="inlineStr">
        <is>
          <t>2146</t>
        </is>
      </c>
      <c r="E914" s="21" t="inlineStr">
        <is>
          <t>Інсектицид Тіара 250 г Нертус Угорщина</t>
        </is>
      </c>
      <c r="F914" s="21" t="inlineStr">
        <is>
          <t>Гортензія великолисткова Меджікал Блю Беллс ® 2gr PC22 C7,5</t>
        </is>
      </c>
      <c r="G914" s="23" t="n">
        <v>314</v>
      </c>
      <c r="H914" s="23" t="n">
        <v>720</v>
      </c>
      <c r="I914" s="21" t="inlineStr">
        <is>
          <t>ID постачальника збігся, але назви різні</t>
        </is>
      </c>
    </row>
    <row r="915">
      <c r="A915" s="22" t="n">
        <v>35.7</v>
      </c>
      <c r="B915" s="22" t="inlineStr">
        <is>
          <t>Клуб Рослин</t>
        </is>
      </c>
      <c r="C915" s="22" t="inlineStr">
        <is>
          <t>3145</t>
        </is>
      </c>
      <c r="D915" s="22" t="inlineStr">
        <is>
          <t>3145</t>
        </is>
      </c>
      <c r="E915" s="21" t="inlineStr">
        <is>
          <t>Фунгіцид Серкадіс Плюс 5л BASF Басф Німеччина</t>
        </is>
      </c>
      <c r="F915" s="21" t="inlineStr">
        <is>
          <t>Лілія азіатська гібридна Арсенал 12\14</t>
        </is>
      </c>
      <c r="G915" s="23" t="n">
        <v>10498</v>
      </c>
      <c r="H915" s="23" t="n">
        <v>50</v>
      </c>
      <c r="I915" s="21" t="inlineStr">
        <is>
          <t>ID постачальника збігся, але назви різні</t>
        </is>
      </c>
    </row>
    <row r="916">
      <c r="A916" s="22" t="n">
        <v>35.7</v>
      </c>
      <c r="B916" s="22" t="inlineStr">
        <is>
          <t>Клуб Рослин</t>
        </is>
      </c>
      <c r="C916" s="22" t="inlineStr">
        <is>
          <t>2071</t>
        </is>
      </c>
      <c r="D916" s="22" t="inlineStr">
        <is>
          <t>2071</t>
        </is>
      </c>
      <c r="E916" s="21" t="inlineStr">
        <is>
          <t>Інсектицид Кораген 20 КС 1 л FMС ФМС США</t>
        </is>
      </c>
      <c r="F916" s="21" t="inlineStr">
        <is>
          <t>Гібіскус сірійський Спеціозус Штамб C10 / Pa80</t>
        </is>
      </c>
      <c r="G916" s="23" t="n">
        <v>8998</v>
      </c>
      <c r="H916" s="23" t="n">
        <v>588</v>
      </c>
      <c r="I916" s="21" t="inlineStr">
        <is>
          <t>ID постачальника збігся, але назви різні</t>
        </is>
      </c>
    </row>
    <row r="917">
      <c r="A917" s="22" t="n">
        <v>35.7</v>
      </c>
      <c r="B917" s="22" t="inlineStr">
        <is>
          <t>Клуб Рослин</t>
        </is>
      </c>
      <c r="C917" s="22" t="inlineStr">
        <is>
          <t>3401</t>
        </is>
      </c>
      <c r="D917" s="22" t="inlineStr">
        <is>
          <t>3401</t>
        </is>
      </c>
      <c r="E917" s="21" t="inlineStr">
        <is>
          <t>Фунгіцид Брандер 5 л Нертус Угорщина</t>
        </is>
      </c>
      <c r="F917" s="21" t="inlineStr">
        <is>
          <t>Магнолія гібридний(а) Світ Валентин PC21 C5 / H70-80</t>
        </is>
      </c>
      <c r="G917" s="23" t="n">
        <v>5405</v>
      </c>
      <c r="H917" s="23" t="n">
        <v>1159</v>
      </c>
      <c r="I917" s="21" t="inlineStr">
        <is>
          <t>ID постачальника збігся, але назви різні</t>
        </is>
      </c>
    </row>
    <row r="918">
      <c r="A918" s="22" t="n">
        <v>35.7</v>
      </c>
      <c r="B918" s="22" t="inlineStr">
        <is>
          <t>Клуб Рослин</t>
        </is>
      </c>
      <c r="C918" s="22" t="inlineStr">
        <is>
          <t>3054</t>
        </is>
      </c>
      <c r="D918" s="22" t="inlineStr">
        <is>
          <t>3054</t>
        </is>
      </c>
      <c r="E918" s="21" t="inlineStr">
        <is>
          <t>Фунгіцид Тезис 5 л Alfa Smart Agro Альфа Смарт Агро Україна</t>
        </is>
      </c>
      <c r="F918" s="21" t="inlineStr">
        <is>
          <t>Ялівець середній Пфітзеріана Ауреа Бонсай C55 / H100-120</t>
        </is>
      </c>
      <c r="G918" s="23" t="n">
        <v>2898</v>
      </c>
      <c r="H918" s="23" t="n">
        <v>16800</v>
      </c>
      <c r="I918" s="21" t="inlineStr">
        <is>
          <t>ID постачальника збігся, але назви різні</t>
        </is>
      </c>
    </row>
    <row r="919">
      <c r="A919" s="22" t="n">
        <v>35.7</v>
      </c>
      <c r="B919" s="22" t="inlineStr">
        <is>
          <t>Клуб Рослин</t>
        </is>
      </c>
      <c r="C919" s="22" t="inlineStr">
        <is>
          <t>8130</t>
        </is>
      </c>
      <c r="D919" s="22" t="inlineStr">
        <is>
          <t>8130</t>
        </is>
      </c>
      <c r="E919" s="21" t="inlineStr">
        <is>
          <t>Добриво Мідь Зерива / Zeryva 5 л Україна</t>
        </is>
      </c>
      <c r="F919" s="21" t="inlineStr">
        <is>
          <t>Калина боднантська Шарль Ламон Штамб C25 / Pa130</t>
        </is>
      </c>
      <c r="G919" s="23" t="n">
        <v>1250</v>
      </c>
      <c r="H919" s="23" t="n">
        <v>1932</v>
      </c>
      <c r="I919" s="21" t="inlineStr">
        <is>
          <t>ID постачальника збігся, але назви різні</t>
        </is>
      </c>
    </row>
    <row r="920">
      <c r="A920" s="22" t="n">
        <v>35.7</v>
      </c>
      <c r="B920" s="22" t="inlineStr">
        <is>
          <t>Клуб Рослин</t>
        </is>
      </c>
      <c r="C920" s="22" t="inlineStr">
        <is>
          <t>2049</t>
        </is>
      </c>
      <c r="D920" s="22" t="inlineStr">
        <is>
          <t>2049</t>
        </is>
      </c>
      <c r="E920" s="21" t="inlineStr">
        <is>
          <t>Інсектицид Кораген 20 КС 50 мл FMС ФМС США</t>
        </is>
      </c>
      <c r="F920" s="21" t="inlineStr">
        <is>
          <t>Гібіскус сірійський Вазо Бло Штамб ® C3 / Pa50</t>
        </is>
      </c>
      <c r="G920" s="23" t="n">
        <v>625</v>
      </c>
      <c r="H920" s="23" t="n">
        <v>470</v>
      </c>
      <c r="I920" s="21" t="inlineStr">
        <is>
          <t>ID постачальника збігся, але назви різні</t>
        </is>
      </c>
    </row>
    <row r="921">
      <c r="A921" s="22" t="n">
        <v>35.7</v>
      </c>
      <c r="B921" s="22" t="inlineStr">
        <is>
          <t>Клуб Рослин</t>
        </is>
      </c>
      <c r="C921" s="22" t="inlineStr">
        <is>
          <t>1044</t>
        </is>
      </c>
      <c r="D921" s="22" t="inlineStr">
        <is>
          <t>1044</t>
        </is>
      </c>
      <c r="E921" s="21" t="inlineStr">
        <is>
          <t>Гербіцид Брокер 1 л Агрохімпак Україна</t>
        </is>
      </c>
      <c r="F921" s="21" t="inlineStr">
        <is>
          <t>Береза плакуча (ий) Лонг Транк K15 G / o18-20 / Pa200</t>
        </is>
      </c>
      <c r="G921" s="23" t="n">
        <v>348</v>
      </c>
      <c r="H921" s="23" t="n">
        <v>3465</v>
      </c>
      <c r="I921" s="21" t="inlineStr">
        <is>
          <t>ID постачальника збігся, але різні об'єми або розміри</t>
        </is>
      </c>
    </row>
    <row r="922">
      <c r="A922" s="22" t="n">
        <v>35.7</v>
      </c>
      <c r="B922" s="22" t="inlineStr">
        <is>
          <t>Клуб Рослин</t>
        </is>
      </c>
      <c r="C922" s="22" t="inlineStr">
        <is>
          <t>3205</t>
        </is>
      </c>
      <c r="D922" s="22" t="inlineStr">
        <is>
          <t>3205</t>
        </is>
      </c>
      <c r="E922" s="21" t="inlineStr">
        <is>
          <t>Фунгіцид Тіорос Tioros 1 кг Хімагромаркетинг Україна</t>
        </is>
      </c>
      <c r="F922" s="21" t="inlineStr">
        <is>
          <t>Лілія ОТ-гібридна Парагвай 12\14</t>
        </is>
      </c>
      <c r="G922" s="23" t="n">
        <v>338</v>
      </c>
      <c r="H922" s="23" t="n">
        <v>50</v>
      </c>
      <c r="I922" s="21" t="inlineStr">
        <is>
          <t>ID постачальника збігся, але назви різні</t>
        </is>
      </c>
    </row>
    <row r="923">
      <c r="A923" s="22" t="n">
        <v>35.6</v>
      </c>
      <c r="B923" s="22" t="inlineStr">
        <is>
          <t>Клуб Рослин</t>
        </is>
      </c>
      <c r="C923" s="22" t="inlineStr">
        <is>
          <t>9210</t>
        </is>
      </c>
      <c r="D923" s="22" t="inlineStr">
        <is>
          <t>9210</t>
        </is>
      </c>
      <c r="E923" s="21" t="inlineStr">
        <is>
          <t>Секатор пневматичний Bahco 9210 Бахо</t>
        </is>
      </c>
      <c r="F923" s="21" t="inlineStr">
        <is>
          <t>Добриво SmartGrow ЗАЛІЗО мікродобриво від хлорозу Смарт Гроу, 10 л</t>
        </is>
      </c>
      <c r="G923" s="23" t="n">
        <v>9450</v>
      </c>
      <c r="H923" s="23" t="n">
        <v>2193</v>
      </c>
      <c r="I923" s="21" t="inlineStr">
        <is>
          <t>ID постачальника збігся, але різні бренди</t>
        </is>
      </c>
    </row>
    <row r="924">
      <c r="A924" s="22" t="n">
        <v>35.6</v>
      </c>
      <c r="B924" s="22" t="inlineStr">
        <is>
          <t>Клуб Рослин</t>
        </is>
      </c>
      <c r="C924" s="22" t="inlineStr">
        <is>
          <t>1023</t>
        </is>
      </c>
      <c r="D924" s="22" t="inlineStr">
        <is>
          <t>1023</t>
        </is>
      </c>
      <c r="E924" s="21" t="inlineStr">
        <is>
          <t>Гербіцид Гліфовіт Екстра 20 л Ukravit Укравіт Україна</t>
        </is>
      </c>
      <c r="F924" s="21" t="inlineStr">
        <is>
          <t>Барбарис Тунберга Спешл Голд PC22 C5 / H15-20 / L20-25</t>
        </is>
      </c>
      <c r="G924" s="23" t="n">
        <v>4998</v>
      </c>
      <c r="H924" s="23" t="n">
        <v>290</v>
      </c>
      <c r="I924" s="21" t="inlineStr">
        <is>
          <t>ID постачальника збігся, але назви різні</t>
        </is>
      </c>
    </row>
    <row r="925">
      <c r="A925" s="22" t="n">
        <v>35.6</v>
      </c>
      <c r="B925" s="22" t="inlineStr">
        <is>
          <t>Клуб Рослин</t>
        </is>
      </c>
      <c r="C925" s="22" t="inlineStr">
        <is>
          <t>5067</t>
        </is>
      </c>
      <c r="D925" s="22" t="inlineStr">
        <is>
          <t>5067</t>
        </is>
      </c>
      <c r="E925" s="21" t="inlineStr">
        <is>
          <t>Протруйник Сидгард Sydhard 5 л Хімагромаркетинг Україна</t>
        </is>
      </c>
      <c r="F925" s="21" t="inlineStr">
        <is>
          <t>Сосна корейська Сілверей C25 / H80-100</t>
        </is>
      </c>
      <c r="G925" s="23" t="n">
        <v>4098</v>
      </c>
      <c r="H925" s="23" t="n">
        <v>3643</v>
      </c>
      <c r="I925" s="21" t="inlineStr">
        <is>
          <t>ID постачальника збігся, але назви різні</t>
        </is>
      </c>
    </row>
    <row r="926">
      <c r="A926" s="22" t="n">
        <v>35.6</v>
      </c>
      <c r="B926" s="22" t="inlineStr">
        <is>
          <t>Клуб Рослин</t>
        </is>
      </c>
      <c r="C926" s="22" t="inlineStr">
        <is>
          <t>8136</t>
        </is>
      </c>
      <c r="D926" s="22" t="inlineStr">
        <is>
          <t>8136</t>
        </is>
      </c>
      <c r="E926" s="21" t="inlineStr">
        <is>
          <t>Стимулятор росту Ферті Плант / Ferti Plant 10 л Кіссон Україна</t>
        </is>
      </c>
      <c r="F926" s="21" t="inlineStr">
        <is>
          <t>Калина червона Ескімо Штамб PC20 C15 / Pa50</t>
        </is>
      </c>
      <c r="G926" s="23" t="n">
        <v>3510</v>
      </c>
      <c r="H926" s="23" t="n">
        <v>1740</v>
      </c>
      <c r="I926" s="21" t="inlineStr">
        <is>
          <t>ID постачальника збігся, але назви різні</t>
        </is>
      </c>
    </row>
    <row r="927">
      <c r="A927" s="22" t="n">
        <v>35.6</v>
      </c>
      <c r="B927" s="22" t="inlineStr">
        <is>
          <t>Клуб Рослин</t>
        </is>
      </c>
      <c r="C927" s="22" t="inlineStr">
        <is>
          <t>2204</t>
        </is>
      </c>
      <c r="D927" s="22" t="inlineStr">
        <is>
          <t>2204</t>
        </is>
      </c>
      <c r="E927" s="21" t="inlineStr">
        <is>
          <t>Інсектицид Джеронімо 1 кг Corteva Кортева США</t>
        </is>
      </c>
      <c r="F927" s="21" t="inlineStr">
        <is>
          <t>Гортензія волотиста Кенделайт Штамб C10 / Pa100</t>
        </is>
      </c>
      <c r="G927" s="23" t="n">
        <v>2998</v>
      </c>
      <c r="H927" s="23" t="n">
        <v>1739</v>
      </c>
      <c r="I927" s="21" t="inlineStr">
        <is>
          <t>ID постачальника збігся, але назви різні</t>
        </is>
      </c>
    </row>
    <row r="928">
      <c r="A928" s="22" t="n">
        <v>35.6</v>
      </c>
      <c r="B928" s="22" t="inlineStr">
        <is>
          <t>Клуб Рослин</t>
        </is>
      </c>
      <c r="C928" s="22" t="inlineStr">
        <is>
          <t>8128</t>
        </is>
      </c>
      <c r="D928" s="22" t="inlineStr">
        <is>
          <t>8128</t>
        </is>
      </c>
      <c r="E928" s="21" t="inlineStr">
        <is>
          <t>Добриво Віасил Зерива / Zeryva 10 л Україна</t>
        </is>
      </c>
      <c r="F928" s="21" t="inlineStr">
        <is>
          <t>Чорниця висока (Голубика, Лохина) Торо PC14 C3 / H20-30</t>
        </is>
      </c>
      <c r="G928" s="23" t="n">
        <v>2500</v>
      </c>
      <c r="H928" s="23" t="n">
        <v>110</v>
      </c>
      <c r="I928" s="21" t="inlineStr">
        <is>
          <t>ID постачальника збігся, але назви різні</t>
        </is>
      </c>
    </row>
    <row r="929">
      <c r="A929" s="22" t="n">
        <v>35.6</v>
      </c>
      <c r="B929" s="22" t="inlineStr">
        <is>
          <t>Клуб Рослин</t>
        </is>
      </c>
      <c r="C929" s="22" t="inlineStr">
        <is>
          <t>1174</t>
        </is>
      </c>
      <c r="D929" s="22" t="inlineStr">
        <is>
          <t>1174</t>
        </is>
      </c>
      <c r="E929" s="21" t="inlineStr">
        <is>
          <t>Гербіцид Лобера 5 л Alfa Smart Agro / Альфа Смарт Агро Україна</t>
        </is>
      </c>
      <c r="F929" s="21" t="inlineStr">
        <is>
          <t>Кампсіс укорінливий Індіан Саммер Мультиштамб C30 / Pa*multi</t>
        </is>
      </c>
      <c r="G929" s="23" t="n">
        <v>1998</v>
      </c>
      <c r="H929" s="23" t="n">
        <v>3000</v>
      </c>
      <c r="I929" s="21" t="inlineStr">
        <is>
          <t>ID постачальника збігся, але різні бренди</t>
        </is>
      </c>
    </row>
    <row r="930">
      <c r="A930" s="22" t="n">
        <v>35.6</v>
      </c>
      <c r="B930" s="22" t="inlineStr">
        <is>
          <t>Клуб Рослин</t>
        </is>
      </c>
      <c r="C930" s="22" t="inlineStr">
        <is>
          <t>1012</t>
        </is>
      </c>
      <c r="D930" s="22" t="inlineStr">
        <is>
          <t>1012</t>
        </is>
      </c>
      <c r="E930" s="21" t="inlineStr">
        <is>
          <t>Гербіцид Рамзес 500 г Alfa Smart Agro Альфа Смарт Агро Україна</t>
        </is>
      </c>
      <c r="F930" s="21" t="inlineStr">
        <is>
          <t>Барбарис Тунберга Розетта PC14 C3 / L30-40</t>
        </is>
      </c>
      <c r="G930" s="23" t="n">
        <v>1872</v>
      </c>
      <c r="H930" s="23" t="n">
        <v>105</v>
      </c>
      <c r="I930" s="21" t="inlineStr">
        <is>
          <t>ID постачальника збігся, але назви різні</t>
        </is>
      </c>
    </row>
    <row r="931">
      <c r="A931" s="22" t="n">
        <v>35.6</v>
      </c>
      <c r="B931" s="22" t="inlineStr">
        <is>
          <t>Клуб Рослин</t>
        </is>
      </c>
      <c r="C931" s="22" t="inlineStr">
        <is>
          <t>7135</t>
        </is>
      </c>
      <c r="D931" s="22" t="inlineStr">
        <is>
          <t>7135</t>
        </is>
      </c>
      <c r="E931" s="21" t="inlineStr">
        <is>
          <t>Добриво Гуміголд GumiGold (Гумат калію) 5 кг Кіссон Україна</t>
        </is>
      </c>
      <c r="F931" s="21" t="inlineStr">
        <is>
          <t>Троянда густоквіткова Марко DP PC19 C5 / H20-30</t>
        </is>
      </c>
      <c r="G931" s="23" t="n">
        <v>1444</v>
      </c>
      <c r="H931" s="23" t="n">
        <v>174</v>
      </c>
      <c r="I931" s="21" t="inlineStr">
        <is>
          <t>ID постачальника збігся, але різні бренди</t>
        </is>
      </c>
    </row>
    <row r="932">
      <c r="A932" s="22" t="n">
        <v>35.6</v>
      </c>
      <c r="B932" s="22" t="inlineStr">
        <is>
          <t>Клуб Рослин</t>
        </is>
      </c>
      <c r="C932" s="22" t="inlineStr">
        <is>
          <t>2136</t>
        </is>
      </c>
      <c r="D932" s="22" t="inlineStr">
        <is>
          <t>2136</t>
        </is>
      </c>
      <c r="E932" s="21" t="inlineStr">
        <is>
          <t>Інсектицид Актуал 1 л Alfa Smart Agro Альфа Смарт Агро Україна</t>
        </is>
      </c>
      <c r="F932" s="21" t="inlineStr">
        <is>
          <t>Гортензія великолисткова Меджікал Аллегретто ® 1gr PC20 C5</t>
        </is>
      </c>
      <c r="G932" s="23" t="n">
        <v>1061</v>
      </c>
      <c r="H932" s="23" t="n">
        <v>660</v>
      </c>
      <c r="I932" s="21" t="inlineStr">
        <is>
          <t>ID постачальника збігся, але назви різні</t>
        </is>
      </c>
    </row>
    <row r="933">
      <c r="A933" s="22" t="n">
        <v>35.6</v>
      </c>
      <c r="B933" s="22" t="inlineStr">
        <is>
          <t>Клуб Рослин</t>
        </is>
      </c>
      <c r="C933" s="22" t="inlineStr">
        <is>
          <t>3352</t>
        </is>
      </c>
      <c r="D933" s="22" t="inlineStr">
        <is>
          <t>3352</t>
        </is>
      </c>
      <c r="E933" s="21" t="inlineStr">
        <is>
          <t>Біофунгіцид Серенада АСО 1 л (розлив) Bayer Байер Німеччина</t>
        </is>
      </c>
      <c r="F933" s="21" t="inlineStr">
        <is>
          <t>Магнолія гібридний(а) Блек Туліп C100 / H250-300</t>
        </is>
      </c>
      <c r="G933" s="23" t="n">
        <v>700</v>
      </c>
      <c r="H933" s="23" t="n">
        <v>19872</v>
      </c>
      <c r="I933" s="21" t="inlineStr">
        <is>
          <t>ID постачальника збігся, але назви різні</t>
        </is>
      </c>
    </row>
    <row r="934">
      <c r="A934" s="22" t="n">
        <v>35.6</v>
      </c>
      <c r="B934" s="22" t="inlineStr">
        <is>
          <t>Клуб Рослин</t>
        </is>
      </c>
      <c r="C934" s="22" t="inlineStr">
        <is>
          <t>3128</t>
        </is>
      </c>
      <c r="D934" s="22" t="inlineStr">
        <is>
          <t>3128</t>
        </is>
      </c>
      <c r="E934" s="21" t="inlineStr">
        <is>
          <t>Фунгіцид Танос 50 ВРГ 200 г (розсип) Corteva Кортева США</t>
        </is>
      </c>
      <c r="F934" s="21" t="inlineStr">
        <is>
          <t>Лаванда x проміжний (а) Гроссо PC21 C3</t>
        </is>
      </c>
      <c r="G934" s="23" t="n">
        <v>525</v>
      </c>
      <c r="H934" s="23" t="n">
        <v>160</v>
      </c>
      <c r="I934" s="21" t="inlineStr">
        <is>
          <t>ID постачальника збігся, але назви різні</t>
        </is>
      </c>
    </row>
    <row r="935">
      <c r="A935" s="22" t="n">
        <v>35.6</v>
      </c>
      <c r="B935" s="22" t="inlineStr">
        <is>
          <t>Клуб Рослин</t>
        </is>
      </c>
      <c r="C935" s="22" t="inlineStr">
        <is>
          <t>2131</t>
        </is>
      </c>
      <c r="D935" s="22" t="inlineStr">
        <is>
          <t>2131</t>
        </is>
      </c>
      <c r="E935" s="21" t="inlineStr">
        <is>
          <t>Інсектицид Актор Ранголі 250 г Україна</t>
        </is>
      </c>
      <c r="F935" s="21" t="inlineStr">
        <is>
          <t>Гортензія великолисткова Хот Ред C4</t>
        </is>
      </c>
      <c r="G935" s="23" t="n">
        <v>225</v>
      </c>
      <c r="H935" s="23" t="n">
        <v>315</v>
      </c>
      <c r="I935" s="21" t="inlineStr">
        <is>
          <t>ID постачальника збігся, але назви різні</t>
        </is>
      </c>
    </row>
    <row r="936">
      <c r="A936" s="22" t="n">
        <v>35.5</v>
      </c>
      <c r="B936" s="22" t="inlineStr">
        <is>
          <t>Клуб Рослин</t>
        </is>
      </c>
      <c r="C936" s="22" t="inlineStr">
        <is>
          <t>2312</t>
        </is>
      </c>
      <c r="D936" s="22" t="inlineStr">
        <is>
          <t>2312</t>
        </is>
      </c>
      <c r="E936" s="21" t="inlineStr">
        <is>
          <t>Інсектицид Оперкот Акро 5 л Хімагромаркетинг Україна</t>
        </is>
      </c>
      <c r="F936" s="21" t="inlineStr">
        <is>
          <t>Гортензія волотиста Межджікал Монт Блан PC22 C7,5 / H50-60</t>
        </is>
      </c>
      <c r="G936" s="23" t="n">
        <v>3375</v>
      </c>
      <c r="H936" s="23" t="n">
        <v>434</v>
      </c>
      <c r="I936" s="21" t="inlineStr">
        <is>
          <t>ID постачальника збігся, але назви різні</t>
        </is>
      </c>
    </row>
    <row r="937">
      <c r="A937" s="22" t="n">
        <v>35.5</v>
      </c>
      <c r="B937" s="22" t="inlineStr">
        <is>
          <t>Клуб Рослин</t>
        </is>
      </c>
      <c r="C937" s="22" t="inlineStr">
        <is>
          <t>1088</t>
        </is>
      </c>
      <c r="D937" s="22" t="inlineStr">
        <is>
          <t>1088</t>
        </is>
      </c>
      <c r="E937" s="21" t="inlineStr">
        <is>
          <t>Гербіцид Промінь 5 л Presence / Презенс</t>
        </is>
      </c>
      <c r="F937" s="21" t="inlineStr">
        <is>
          <t>Будлея Давіда Роял Ред C2</t>
        </is>
      </c>
      <c r="G937" s="23" t="n">
        <v>3075</v>
      </c>
      <c r="H937" s="23" t="n">
        <v>144</v>
      </c>
      <c r="I937" s="21" t="inlineStr">
        <is>
          <t>ID постачальника збігся, але назви різні</t>
        </is>
      </c>
    </row>
    <row r="938">
      <c r="A938" s="22" t="n">
        <v>35.5</v>
      </c>
      <c r="B938" s="22" t="inlineStr">
        <is>
          <t>Клуб Рослин</t>
        </is>
      </c>
      <c r="C938" s="22" t="inlineStr">
        <is>
          <t>2112</t>
        </is>
      </c>
      <c r="D938" s="22" t="inlineStr">
        <is>
          <t>2112</t>
        </is>
      </c>
      <c r="E938" s="21" t="inlineStr">
        <is>
          <t>Інсектицид Актеллік 1 л (розлив) Syngenta Сингента Швейцарія</t>
        </is>
      </c>
      <c r="F938" s="21" t="inlineStr">
        <is>
          <t>Гортензія великолисткова Ендлесс Саммер Блауер C5</t>
        </is>
      </c>
      <c r="G938" s="23" t="n">
        <v>1976</v>
      </c>
      <c r="H938" s="23" t="n">
        <v>840</v>
      </c>
      <c r="I938" s="21" t="inlineStr">
        <is>
          <t>ID постачальника збігся, але назви різні</t>
        </is>
      </c>
    </row>
    <row r="939">
      <c r="A939" s="22" t="n">
        <v>35.5</v>
      </c>
      <c r="B939" s="22" t="inlineStr">
        <is>
          <t>Клуб Рослин</t>
        </is>
      </c>
      <c r="C939" s="22" t="inlineStr">
        <is>
          <t>3072</t>
        </is>
      </c>
      <c r="D939" s="22" t="inlineStr">
        <is>
          <t>3072</t>
        </is>
      </c>
      <c r="E939" s="21" t="inlineStr">
        <is>
          <t>Фунгіцид Камелот 1 л ALFA Smart Agro Альфап Смарт Агро Україна</t>
        </is>
      </c>
      <c r="F939" s="21" t="inlineStr">
        <is>
          <t>Ялівець середній Пфітзеріана Глаука C10 / L40-50</t>
        </is>
      </c>
      <c r="G939" s="23" t="n">
        <v>1048</v>
      </c>
      <c r="H939" s="23" t="n">
        <v>525</v>
      </c>
      <c r="I939" s="21" t="inlineStr">
        <is>
          <t>ID постачальника збігся, але назви різні</t>
        </is>
      </c>
    </row>
    <row r="940">
      <c r="A940" s="22" t="n">
        <v>35.5</v>
      </c>
      <c r="B940" s="22" t="inlineStr">
        <is>
          <t>Клуб Рослин</t>
        </is>
      </c>
      <c r="C940" s="22" t="inlineStr">
        <is>
          <t>2178</t>
        </is>
      </c>
      <c r="D940" s="22" t="inlineStr">
        <is>
          <t>2178</t>
        </is>
      </c>
      <c r="E940" s="21" t="inlineStr">
        <is>
          <t>Інсектицид Лірум 78 SC КС 250 мл (розлив) Syngenta Сингента Швейцарія</t>
        </is>
      </c>
      <c r="F940" s="21" t="inlineStr">
        <is>
          <t>Гортензія великолисткова Романсе PC13 C5</t>
        </is>
      </c>
      <c r="G940" s="23" t="n">
        <v>998</v>
      </c>
      <c r="H940" s="23" t="n">
        <v>130</v>
      </c>
      <c r="I940" s="21" t="inlineStr">
        <is>
          <t>ID постачальника збігся, але назви різні</t>
        </is>
      </c>
    </row>
    <row r="941">
      <c r="A941" s="22" t="n">
        <v>35.4</v>
      </c>
      <c r="B941" s="22" t="inlineStr">
        <is>
          <t>Клуб Рослин</t>
        </is>
      </c>
      <c r="C941" s="22" t="inlineStr">
        <is>
          <t>1020</t>
        </is>
      </c>
      <c r="D941" s="22" t="inlineStr">
        <is>
          <t>1020</t>
        </is>
      </c>
      <c r="E941" s="21" t="inlineStr">
        <is>
          <t>Гербіцид Гліфовіт Екстра 5 л Ukravit Укравіт Україна</t>
        </is>
      </c>
      <c r="F941" s="21" t="inlineStr">
        <is>
          <t>Барбарис Тунберга Спешл Голд PC15 C2,5 / L20-30</t>
        </is>
      </c>
      <c r="G941" s="23" t="n">
        <v>2080</v>
      </c>
      <c r="H941" s="23" t="n">
        <v>125</v>
      </c>
      <c r="I941" s="21" t="inlineStr">
        <is>
          <t>ID постачальника збігся, але назви різні</t>
        </is>
      </c>
    </row>
    <row r="942">
      <c r="A942" s="22" t="n">
        <v>35.4</v>
      </c>
      <c r="B942" s="22" t="inlineStr">
        <is>
          <t>Клуб Рослин</t>
        </is>
      </c>
      <c r="C942" s="22" t="inlineStr">
        <is>
          <t>1003</t>
        </is>
      </c>
      <c r="D942" s="22" t="inlineStr">
        <is>
          <t>1003</t>
        </is>
      </c>
      <c r="E942" s="21" t="inlineStr">
        <is>
          <t>Гербіцид Фермер 1 л Хімагромаркетинг Україна</t>
        </is>
      </c>
      <c r="F942" s="21" t="inlineStr">
        <is>
          <t>Барбарис Тунберга Роуз Глоу PC17 C3</t>
        </is>
      </c>
      <c r="G942" s="23" t="n">
        <v>1125</v>
      </c>
      <c r="H942" s="23" t="n">
        <v>115</v>
      </c>
      <c r="I942" s="21" t="inlineStr">
        <is>
          <t>ID постачальника збігся, але назви різні</t>
        </is>
      </c>
    </row>
    <row r="943">
      <c r="A943" s="22" t="n">
        <v>35.4</v>
      </c>
      <c r="B943" s="22" t="inlineStr">
        <is>
          <t>Клуб Рослин</t>
        </is>
      </c>
      <c r="C943" s="22" t="inlineStr">
        <is>
          <t>7055</t>
        </is>
      </c>
      <c r="D943" s="22" t="inlineStr">
        <is>
          <t>7055</t>
        </is>
      </c>
      <c r="E943" s="21" t="inlineStr">
        <is>
          <t>Регулятор кислотності Control DMP Контроль ДМП 1 л Valagro Валагро Італія</t>
        </is>
      </c>
      <c r="F943" s="21" t="inlineStr">
        <is>
          <t>Смородина червона (-ий) Йонкір Ван Тец Штамб C3 / H125-150 / Pa80</t>
        </is>
      </c>
      <c r="G943" s="23" t="n">
        <v>665</v>
      </c>
      <c r="H943" s="23" t="n">
        <v>660</v>
      </c>
      <c r="I943" s="21" t="inlineStr">
        <is>
          <t>ID постачальника збігся, але назви різні</t>
        </is>
      </c>
    </row>
    <row r="944">
      <c r="A944" s="22" t="n">
        <v>35.3</v>
      </c>
      <c r="B944" s="22" t="inlineStr">
        <is>
          <t>Водоспад</t>
        </is>
      </c>
      <c r="C944" s="22" t="inlineStr">
        <is>
          <t>40-020</t>
        </is>
      </c>
      <c r="D944" s="22" t="inlineStr">
        <is>
          <t>40020</t>
        </is>
      </c>
      <c r="E944" s="21" t="inlineStr">
        <is>
          <t>Вила для копання Целлфаст / Cellfast ERGO 123 см 2.1 кг (40-020) Польша</t>
        </is>
      </c>
      <c r="F944" s="21" t="inlineStr">
        <is>
          <t>10 шліфлистів Bosch M480 на сітчастій основі 70x125мм K100 (2608621217)</t>
        </is>
      </c>
      <c r="G944" s="23" t="n">
        <v>1962</v>
      </c>
      <c r="H944" s="23" t="n">
        <v>375</v>
      </c>
      <c r="I944" s="21" t="inlineStr">
        <is>
          <t>ID постачальника збігся, але різні об'єми або розміри</t>
        </is>
      </c>
    </row>
    <row r="945">
      <c r="A945" s="22" t="n">
        <v>35.3</v>
      </c>
      <c r="B945" s="22" t="inlineStr">
        <is>
          <t>Клуб Рослин</t>
        </is>
      </c>
      <c r="C945" s="22" t="inlineStr">
        <is>
          <t>3223</t>
        </is>
      </c>
      <c r="D945" s="22" t="inlineStr">
        <is>
          <t>3223</t>
        </is>
      </c>
      <c r="E945" s="21" t="inlineStr">
        <is>
          <t>Фунгіцид Амістар Тріо 255 ЕС КЕ 5 л Syngenta Сингента Швейцарія</t>
        </is>
      </c>
      <c r="F945" s="21" t="inlineStr">
        <is>
          <t>Ліквідамбар (Амброве дерево) смолоносний C55 / H250-300 / o10-12</t>
        </is>
      </c>
      <c r="G945" s="23" t="n">
        <v>7020</v>
      </c>
      <c r="H945" s="23" t="n">
        <v>6624</v>
      </c>
      <c r="I945" s="21" t="inlineStr">
        <is>
          <t>ID постачальника збігся, але назви різні</t>
        </is>
      </c>
    </row>
    <row r="946">
      <c r="A946" s="22" t="n">
        <v>35.3</v>
      </c>
      <c r="B946" s="22" t="inlineStr">
        <is>
          <t>Клуб Рослин</t>
        </is>
      </c>
      <c r="C946" s="22" t="inlineStr">
        <is>
          <t>1061</t>
        </is>
      </c>
      <c r="D946" s="22" t="inlineStr">
        <is>
          <t>1061</t>
        </is>
      </c>
      <c r="E946" s="21" t="inlineStr">
        <is>
          <t>Гербіцид Бекано 500 мл Bayer Байєр Німеччина</t>
        </is>
      </c>
      <c r="F946" s="21" t="inlineStr">
        <is>
          <t>Береза плакуча (ий) Янгіі C60 / H200-250 / o10-12</t>
        </is>
      </c>
      <c r="G946" s="23" t="n">
        <v>5398</v>
      </c>
      <c r="H946" s="23" t="n">
        <v>3420</v>
      </c>
      <c r="I946" s="21" t="inlineStr">
        <is>
          <t>ID постачальника збігся, але назви різні</t>
        </is>
      </c>
    </row>
    <row r="947">
      <c r="A947" s="22" t="n">
        <v>35.3</v>
      </c>
      <c r="B947" s="22" t="inlineStr">
        <is>
          <t>Клуб Рослин</t>
        </is>
      </c>
      <c r="C947" s="22" t="inlineStr">
        <is>
          <t>3197</t>
        </is>
      </c>
      <c r="D947" s="22" t="inlineStr">
        <is>
          <t>3197</t>
        </is>
      </c>
      <c r="E947" s="21" t="inlineStr">
        <is>
          <t>Фунгіцид Манзат ВДГ 10 кг Sumi Agro Сумі Агро Японія</t>
        </is>
      </c>
      <c r="F947" s="21" t="inlineStr">
        <is>
          <t>Лілія ОТ-гібридна Карбонеро 12\14</t>
        </is>
      </c>
      <c r="G947" s="23" t="n">
        <v>4798</v>
      </c>
      <c r="H947" s="23" t="n">
        <v>50</v>
      </c>
      <c r="I947" s="21" t="inlineStr">
        <is>
          <t>ID постачальника збігся, але назви різні</t>
        </is>
      </c>
    </row>
    <row r="948">
      <c r="A948" s="22" t="n">
        <v>35.3</v>
      </c>
      <c r="B948" s="22" t="inlineStr">
        <is>
          <t>Клуб Рослин</t>
        </is>
      </c>
      <c r="C948" s="22" t="inlineStr">
        <is>
          <t>7346</t>
        </is>
      </c>
      <c r="D948" s="22" t="inlineStr">
        <is>
          <t>7346</t>
        </is>
      </c>
      <c r="E948" s="21" t="inlineStr">
        <is>
          <t>Біопрепарат Iaros / Ярос 20 л Україна</t>
        </is>
      </c>
      <c r="F948" s="21" t="inlineStr">
        <is>
          <t>Спірея японська Дартс Ред PC17 C3</t>
        </is>
      </c>
      <c r="G948" s="23" t="n">
        <v>4149</v>
      </c>
      <c r="H948" s="23" t="n">
        <v>80</v>
      </c>
      <c r="I948" s="21" t="inlineStr">
        <is>
          <t>ID постачальника збігся, але назви різні</t>
        </is>
      </c>
    </row>
    <row r="949">
      <c r="A949" s="22" t="n">
        <v>35.3</v>
      </c>
      <c r="B949" s="22" t="inlineStr">
        <is>
          <t>Клуб Рослин</t>
        </is>
      </c>
      <c r="C949" s="22" t="inlineStr">
        <is>
          <t>3212</t>
        </is>
      </c>
      <c r="D949" s="22" t="inlineStr">
        <is>
          <t>3212</t>
        </is>
      </c>
      <c r="E949" s="21" t="inlineStr">
        <is>
          <t>Фунгіцид Ранман Топ КС 1 л SumiAgro Сумі Агро Японія</t>
        </is>
      </c>
      <c r="F949" s="21" t="inlineStr">
        <is>
          <t>Лілія ОТ-гібридна Росселіні 12\14</t>
        </is>
      </c>
      <c r="G949" s="23" t="n">
        <v>3248</v>
      </c>
      <c r="H949" s="23" t="n">
        <v>50</v>
      </c>
      <c r="I949" s="21" t="inlineStr">
        <is>
          <t>ID постачальника збігся, але назви різні</t>
        </is>
      </c>
    </row>
    <row r="950">
      <c r="A950" s="22" t="n">
        <v>35.3</v>
      </c>
      <c r="B950" s="22" t="inlineStr">
        <is>
          <t>Клуб Рослин</t>
        </is>
      </c>
      <c r="C950" s="22" t="inlineStr">
        <is>
          <t>3901</t>
        </is>
      </c>
      <c r="D950" s="22" t="inlineStr">
        <is>
          <t>3901</t>
        </is>
      </c>
      <c r="E950" s="21" t="inlineStr">
        <is>
          <t>Фунгіцид Дерозал 5л Байер Німеччина</t>
        </is>
      </c>
      <c r="F950" s="21" t="inlineStr">
        <is>
          <t>Ялина звичайна Інверса G / H125-150</t>
        </is>
      </c>
      <c r="G950" s="23" t="n">
        <v>2100</v>
      </c>
      <c r="H950" s="23" t="n">
        <v>4215</v>
      </c>
      <c r="I950" s="21" t="inlineStr">
        <is>
          <t>ID постачальника збігся, але назви різні</t>
        </is>
      </c>
    </row>
    <row r="951">
      <c r="A951" s="22" t="n">
        <v>35.3</v>
      </c>
      <c r="B951" s="22" t="inlineStr">
        <is>
          <t>Клуб Рослин</t>
        </is>
      </c>
      <c r="C951" s="22" t="inlineStr">
        <is>
          <t>8126</t>
        </is>
      </c>
      <c r="D951" s="22" t="inlineStr">
        <is>
          <t>8126</t>
        </is>
      </c>
      <c r="E951" s="21" t="inlineStr">
        <is>
          <t>Добриво Цинк Зерива / Zeryva 5 л Україна</t>
        </is>
      </c>
      <c r="F951" s="21" t="inlineStr">
        <is>
          <t>Чорниця висока (Голубика, Лохина) Сієра C7,5 / H30-50</t>
        </is>
      </c>
      <c r="G951" s="23" t="n">
        <v>1250</v>
      </c>
      <c r="H951" s="23" t="n">
        <v>660</v>
      </c>
      <c r="I951" s="21" t="inlineStr">
        <is>
          <t>ID постачальника збігся, але назви різні</t>
        </is>
      </c>
    </row>
    <row r="952">
      <c r="A952" s="22" t="n">
        <v>35.3</v>
      </c>
      <c r="B952" s="22" t="inlineStr">
        <is>
          <t>Клуб Рослин</t>
        </is>
      </c>
      <c r="C952" s="22" t="inlineStr">
        <is>
          <t>3056</t>
        </is>
      </c>
      <c r="D952" s="22" t="inlineStr">
        <is>
          <t>3056</t>
        </is>
      </c>
      <c r="E952" s="21" t="inlineStr">
        <is>
          <t>Фунгіцид Стробітек 200 г Хімагромаркетинг Україна</t>
        </is>
      </c>
      <c r="F952" s="21" t="inlineStr">
        <is>
          <t>Ялівець середній Пфітзеріана Ауреа Бонсай C80 / H100-125</t>
        </is>
      </c>
      <c r="G952" s="23" t="n">
        <v>898</v>
      </c>
      <c r="H952" s="23" t="n">
        <v>20303</v>
      </c>
      <c r="I952" s="21" t="inlineStr">
        <is>
          <t>ID постачальника збігся, але назви різні</t>
        </is>
      </c>
    </row>
    <row r="953">
      <c r="A953" s="22" t="n">
        <v>35.2</v>
      </c>
      <c r="B953" s="22" t="inlineStr">
        <is>
          <t>Клуб Рослин</t>
        </is>
      </c>
      <c r="C953" s="22" t="inlineStr">
        <is>
          <t>7319</t>
        </is>
      </c>
      <c r="D953" s="22" t="inlineStr">
        <is>
          <t>7319</t>
        </is>
      </c>
      <c r="E953" s="21" t="inlineStr">
        <is>
          <t>Добриво Кафом Калій-Магній / Kafom К-Mg 20 л Meristem Мерістем Іспанія</t>
        </is>
      </c>
      <c r="F953" s="21" t="inlineStr">
        <is>
          <t>Горобина круглолиста Магніфіка PC17 C27,5</t>
        </is>
      </c>
      <c r="G953" s="23" t="n">
        <v>14830</v>
      </c>
      <c r="H953" s="23" t="n">
        <v>1325</v>
      </c>
      <c r="I953" s="21" t="inlineStr">
        <is>
          <t>ID постачальника збігся, але назви різні</t>
        </is>
      </c>
    </row>
    <row r="954">
      <c r="A954" s="22" t="n">
        <v>35.2</v>
      </c>
      <c r="B954" s="22" t="inlineStr">
        <is>
          <t>Клуб Рослин</t>
        </is>
      </c>
      <c r="C954" s="22" t="inlineStr">
        <is>
          <t>3354</t>
        </is>
      </c>
      <c r="D954" s="22" t="inlineStr">
        <is>
          <t>3354</t>
        </is>
      </c>
      <c r="E954" s="21" t="inlineStr">
        <is>
          <t>Фунгіцид Метеор 10 кг Хімагромаркетинг Україна</t>
        </is>
      </c>
      <c r="F954" s="21" t="inlineStr">
        <is>
          <t>Магнолія гібридний(а) Блек Туліп PC21 C5 / H60-70</t>
        </is>
      </c>
      <c r="G954" s="23" t="n">
        <v>4998</v>
      </c>
      <c r="H954" s="23" t="n">
        <v>1325</v>
      </c>
      <c r="I954" s="21" t="inlineStr">
        <is>
          <t>ID постачальника збігся, але назви різні</t>
        </is>
      </c>
    </row>
    <row r="955">
      <c r="A955" s="22" t="n">
        <v>35.2</v>
      </c>
      <c r="B955" s="22" t="inlineStr">
        <is>
          <t>Клуб Рослин</t>
        </is>
      </c>
      <c r="C955" s="22" t="inlineStr">
        <is>
          <t>7223</t>
        </is>
      </c>
      <c r="D955" s="22" t="inlineStr">
        <is>
          <t>7223</t>
        </is>
      </c>
      <c r="E955" s="21" t="inlineStr">
        <is>
          <t>Добриво Yara Folicare Яра Фолікер 22-5-22 25 кг Нідерланди</t>
        </is>
      </c>
      <c r="F955" s="21" t="inlineStr">
        <is>
          <t>Троянда Кордеса Апрікола DP PC20 C2</t>
        </is>
      </c>
      <c r="G955" s="23" t="n">
        <v>4000</v>
      </c>
      <c r="H955" s="23" t="n">
        <v>174</v>
      </c>
      <c r="I955" s="21" t="inlineStr">
        <is>
          <t>ID постачальника збігся, але різні бренди</t>
        </is>
      </c>
    </row>
    <row r="956">
      <c r="A956" s="22" t="n">
        <v>35.2</v>
      </c>
      <c r="B956" s="22" t="inlineStr">
        <is>
          <t>Клуб Рослин</t>
        </is>
      </c>
      <c r="C956" s="22" t="inlineStr">
        <is>
          <t>3046</t>
        </is>
      </c>
      <c r="D956" s="22" t="inlineStr">
        <is>
          <t>3046</t>
        </is>
      </c>
      <c r="E956" s="21" t="inlineStr">
        <is>
          <t>Фунгіцид Топсін-М 500 КС 5 л SumiAgro Сумі Агро Японія</t>
        </is>
      </c>
      <c r="F956" s="21" t="inlineStr">
        <is>
          <t>Ялівець середній Олд Голд PC20 C5 / L30</t>
        </is>
      </c>
      <c r="G956" s="23" t="n">
        <v>3198</v>
      </c>
      <c r="H956" s="23" t="n">
        <v>290</v>
      </c>
      <c r="I956" s="21" t="inlineStr">
        <is>
          <t>ID постачальника збігся, але назви різні</t>
        </is>
      </c>
    </row>
    <row r="957">
      <c r="A957" s="22" t="n">
        <v>35.2</v>
      </c>
      <c r="B957" s="22" t="inlineStr">
        <is>
          <t>Клуб Рослин</t>
        </is>
      </c>
      <c r="C957" s="22" t="inlineStr">
        <is>
          <t>2180</t>
        </is>
      </c>
      <c r="D957" s="22" t="inlineStr">
        <is>
          <t>2180</t>
        </is>
      </c>
      <c r="E957" s="21" t="inlineStr">
        <is>
          <t>Інсектицид Люфокс 105 ЕС КЕ 1 л (розлив) Syngenta Сингента Швейцарія</t>
        </is>
      </c>
      <c r="F957" s="21" t="inlineStr">
        <is>
          <t>Гортензія великолисткова Роял Ред C5 / H30-40</t>
        </is>
      </c>
      <c r="G957" s="23" t="n">
        <v>2148</v>
      </c>
      <c r="H957" s="23" t="n">
        <v>275</v>
      </c>
      <c r="I957" s="21" t="inlineStr">
        <is>
          <t>ID постачальника збігся, але назви різні</t>
        </is>
      </c>
    </row>
    <row r="958">
      <c r="A958" s="22" t="n">
        <v>35.2</v>
      </c>
      <c r="B958" s="22" t="inlineStr">
        <is>
          <t>Клуб Рослин</t>
        </is>
      </c>
      <c r="C958" s="22" t="inlineStr">
        <is>
          <t>3070</t>
        </is>
      </c>
      <c r="D958" s="22" t="inlineStr">
        <is>
          <t>3070</t>
        </is>
      </c>
      <c r="E958" s="21" t="inlineStr">
        <is>
          <t>Фунгіцид Квадріс 250 SC КС 300 мл Syngenta Сингента Швейцарія</t>
        </is>
      </c>
      <c r="F958" s="21" t="inlineStr">
        <is>
          <t>Ялівець середній Пфітзеріана Глаука Бонсай Extra C100 / L45-60 / o6-10</t>
        </is>
      </c>
      <c r="G958" s="23" t="n">
        <v>1175</v>
      </c>
      <c r="H958" s="23" t="n">
        <v>43884</v>
      </c>
      <c r="I958" s="21" t="inlineStr">
        <is>
          <t>ID постачальника збігся, але різні бренди</t>
        </is>
      </c>
    </row>
    <row r="959">
      <c r="A959" s="22" t="n">
        <v>35.2</v>
      </c>
      <c r="B959" s="22" t="inlineStr">
        <is>
          <t>Клуб Рослин</t>
        </is>
      </c>
      <c r="C959" s="22" t="inlineStr">
        <is>
          <t>1027</t>
        </is>
      </c>
      <c r="D959" s="22" t="inlineStr">
        <is>
          <t>1027</t>
        </is>
      </c>
      <c r="E959" s="21" t="inlineStr">
        <is>
          <t>Гербіцид Подмарин 1 л Хімагромаркетинг Україна</t>
        </is>
      </c>
      <c r="F959" s="21" t="inlineStr">
        <is>
          <t>Барбарис Тунберга Саммер Сансет ® PC19 C3 / H20-25</t>
        </is>
      </c>
      <c r="G959" s="23" t="n">
        <v>375</v>
      </c>
      <c r="H959" s="23" t="n">
        <v>156</v>
      </c>
      <c r="I959" s="21" t="inlineStr">
        <is>
          <t>ID постачальника збігся, але назви різні</t>
        </is>
      </c>
    </row>
    <row r="960">
      <c r="A960" s="22" t="n">
        <v>35.1</v>
      </c>
      <c r="B960" s="22" t="inlineStr">
        <is>
          <t>Клуб Рослин</t>
        </is>
      </c>
      <c r="C960" s="22" t="inlineStr">
        <is>
          <t>1255</t>
        </is>
      </c>
      <c r="D960" s="22" t="inlineStr">
        <is>
          <t>1255</t>
        </is>
      </c>
      <c r="E960" s="21" t="inlineStr">
        <is>
          <t>Гербіцид Оверсайз 20 л Хімагромаркетинг Україна</t>
        </is>
      </c>
      <c r="F960" s="21" t="inlineStr">
        <is>
          <t>Катальпа бігнонієвидна Нана Штамб PC18 C80 / H200-250</t>
        </is>
      </c>
      <c r="G960" s="23" t="n">
        <v>15698</v>
      </c>
      <c r="H960" s="23" t="n">
        <v>3667</v>
      </c>
      <c r="I960" s="21" t="inlineStr">
        <is>
          <t>ID постачальника збігся, але назви різні</t>
        </is>
      </c>
    </row>
    <row r="961">
      <c r="A961" s="22" t="n">
        <v>35.1</v>
      </c>
      <c r="B961" s="22" t="inlineStr">
        <is>
          <t>Клуб Рослин</t>
        </is>
      </c>
      <c r="C961" s="22" t="inlineStr">
        <is>
          <t>1210</t>
        </is>
      </c>
      <c r="D961" s="22" t="inlineStr">
        <is>
          <t>1210</t>
        </is>
      </c>
      <c r="E961" s="21" t="inlineStr">
        <is>
          <t>Гербіцид Слаш 5 л Corteva Кортева США</t>
        </is>
      </c>
      <c r="F961" s="21" t="inlineStr">
        <is>
          <t>Граб звичайний Фастігіата C35 / H300-400</t>
        </is>
      </c>
      <c r="G961" s="23" t="n">
        <v>6998</v>
      </c>
      <c r="H961" s="23" t="n">
        <v>3130</v>
      </c>
      <c r="I961" s="21" t="inlineStr">
        <is>
          <t>ID постачальника збігся, але назви різні</t>
        </is>
      </c>
    </row>
    <row r="962">
      <c r="A962" s="22" t="n">
        <v>35.1</v>
      </c>
      <c r="B962" s="22" t="inlineStr">
        <is>
          <t>Клуб Рослин</t>
        </is>
      </c>
      <c r="C962" s="22" t="inlineStr">
        <is>
          <t>7166</t>
        </is>
      </c>
      <c r="D962" s="22" t="inlineStr">
        <is>
          <t>7166</t>
        </is>
      </c>
      <c r="E962" s="21" t="inlineStr">
        <is>
          <t>Біостимулятор Фітомаре (Fitomare) 5 л Atlantica Agricola Вітера Іспанія</t>
        </is>
      </c>
      <c r="F962" s="21" t="inlineStr">
        <is>
          <t>Троянда гібридний(а) Дабл Штамб G+C7,5 / PaEXTRA</t>
        </is>
      </c>
      <c r="G962" s="23" t="n">
        <v>5847</v>
      </c>
      <c r="H962" s="23" t="n">
        <v>350</v>
      </c>
      <c r="I962" s="21" t="inlineStr">
        <is>
          <t>ID постачальника збігся, але різні бренди</t>
        </is>
      </c>
    </row>
    <row r="963">
      <c r="A963" s="22" t="n">
        <v>35.1</v>
      </c>
      <c r="B963" s="22" t="inlineStr">
        <is>
          <t>Клуб Рослин</t>
        </is>
      </c>
      <c r="C963" s="22" t="inlineStr">
        <is>
          <t>3219</t>
        </is>
      </c>
      <c r="D963" s="22" t="inlineStr">
        <is>
          <t>3219</t>
        </is>
      </c>
      <c r="E963" s="21" t="inlineStr">
        <is>
          <t>Фунгіцид Зорвек Інкантія 1 л Corteva Кортева США</t>
        </is>
      </c>
      <c r="F963" s="21" t="inlineStr">
        <is>
          <t>Ліквідамбар (Амброве дерево) смолоносний C230 / o20-25</t>
        </is>
      </c>
      <c r="G963" s="23" t="n">
        <v>4498</v>
      </c>
      <c r="H963" s="23" t="n">
        <v>28152</v>
      </c>
      <c r="I963" s="21" t="inlineStr">
        <is>
          <t>ID постачальника збігся, але назви різні</t>
        </is>
      </c>
    </row>
    <row r="964">
      <c r="A964" s="22" t="n">
        <v>35.1</v>
      </c>
      <c r="B964" s="22" t="inlineStr">
        <is>
          <t>Клуб Рослин</t>
        </is>
      </c>
      <c r="C964" s="22" t="inlineStr">
        <is>
          <t>233-2</t>
        </is>
      </c>
      <c r="D964" s="22" t="inlineStr">
        <is>
          <t>2332</t>
        </is>
      </c>
      <c r="E964" s="21" t="inlineStr">
        <is>
          <t>Гілкоріз висотний з пилою макс 25 мм (233-2) My Garden</t>
        </is>
      </c>
      <c r="F964" s="21" t="inlineStr">
        <is>
          <t>Гортензія волотиста Меджікел Везувіо PC20 C7,5</t>
        </is>
      </c>
      <c r="G964" s="23" t="n">
        <v>960</v>
      </c>
      <c r="H964" s="23" t="n">
        <v>420</v>
      </c>
      <c r="I964" s="21" t="inlineStr">
        <is>
          <t>ID постачальника збігся, але назви різні</t>
        </is>
      </c>
    </row>
    <row r="965">
      <c r="A965" s="22" t="n">
        <v>35.1</v>
      </c>
      <c r="B965" s="22" t="inlineStr">
        <is>
          <t>Клуб Рослин</t>
        </is>
      </c>
      <c r="C965" s="22" t="inlineStr">
        <is>
          <t>3040</t>
        </is>
      </c>
      <c r="D965" s="22" t="inlineStr">
        <is>
          <t>3040</t>
        </is>
      </c>
      <c r="E965" s="21" t="inlineStr">
        <is>
          <t>Фунгіцид Медян Екстра 350 КС 1 л SumiAgro Сумі Агро Японія</t>
        </is>
      </c>
      <c r="F965" s="21" t="inlineStr">
        <is>
          <t>Ялівець середній Олд Голд PC15 C5 / L30-40</t>
        </is>
      </c>
      <c r="G965" s="23" t="n">
        <v>748</v>
      </c>
      <c r="H965" s="23" t="n">
        <v>140</v>
      </c>
      <c r="I965" s="21" t="inlineStr">
        <is>
          <t>ID постачальника збігся, але назви різні</t>
        </is>
      </c>
    </row>
    <row r="966">
      <c r="A966" s="22" t="n">
        <v>35.1</v>
      </c>
      <c r="B966" s="22" t="inlineStr">
        <is>
          <t>Клуб Рослин</t>
        </is>
      </c>
      <c r="C966" s="22" t="inlineStr">
        <is>
          <t>7096</t>
        </is>
      </c>
      <c r="D966" s="22" t="inlineStr">
        <is>
          <t>7096</t>
        </is>
      </c>
      <c r="E966" s="21" t="inlineStr">
        <is>
          <t>Рост-концентрат NPK 5+5+5 Універсальний 1 л Кіссон Україна</t>
        </is>
      </c>
      <c r="F966" s="21" t="inlineStr">
        <is>
          <t>Троянда плетиста Ексцельса Штамб GK / Pa100</t>
        </is>
      </c>
      <c r="G966" s="23" t="n">
        <v>125</v>
      </c>
      <c r="H966" s="23" t="n">
        <v>520</v>
      </c>
      <c r="I966" s="21" t="inlineStr">
        <is>
          <t>ID постачальника збігся, але різні бренди</t>
        </is>
      </c>
    </row>
    <row r="967">
      <c r="A967" s="22" t="n">
        <v>35</v>
      </c>
      <c r="B967" s="22" t="inlineStr">
        <is>
          <t>Клуб Рослин</t>
        </is>
      </c>
      <c r="C967" s="22" t="inlineStr">
        <is>
          <t>5023</t>
        </is>
      </c>
      <c r="D967" s="22" t="inlineStr">
        <is>
          <t>5023</t>
        </is>
      </c>
      <c r="E967" s="21" t="inlineStr">
        <is>
          <t>Протруйник АС Кольд Дуо 1 л Аптека Садівника Україна</t>
        </is>
      </c>
      <c r="F967" s="21" t="inlineStr">
        <is>
          <t>Сосна густоквіткова Умбракуліфера PC18 C100 / H100-120</t>
        </is>
      </c>
      <c r="G967" s="23" t="n">
        <v>825</v>
      </c>
      <c r="H967" s="23" t="n">
        <v>3600</v>
      </c>
      <c r="I967" s="21" t="inlineStr">
        <is>
          <t>ID постачальника збігся, але назви різні</t>
        </is>
      </c>
    </row>
    <row r="968">
      <c r="A968" s="22" t="n">
        <v>35</v>
      </c>
      <c r="B968" s="22" t="inlineStr">
        <is>
          <t>Клуб Рослин</t>
        </is>
      </c>
      <c r="C968" s="22" t="inlineStr">
        <is>
          <t>9018</t>
        </is>
      </c>
      <c r="D968" s="22" t="inlineStr">
        <is>
          <t>9018</t>
        </is>
      </c>
      <c r="E968" s="21" t="inlineStr">
        <is>
          <t>Прилипач ад’ювант Тіон 1 л Кіссон Україна</t>
        </is>
      </c>
      <c r="F968" s="21" t="inlineStr">
        <is>
          <t>Дерев'яна ручка 1,8 м Штокер Stocker 2218</t>
        </is>
      </c>
      <c r="G968" s="23" t="n">
        <v>303</v>
      </c>
      <c r="H968" s="23" t="n">
        <v>299</v>
      </c>
      <c r="I968" s="21" t="inlineStr">
        <is>
          <t>ID постачальника збігся, але різні об'єми або розміри</t>
        </is>
      </c>
    </row>
    <row r="969">
      <c r="A969" s="22" t="n">
        <v>35</v>
      </c>
      <c r="B969" s="22" t="inlineStr">
        <is>
          <t>Клуб Рослин</t>
        </is>
      </c>
      <c r="C969" s="22" t="inlineStr">
        <is>
          <t>7351</t>
        </is>
      </c>
      <c r="D969" s="22" t="inlineStr">
        <is>
          <t>7351</t>
        </is>
      </c>
      <c r="E969" s="21" t="inlineStr">
        <is>
          <t>Добриво Плантатор 0+25+50 1 кг Кіссон Україна</t>
        </is>
      </c>
      <c r="F969" s="21" t="inlineStr">
        <is>
          <t>Спірея японська Дартс Ред PC20 C7,5</t>
        </is>
      </c>
      <c r="G969" s="23" t="n">
        <v>285</v>
      </c>
      <c r="H969" s="23" t="n">
        <v>288</v>
      </c>
      <c r="I969" s="21" t="inlineStr">
        <is>
          <t>ID постачальника збігся, але назви різні</t>
        </is>
      </c>
    </row>
    <row r="970">
      <c r="A970" s="22" t="n">
        <v>34.9</v>
      </c>
      <c r="B970" s="22" t="inlineStr">
        <is>
          <t>Клуб Рослин</t>
        </is>
      </c>
      <c r="C970" s="22" t="inlineStr">
        <is>
          <t>7948</t>
        </is>
      </c>
      <c r="D970" s="22" t="inlineStr">
        <is>
          <t>7948</t>
        </is>
      </c>
      <c r="E970" s="21" t="inlineStr">
        <is>
          <t>Регулятор росту рослин Герба 4 Ел-Джі / Gerba 4 LG 4 л L.Gobbi Італія</t>
        </is>
      </c>
      <c r="F970" s="21" t="inlineStr">
        <is>
          <t>Туя складчата Форева Голді Extra C45 / H120-140</t>
        </is>
      </c>
      <c r="G970" s="23" t="n">
        <v>9631</v>
      </c>
      <c r="H970" s="23" t="n">
        <v>4200</v>
      </c>
      <c r="I970" s="21" t="inlineStr">
        <is>
          <t>ID постачальника збігся, але різні бренди</t>
        </is>
      </c>
    </row>
    <row r="971">
      <c r="A971" s="22" t="n">
        <v>34.9</v>
      </c>
      <c r="B971" s="22" t="inlineStr">
        <is>
          <t>Клуб Рослин</t>
        </is>
      </c>
      <c r="C971" s="22" t="inlineStr">
        <is>
          <t>3000</t>
        </is>
      </c>
      <c r="D971" s="22" t="inlineStr">
        <is>
          <t>3000</t>
        </is>
      </c>
      <c r="E971" s="21" t="inlineStr">
        <is>
          <t>Фунгіцид Скор 250 ЕС КЕ 1 л Syngenta Сингента Швейцарія</t>
        </is>
      </c>
      <c r="F971" s="21" t="inlineStr">
        <is>
          <t>Ялівець середній Мінт Джулеп C2</t>
        </is>
      </c>
      <c r="G971" s="23" t="n">
        <v>5462</v>
      </c>
      <c r="H971" s="23" t="n">
        <v>156</v>
      </c>
      <c r="I971" s="21" t="inlineStr">
        <is>
          <t>ID постачальника збігся, але назви різні</t>
        </is>
      </c>
    </row>
    <row r="972">
      <c r="A972" s="22" t="n">
        <v>34.9</v>
      </c>
      <c r="B972" s="22" t="inlineStr">
        <is>
          <t>Клуб Рослин</t>
        </is>
      </c>
      <c r="C972" s="22" t="inlineStr">
        <is>
          <t>2295</t>
        </is>
      </c>
      <c r="D972" s="22" t="inlineStr">
        <is>
          <t>2295</t>
        </is>
      </c>
      <c r="E972" s="21" t="inlineStr">
        <is>
          <t>Інсектицид Тіаклотрин-М 5 л Агрохімічні технології Україна</t>
        </is>
      </c>
      <c r="F972" s="21" t="inlineStr">
        <is>
          <t>Гортензія волотиста Меджікал Кіліманджаро PC20 C7,5</t>
        </is>
      </c>
      <c r="G972" s="23" t="n">
        <v>4175</v>
      </c>
      <c r="H972" s="23" t="n">
        <v>580</v>
      </c>
      <c r="I972" s="21" t="inlineStr">
        <is>
          <t>ID постачальника збігся, але назви різні</t>
        </is>
      </c>
    </row>
    <row r="973">
      <c r="A973" s="22" t="n">
        <v>34.9</v>
      </c>
      <c r="B973" s="22" t="inlineStr">
        <is>
          <t>Клуб Рослин</t>
        </is>
      </c>
      <c r="C973" s="22" t="inlineStr">
        <is>
          <t>5026</t>
        </is>
      </c>
      <c r="D973" s="22" t="inlineStr">
        <is>
          <t>5026</t>
        </is>
      </c>
      <c r="E973" s="21" t="inlineStr">
        <is>
          <t>Протруйник Шедевр 1 л ProtectON / ПротектОН Україна</t>
        </is>
      </c>
      <c r="F973" s="21" t="inlineStr">
        <is>
          <t>Сосна густоквіткова Умбракуліфера Woodenbox 600 / H60-80 / L80-100</t>
        </is>
      </c>
      <c r="G973" s="23" t="n">
        <v>1560</v>
      </c>
      <c r="H973" s="23" t="n">
        <v>8280</v>
      </c>
      <c r="I973" s="21" t="inlineStr">
        <is>
          <t>ID постачальника збігся, але різні бренди</t>
        </is>
      </c>
    </row>
    <row r="974">
      <c r="A974" s="22" t="n">
        <v>34.9</v>
      </c>
      <c r="B974" s="22" t="inlineStr">
        <is>
          <t>Клуб Рослин</t>
        </is>
      </c>
      <c r="C974" s="22" t="inlineStr">
        <is>
          <t>9032</t>
        </is>
      </c>
      <c r="D974" s="22" t="inlineStr">
        <is>
          <t>9032</t>
        </is>
      </c>
      <c r="E974" s="21" t="inlineStr">
        <is>
          <t>Прилипач Бустер 5 л Alfa Smart Agro Альфа Смарт Агро Украина</t>
        </is>
      </c>
      <c r="F974" s="21" t="inlineStr">
        <is>
          <t>Держак Bellota M3080.B для сапок 1500 мм, d=30 мм (Беллота)</t>
        </is>
      </c>
      <c r="G974" s="23" t="n">
        <v>1500</v>
      </c>
      <c r="H974" s="23" t="n">
        <v>409</v>
      </c>
      <c r="I974" s="21" t="inlineStr">
        <is>
          <t>ID постачальника збігся, але різні об'єми або розміри</t>
        </is>
      </c>
    </row>
    <row r="975">
      <c r="A975" s="22" t="n">
        <v>34.9</v>
      </c>
      <c r="B975" s="22" t="inlineStr">
        <is>
          <t>Клуб Рослин</t>
        </is>
      </c>
      <c r="C975" s="22" t="inlineStr">
        <is>
          <t>7183</t>
        </is>
      </c>
      <c r="D975" s="22" t="inlineStr">
        <is>
          <t>7183</t>
        </is>
      </c>
      <c r="E975" s="21" t="inlineStr">
        <is>
          <t>Добриво Нутрівант Плюс Плодово-ягідний 12-5-27+8CaO 1 кг Вітера ICL Ізраїль</t>
        </is>
      </c>
      <c r="F975" s="21" t="inlineStr">
        <is>
          <t>Троянда гібридний(а) Інгрід Бергман Штамб G+C7,5 / Pa100</t>
        </is>
      </c>
      <c r="G975" s="23" t="n">
        <v>398</v>
      </c>
      <c r="H975" s="23" t="n">
        <v>245</v>
      </c>
      <c r="I975" s="21" t="inlineStr">
        <is>
          <t>ID постачальника збігся, але назви різні</t>
        </is>
      </c>
    </row>
    <row r="976">
      <c r="A976" s="22" t="n">
        <v>34.8</v>
      </c>
      <c r="B976" s="22" t="inlineStr">
        <is>
          <t>Клуб Рослин</t>
        </is>
      </c>
      <c r="C976" s="22" t="inlineStr">
        <is>
          <t>5016</t>
        </is>
      </c>
      <c r="D976" s="22" t="inlineStr">
        <is>
          <t>5016</t>
        </is>
      </c>
      <c r="E976" s="21" t="inlineStr">
        <is>
          <t>Протруйник Екзор 5 л Ukravit Укравіт Україна</t>
        </is>
      </c>
      <c r="F976" s="21" t="inlineStr">
        <is>
          <t>Сосна густоквіткова Умбракуліфера K20 C45 / H80-100</t>
        </is>
      </c>
      <c r="G976" s="23" t="n">
        <v>4848</v>
      </c>
      <c r="H976" s="23" t="n">
        <v>4637</v>
      </c>
      <c r="I976" s="21" t="inlineStr">
        <is>
          <t>ID постачальника збігся, але назви різні</t>
        </is>
      </c>
    </row>
    <row r="977">
      <c r="A977" s="22" t="n">
        <v>34.8</v>
      </c>
      <c r="B977" s="22" t="inlineStr">
        <is>
          <t>Клуб Рослин</t>
        </is>
      </c>
      <c r="C977" s="22" t="inlineStr">
        <is>
          <t>2308</t>
        </is>
      </c>
      <c r="D977" s="22" t="inlineStr">
        <is>
          <t>2308</t>
        </is>
      </c>
      <c r="E977" s="21" t="inlineStr">
        <is>
          <t>Iнсектицид Боксер 5 л Нертус Угорщина</t>
        </is>
      </c>
      <c r="F977" s="21" t="inlineStr">
        <is>
          <t>Гортензія волотиста Межджікал Монт Блан PC20 C7,5 / H60-70</t>
        </is>
      </c>
      <c r="G977" s="23" t="n">
        <v>4053</v>
      </c>
      <c r="H977" s="23" t="n">
        <v>420</v>
      </c>
      <c r="I977" s="21" t="inlineStr">
        <is>
          <t>ID постачальника збігся, але назви різні</t>
        </is>
      </c>
    </row>
    <row r="978">
      <c r="A978" s="22" t="n">
        <v>34.8</v>
      </c>
      <c r="B978" s="22" t="inlineStr">
        <is>
          <t>Клуб Рослин</t>
        </is>
      </c>
      <c r="C978" s="22" t="inlineStr">
        <is>
          <t>7179</t>
        </is>
      </c>
      <c r="D978" s="22" t="inlineStr">
        <is>
          <t>7179</t>
        </is>
      </c>
      <c r="E978" s="21" t="inlineStr">
        <is>
          <t>Добриво Нутрівант Дріп 16-8-25+4MgO 25 кг ICL Ізраїль</t>
        </is>
      </c>
      <c r="F978" s="21" t="inlineStr">
        <is>
          <t>Троянда гібридний(а) (Імператріс Фарах DP G</t>
        </is>
      </c>
      <c r="G978" s="23" t="n">
        <v>3975</v>
      </c>
      <c r="H978" s="23" t="n">
        <v>60</v>
      </c>
      <c r="I978" s="21" t="inlineStr">
        <is>
          <t>ID постачальника збігся, але різні бренди</t>
        </is>
      </c>
    </row>
    <row r="979">
      <c r="A979" s="22" t="n">
        <v>34.8</v>
      </c>
      <c r="B979" s="22" t="inlineStr">
        <is>
          <t>Клуб Рослин</t>
        </is>
      </c>
      <c r="C979" s="22" t="inlineStr">
        <is>
          <t>2077</t>
        </is>
      </c>
      <c r="D979" s="22" t="inlineStr">
        <is>
          <t>2077</t>
        </is>
      </c>
      <c r="E979" s="21" t="inlineStr">
        <is>
          <t>Інсектицид Твікс 10 л Дефенда / Defenda</t>
        </is>
      </c>
      <c r="F979" s="21" t="inlineStr">
        <is>
          <t>Гібіскус сірійський Валбертонс Роуз Мун Штамб ® C10 / Pa100</t>
        </is>
      </c>
      <c r="G979" s="23" t="n">
        <v>3498</v>
      </c>
      <c r="H979" s="23" t="n">
        <v>1884</v>
      </c>
      <c r="I979" s="21" t="inlineStr">
        <is>
          <t>ID постачальника збігся, але назви різні</t>
        </is>
      </c>
    </row>
    <row r="980">
      <c r="A980" s="22" t="n">
        <v>34.8</v>
      </c>
      <c r="B980" s="22" t="inlineStr">
        <is>
          <t>Клуб Рослин</t>
        </is>
      </c>
      <c r="C980" s="22" t="inlineStr">
        <is>
          <t>2280</t>
        </is>
      </c>
      <c r="D980" s="22" t="inlineStr">
        <is>
          <t>2280</t>
        </is>
      </c>
      <c r="E980" s="21" t="inlineStr">
        <is>
          <t>Інсектицид Джаванто КЕ 1 л IFAGRI Велика Британія</t>
        </is>
      </c>
      <c r="F980" s="21" t="inlineStr">
        <is>
          <t>Гортензія волотиста Межджікал Кендл PC21 C3</t>
        </is>
      </c>
      <c r="G980" s="23" t="n">
        <v>1798</v>
      </c>
      <c r="H980" s="23" t="n">
        <v>240</v>
      </c>
      <c r="I980" s="21" t="inlineStr">
        <is>
          <t>ID постачальника збігся, але назви різні</t>
        </is>
      </c>
    </row>
    <row r="981">
      <c r="A981" s="22" t="n">
        <v>34.8</v>
      </c>
      <c r="B981" s="22" t="inlineStr">
        <is>
          <t>Клуб Рослин</t>
        </is>
      </c>
      <c r="C981" s="22" t="inlineStr">
        <is>
          <t>3296</t>
        </is>
      </c>
      <c r="D981" s="22" t="inlineStr">
        <is>
          <t>3296</t>
        </is>
      </c>
      <c r="E981" s="21" t="inlineStr">
        <is>
          <t>Фунгіцид Джерело 1 л Presence / Презенс</t>
        </is>
      </c>
      <c r="F981" s="21" t="inlineStr">
        <is>
          <t>Жимолость східна Зойка PC21 C7,5</t>
        </is>
      </c>
      <c r="G981" s="23" t="n">
        <v>1348</v>
      </c>
      <c r="H981" s="23" t="n">
        <v>290</v>
      </c>
      <c r="I981" s="21" t="inlineStr">
        <is>
          <t>ID постачальника збігся, але назви різні</t>
        </is>
      </c>
    </row>
    <row r="982">
      <c r="A982" s="22" t="n">
        <v>34.8</v>
      </c>
      <c r="B982" s="22" t="inlineStr">
        <is>
          <t>Клуб Рослин</t>
        </is>
      </c>
      <c r="C982" s="22" t="inlineStr">
        <is>
          <t>7115</t>
        </is>
      </c>
      <c r="D982" s="22" t="inlineStr">
        <is>
          <t>7115</t>
        </is>
      </c>
      <c r="E982" s="21" t="inlineStr">
        <is>
          <t>Рост-концентрат NPK 15+7+7 Азотний 10 л Кіссон Україна</t>
        </is>
      </c>
      <c r="F982" s="21" t="inlineStr">
        <is>
          <t>Троянда плетиста Принцеса Маргарет SP G</t>
        </is>
      </c>
      <c r="G982" s="23" t="n">
        <v>1313</v>
      </c>
      <c r="H982" s="23" t="n">
        <v>44</v>
      </c>
      <c r="I982" s="21" t="inlineStr">
        <is>
          <t>ID постачальника збігся, але різні бренди</t>
        </is>
      </c>
    </row>
    <row r="983">
      <c r="A983" s="22" t="n">
        <v>34.8</v>
      </c>
      <c r="B983" s="22" t="inlineStr">
        <is>
          <t>Клуб Рослин</t>
        </is>
      </c>
      <c r="C983" s="22" t="inlineStr">
        <is>
          <t>1216</t>
        </is>
      </c>
      <c r="D983" s="22" t="inlineStr">
        <is>
          <t>1216</t>
        </is>
      </c>
      <c r="E983" s="21" t="inlineStr">
        <is>
          <t>Гербіцид Конвой 250 г Нертус Угорщина</t>
        </is>
      </c>
      <c r="F983" s="21" t="inlineStr">
        <is>
          <t>Граб звичайний Фастігіата Шпалера+Штамб 120*120 C50 / Pa200</t>
        </is>
      </c>
      <c r="G983" s="23" t="n">
        <v>1228</v>
      </c>
      <c r="H983" s="23" t="n">
        <v>5159</v>
      </c>
      <c r="I983" s="21" t="inlineStr">
        <is>
          <t>ID постачальника збігся, але назви різні</t>
        </is>
      </c>
    </row>
    <row r="984">
      <c r="A984" s="22" t="n">
        <v>34.8</v>
      </c>
      <c r="B984" s="22" t="inlineStr">
        <is>
          <t>Клуб Рослин</t>
        </is>
      </c>
      <c r="C984" s="22" t="inlineStr">
        <is>
          <t>2116</t>
        </is>
      </c>
      <c r="D984" s="22" t="inlineStr">
        <is>
          <t>2116</t>
        </is>
      </c>
      <c r="E984" s="21" t="inlineStr">
        <is>
          <t>Інсектицид Прованто Отек 500 мл Bayer Байєр Німеччина</t>
        </is>
      </c>
      <c r="F984" s="21" t="inlineStr">
        <is>
          <t>Гортензія великолисткова Ендлесс Саммер Блум Стар Пінк Роуз C5</t>
        </is>
      </c>
      <c r="G984" s="23" t="n">
        <v>1225</v>
      </c>
      <c r="H984" s="23" t="n">
        <v>630</v>
      </c>
      <c r="I984" s="21" t="inlineStr">
        <is>
          <t>ID постачальника збігся, але назви різні</t>
        </is>
      </c>
    </row>
    <row r="985">
      <c r="A985" s="22" t="n">
        <v>34.8</v>
      </c>
      <c r="B985" s="22" t="inlineStr">
        <is>
          <t>Клуб Рослин</t>
        </is>
      </c>
      <c r="C985" s="22" t="inlineStr">
        <is>
          <t>3171</t>
        </is>
      </c>
      <c r="D985" s="22" t="inlineStr">
        <is>
          <t>3171</t>
        </is>
      </c>
      <c r="E985" s="21" t="inlineStr">
        <is>
          <t>Фунгіцид Полірам ДФ 70% 1 кг (розсип) Basf Басф Німеччина</t>
        </is>
      </c>
      <c r="F985" s="21" t="inlineStr">
        <is>
          <t>Лілія східна гібридна Діп Імпакт 12\14</t>
        </is>
      </c>
      <c r="G985" s="23" t="n">
        <v>798</v>
      </c>
      <c r="H985" s="23" t="n">
        <v>50</v>
      </c>
      <c r="I985" s="21" t="inlineStr">
        <is>
          <t>ID постачальника збігся, але назви різні</t>
        </is>
      </c>
    </row>
    <row r="986">
      <c r="A986" s="22" t="n">
        <v>34.8</v>
      </c>
      <c r="B986" s="22" t="inlineStr">
        <is>
          <t>Клуб Рослин</t>
        </is>
      </c>
      <c r="C986" s="22" t="inlineStr">
        <is>
          <t>2288</t>
        </is>
      </c>
      <c r="D986" s="22" t="inlineStr">
        <is>
          <t>2288</t>
        </is>
      </c>
      <c r="E986" s="21" t="inlineStr">
        <is>
          <t>Інсектицид Тотем 100 мл ProtectON / ПротектОн Україна</t>
        </is>
      </c>
      <c r="F986" s="21" t="inlineStr">
        <is>
          <t>Гортензія волотиста Меджикал Фаєр ® PC21 C3</t>
        </is>
      </c>
      <c r="G986" s="23" t="n">
        <v>498</v>
      </c>
      <c r="H986" s="23" t="n">
        <v>240</v>
      </c>
      <c r="I986" s="21" t="inlineStr">
        <is>
          <t>ID постачальника збігся, але назви різні</t>
        </is>
      </c>
    </row>
    <row r="987">
      <c r="A987" s="22" t="n">
        <v>34.8</v>
      </c>
      <c r="B987" s="22" t="inlineStr">
        <is>
          <t>Клуб Рослин</t>
        </is>
      </c>
      <c r="C987" s="22" t="inlineStr">
        <is>
          <t>7181</t>
        </is>
      </c>
      <c r="D987" s="22" t="inlineStr">
        <is>
          <t>7181</t>
        </is>
      </c>
      <c r="E987" s="21" t="inlineStr">
        <is>
          <t>Добриво Нутрівант Плюс гарбузовий 6-13-31+2MgO+ME 1 кг Вітера ICL Ізраїль</t>
        </is>
      </c>
      <c r="F987" s="21" t="inlineStr">
        <is>
          <t>Троянда гібридний(а) (Імператріс Фарах PC17 C2</t>
        </is>
      </c>
      <c r="G987" s="23" t="n">
        <v>398</v>
      </c>
      <c r="H987" s="23" t="n">
        <v>70</v>
      </c>
      <c r="I987" s="21" t="inlineStr">
        <is>
          <t>ID постачальника збігся, але назви різні</t>
        </is>
      </c>
    </row>
    <row r="988">
      <c r="A988" s="22" t="n">
        <v>34.8</v>
      </c>
      <c r="B988" s="22" t="inlineStr">
        <is>
          <t>Клуб Рослин</t>
        </is>
      </c>
      <c r="C988" s="22" t="inlineStr">
        <is>
          <t>2228</t>
        </is>
      </c>
      <c r="D988" s="22" t="inlineStr">
        <is>
          <t>2228</t>
        </is>
      </c>
      <c r="E988" s="21" t="inlineStr">
        <is>
          <t>Інсектицид Ньюстар 500 мл Хімагромаркетинг Україна</t>
        </is>
      </c>
      <c r="F988" s="21" t="inlineStr">
        <is>
          <t>Гортензія волотиста Лаймлайт ® PC22 C5 / H20-30</t>
        </is>
      </c>
      <c r="G988" s="23" t="n">
        <v>286</v>
      </c>
      <c r="H988" s="23" t="n">
        <v>360</v>
      </c>
      <c r="I988" s="21" t="inlineStr">
        <is>
          <t>ID постачальника збігся, але назви різні</t>
        </is>
      </c>
    </row>
    <row r="989">
      <c r="A989" s="22" t="n">
        <v>34.7</v>
      </c>
      <c r="B989" s="22" t="inlineStr">
        <is>
          <t>Клуб Рослин</t>
        </is>
      </c>
      <c r="C989" s="22" t="inlineStr">
        <is>
          <t>9052</t>
        </is>
      </c>
      <c r="D989" s="22" t="inlineStr">
        <is>
          <t>9052</t>
        </is>
      </c>
      <c r="E989" s="21" t="inlineStr">
        <is>
          <t>Антиспінювач Ікар Перфект Фом / Ikar Perfect Foam 5 л Литва</t>
        </is>
      </c>
      <c r="F989" s="21" t="inlineStr">
        <is>
          <t>Джутовий шнурок 250 м Штокер Stocker 4696</t>
        </is>
      </c>
      <c r="G989" s="23" t="n">
        <v>9180</v>
      </c>
      <c r="H989" s="23" t="n">
        <v>210</v>
      </c>
      <c r="I989" s="21" t="inlineStr">
        <is>
          <t>ID постачальника збігся, але різні об'єми або розміри</t>
        </is>
      </c>
    </row>
    <row r="990">
      <c r="A990" s="22" t="n">
        <v>34.7</v>
      </c>
      <c r="B990" s="22" t="inlineStr">
        <is>
          <t>Клуб Рослин</t>
        </is>
      </c>
      <c r="C990" s="22" t="inlineStr">
        <is>
          <t>3368</t>
        </is>
      </c>
      <c r="D990" s="22" t="inlineStr">
        <is>
          <t>3368</t>
        </is>
      </c>
      <c r="E990" s="21" t="inlineStr">
        <is>
          <t>Біофунгіцид Бактіфол / Bactifol 1 кг Bioera Іспанія</t>
        </is>
      </c>
      <c r="F990" s="21" t="inlineStr">
        <is>
          <t>Магнолія гібридний(а) Гелексі C130 / H100-150 / L200-250</t>
        </is>
      </c>
      <c r="G990" s="23" t="n">
        <v>6240</v>
      </c>
      <c r="H990" s="23" t="n">
        <v>21528</v>
      </c>
      <c r="I990" s="21" t="inlineStr">
        <is>
          <t>ID постачальника збігся, але назви різні</t>
        </is>
      </c>
    </row>
    <row r="991">
      <c r="A991" s="22" t="n">
        <v>34.7</v>
      </c>
      <c r="B991" s="22" t="inlineStr">
        <is>
          <t>Клуб Рослин</t>
        </is>
      </c>
      <c r="C991" s="22" t="inlineStr">
        <is>
          <t>7698</t>
        </is>
      </c>
      <c r="D991" s="22" t="inlineStr">
        <is>
          <t>7698</t>
        </is>
      </c>
      <c r="E991" s="21" t="inlineStr">
        <is>
          <t>Добриво Хелатин Кальцій (Ca) 10 л Кіссон Україна</t>
        </is>
      </c>
      <c r="F991" s="21" t="inlineStr">
        <is>
          <t>Туя західна (ий) Даніка K19 C12</t>
        </is>
      </c>
      <c r="G991" s="23" t="n">
        <v>1601</v>
      </c>
      <c r="H991" s="23" t="n">
        <v>359</v>
      </c>
      <c r="I991" s="21" t="inlineStr">
        <is>
          <t>ID постачальника збігся, але назви різні</t>
        </is>
      </c>
    </row>
    <row r="992">
      <c r="A992" s="22" t="n">
        <v>34.7</v>
      </c>
      <c r="B992" s="22" t="inlineStr">
        <is>
          <t>Клуб Рослин</t>
        </is>
      </c>
      <c r="C992" s="22" t="inlineStr">
        <is>
          <t>100-01</t>
        </is>
      </c>
      <c r="D992" s="22" t="inlineStr">
        <is>
          <t>10001</t>
        </is>
      </c>
      <c r="E992" s="21" t="inlineStr">
        <is>
          <t>Гілкоріз телескопічний 700 - 980 мм Drop Forged SK 5 (100-01)</t>
        </is>
      </c>
      <c r="F992" s="21" t="inlineStr">
        <is>
          <t>Клей монтажний QuickPrime Plus 3.8л (метал)</t>
        </is>
      </c>
      <c r="G992" s="23" t="n">
        <v>900</v>
      </c>
      <c r="H992" s="23" t="n">
        <v>1970</v>
      </c>
      <c r="I992" s="21" t="inlineStr">
        <is>
          <t>ID постачальника збігся, але різні об'єми або розміри</t>
        </is>
      </c>
    </row>
    <row r="993">
      <c r="A993" s="22" t="n">
        <v>34.7</v>
      </c>
      <c r="B993" s="22" t="inlineStr">
        <is>
          <t>Клуб Рослин</t>
        </is>
      </c>
      <c r="C993" s="22" t="inlineStr">
        <is>
          <t>3113</t>
        </is>
      </c>
      <c r="D993" s="22" t="inlineStr">
        <is>
          <t>3113</t>
        </is>
      </c>
      <c r="E993" s="21" t="inlineStr">
        <is>
          <t>Фунгіцид Талендо 20% КЕ 250 мл (розлив) Corteva Кортва США</t>
        </is>
      </c>
      <c r="F993" s="21" t="inlineStr">
        <is>
          <t>Лаванда вузьколиста Дварф Блю PC14 P9 / H10-15</t>
        </is>
      </c>
      <c r="G993" s="23" t="n">
        <v>858</v>
      </c>
      <c r="H993" s="23" t="n">
        <v>25</v>
      </c>
      <c r="I993" s="21" t="inlineStr">
        <is>
          <t>ID постачальника збігся, але назви різні</t>
        </is>
      </c>
    </row>
    <row r="994">
      <c r="A994" s="22" t="n">
        <v>34.7</v>
      </c>
      <c r="B994" s="22" t="inlineStr">
        <is>
          <t>Клуб Рослин</t>
        </is>
      </c>
      <c r="C994" s="22" t="inlineStr">
        <is>
          <t>3224</t>
        </is>
      </c>
      <c r="D994" s="22" t="inlineStr">
        <is>
          <t>3224</t>
        </is>
      </c>
      <c r="E994" s="21" t="inlineStr">
        <is>
          <t>Фунгіцид Док Про 200 г ALFA Smart Agro Альфа Смарт Агро Україна</t>
        </is>
      </c>
      <c r="F994" s="21" t="inlineStr">
        <is>
          <t>Ліквідамбар (Амброве дерево) смолоносний G+C27,5 / H250-300 / o6-8</t>
        </is>
      </c>
      <c r="G994" s="23" t="n">
        <v>365</v>
      </c>
      <c r="H994" s="23" t="n">
        <v>1286</v>
      </c>
      <c r="I994" s="21" t="inlineStr">
        <is>
          <t>ID постачальника збігся, але назви різні</t>
        </is>
      </c>
    </row>
    <row r="995">
      <c r="A995" s="22" t="n">
        <v>34.7</v>
      </c>
      <c r="B995" s="22" t="inlineStr">
        <is>
          <t>Клуб Рослин</t>
        </is>
      </c>
      <c r="C995" s="22" t="inlineStr">
        <is>
          <t>3372</t>
        </is>
      </c>
      <c r="D995" s="22" t="inlineStr">
        <is>
          <t>3372</t>
        </is>
      </c>
      <c r="E995" s="21" t="inlineStr">
        <is>
          <t>Біофунгіцид Біонорма Триходерма 800 г BioNorma Україна</t>
        </is>
      </c>
      <c r="F995" s="21" t="inlineStr">
        <is>
          <t>Магнолія гібридний(а) Гелексі Штамб C20 / Pa130</t>
        </is>
      </c>
      <c r="G995" s="23" t="n">
        <v>363</v>
      </c>
      <c r="H995" s="23" t="n">
        <v>3312</v>
      </c>
      <c r="I995" s="21" t="inlineStr">
        <is>
          <t>ID постачальника збігся, але назви різні</t>
        </is>
      </c>
    </row>
    <row r="996">
      <c r="A996" s="22" t="n">
        <v>34.6</v>
      </c>
      <c r="B996" s="22" t="inlineStr">
        <is>
          <t>Клуб Рослин</t>
        </is>
      </c>
      <c r="C996" s="22" t="inlineStr">
        <is>
          <t>2082</t>
        </is>
      </c>
      <c r="D996" s="22" t="inlineStr">
        <is>
          <t>2082</t>
        </is>
      </c>
      <c r="E996" s="21" t="inlineStr">
        <is>
          <t>Інсектицид Регент 10 кг Basf Басф Німеччина</t>
        </is>
      </c>
      <c r="F996" s="21" t="inlineStr">
        <is>
          <t>Гібіскус сірійський Вудбрідж C10 / H60-70</t>
        </is>
      </c>
      <c r="G996" s="23" t="n">
        <v>5998</v>
      </c>
      <c r="H996" s="23" t="n">
        <v>960</v>
      </c>
      <c r="I996" s="21" t="inlineStr">
        <is>
          <t>ID постачальника збігся, але назви різні</t>
        </is>
      </c>
    </row>
    <row r="997">
      <c r="A997" s="22" t="n">
        <v>34.6</v>
      </c>
      <c r="B997" s="22" t="inlineStr">
        <is>
          <t>Клуб Рослин</t>
        </is>
      </c>
      <c r="C997" s="22" t="inlineStr">
        <is>
          <t>7051</t>
        </is>
      </c>
      <c r="D997" s="22" t="inlineStr">
        <is>
          <t>7051</t>
        </is>
      </c>
      <c r="E997" s="21" t="inlineStr">
        <is>
          <t>Мікродобриво Бороплюс Boroplus 10 л Syngenta (Valagro) Італія</t>
        </is>
      </c>
      <c r="F997" s="21" t="inlineStr">
        <is>
          <t>Смородина чорна Тітанія Штамб C3 / H125-150 / Pa80</t>
        </is>
      </c>
      <c r="G997" s="23" t="n">
        <v>4198</v>
      </c>
      <c r="H997" s="23" t="n">
        <v>525</v>
      </c>
      <c r="I997" s="21" t="inlineStr">
        <is>
          <t>ID постачальника збігся, але назви різні</t>
        </is>
      </c>
    </row>
    <row r="998">
      <c r="A998" s="22" t="n">
        <v>34.6</v>
      </c>
      <c r="B998" s="22" t="inlineStr">
        <is>
          <t>Клуб Рослин</t>
        </is>
      </c>
      <c r="C998" s="22" t="inlineStr">
        <is>
          <t>7259</t>
        </is>
      </c>
      <c r="D998" s="22" t="inlineStr">
        <is>
          <t>7259</t>
        </is>
      </c>
      <c r="E998" s="21" t="inlineStr">
        <is>
          <t>Добриво Эко-Гумат / Eко-Humat 20 л Мінерал Груп Україна</t>
        </is>
      </c>
      <c r="F998" s="21" t="inlineStr">
        <is>
          <t>Троянда Mix (в асортименті) C12</t>
        </is>
      </c>
      <c r="G998" s="23" t="n">
        <v>4000</v>
      </c>
      <c r="H998" s="23" t="n">
        <v>420</v>
      </c>
      <c r="I998" s="21" t="inlineStr">
        <is>
          <t>ID постачальника збігся, але різні бренди</t>
        </is>
      </c>
    </row>
    <row r="999">
      <c r="A999" s="22" t="n">
        <v>34.6</v>
      </c>
      <c r="B999" s="22" t="inlineStr">
        <is>
          <t>Клуб Рослин</t>
        </is>
      </c>
      <c r="C999" s="22" t="inlineStr">
        <is>
          <t>3035</t>
        </is>
      </c>
      <c r="D999" s="22" t="inlineStr">
        <is>
          <t>3035</t>
        </is>
      </c>
      <c r="E999" s="21" t="inlineStr">
        <is>
          <t>Фунгіцид Оріус 250 5 л Adama Адама Ізраїль</t>
        </is>
      </c>
      <c r="F999" s="21" t="inlineStr">
        <is>
          <t>Ялівець середній Олд Голд K20 C45 / H30-40</t>
        </is>
      </c>
      <c r="G999" s="23" t="n">
        <v>3900</v>
      </c>
      <c r="H999" s="23" t="n">
        <v>960</v>
      </c>
      <c r="I999" s="21" t="inlineStr">
        <is>
          <t>ID постачальника збігся, але назви різні</t>
        </is>
      </c>
    </row>
    <row r="1000">
      <c r="A1000" s="22" t="n">
        <v>34.6</v>
      </c>
      <c r="B1000" s="22" t="inlineStr">
        <is>
          <t>Клуб Рослин</t>
        </is>
      </c>
      <c r="C1000" s="22" t="inlineStr">
        <is>
          <t>7721</t>
        </is>
      </c>
      <c r="D1000" s="22" t="inlineStr">
        <is>
          <t>7721</t>
        </is>
      </c>
      <c r="E1000" s="21" t="inlineStr">
        <is>
          <t>Добриво Авангард Кальцій + М/Е 20 л Ukravit Укравіт Україна</t>
        </is>
      </c>
      <c r="F1000" s="21" t="inlineStr">
        <is>
          <t>Туя західна (ий) Філіформіс Штамб C20 / L40-50 / Pa120</t>
        </is>
      </c>
      <c r="G1000" s="23" t="n">
        <v>2098</v>
      </c>
      <c r="H1000" s="23" t="n">
        <v>2770</v>
      </c>
      <c r="I1000" s="21" t="inlineStr">
        <is>
          <t>ID постачальника збігся, але назви різні</t>
        </is>
      </c>
    </row>
    <row r="1001">
      <c r="A1001" s="22" t="n">
        <v>34.6</v>
      </c>
      <c r="B1001" s="22" t="inlineStr">
        <is>
          <t>Клуб Рослин</t>
        </is>
      </c>
      <c r="C1001" s="22" t="inlineStr">
        <is>
          <t>7041</t>
        </is>
      </c>
      <c r="D1001" s="22" t="inlineStr">
        <is>
          <t>7041</t>
        </is>
      </c>
      <c r="E1001" s="21" t="inlineStr">
        <is>
          <t>Біостимулятор Кендал Kendal 1 л Valagro Валагро Італія</t>
        </is>
      </c>
      <c r="F1001" s="21" t="inlineStr">
        <is>
          <t>Рододендрон якушиманський Моргенрот Штамб D20 / Pa70</t>
        </is>
      </c>
      <c r="G1001" s="23" t="n">
        <v>1048</v>
      </c>
      <c r="H1001" s="23" t="n">
        <v>1735</v>
      </c>
      <c r="I1001" s="21" t="inlineStr">
        <is>
          <t>ID постачальника збігся, але назви різні</t>
        </is>
      </c>
    </row>
    <row r="1002">
      <c r="A1002" s="22" t="n">
        <v>34.6</v>
      </c>
      <c r="B1002" s="22" t="inlineStr">
        <is>
          <t>Клуб Рослин</t>
        </is>
      </c>
      <c r="C1002" s="22" t="inlineStr">
        <is>
          <t>3154</t>
        </is>
      </c>
      <c r="D1002" s="22" t="inlineStr">
        <is>
          <t>3154</t>
        </is>
      </c>
      <c r="E1002" s="21" t="inlineStr">
        <is>
          <t>Фунгіцид Страж ВГ 500 г Ukravit Укравіт Україна</t>
        </is>
      </c>
      <c r="F1002" s="21" t="inlineStr">
        <is>
          <t>Лілія ЛА-гібридна Каліфорнія 12\14</t>
        </is>
      </c>
      <c r="G1002" s="23" t="n">
        <v>798</v>
      </c>
      <c r="H1002" s="23" t="n">
        <v>50</v>
      </c>
      <c r="I1002" s="21" t="inlineStr">
        <is>
          <t>ID постачальника збігся, але назви різні</t>
        </is>
      </c>
    </row>
    <row r="1003">
      <c r="A1003" s="22" t="n">
        <v>34.6</v>
      </c>
      <c r="B1003" s="22" t="inlineStr">
        <is>
          <t>Клуб Рослин</t>
        </is>
      </c>
      <c r="C1003" s="22" t="inlineStr">
        <is>
          <t>3110</t>
        </is>
      </c>
      <c r="D1003" s="22" t="inlineStr">
        <is>
          <t>3110</t>
        </is>
      </c>
      <c r="E1003" s="21" t="inlineStr">
        <is>
          <t>Фунгіцид Бродвей КС 1 л Хімагромаркетинг Україна</t>
        </is>
      </c>
      <c r="F1003" s="21" t="inlineStr">
        <is>
          <t>Лавр благородна (-ий) Штамб C10 / Pa50</t>
        </is>
      </c>
      <c r="G1003" s="23" t="n">
        <v>698</v>
      </c>
      <c r="H1003" s="23" t="n">
        <v>660</v>
      </c>
      <c r="I1003" s="21" t="inlineStr">
        <is>
          <t>ID постачальника збігся, але назви різні</t>
        </is>
      </c>
    </row>
    <row r="1004">
      <c r="A1004" s="22" t="n">
        <v>34.6</v>
      </c>
      <c r="B1004" s="22" t="inlineStr">
        <is>
          <t>Клуб Рослин</t>
        </is>
      </c>
      <c r="C1004" s="22" t="inlineStr">
        <is>
          <t>3196</t>
        </is>
      </c>
      <c r="D1004" s="22" t="inlineStr">
        <is>
          <t>3196</t>
        </is>
      </c>
      <c r="E1004" s="21" t="inlineStr">
        <is>
          <t>Фунгіцид Делан 100 г (розсип) Basf Басф Німеччина</t>
        </is>
      </c>
      <c r="F1004" s="21" t="inlineStr">
        <is>
          <t>Лілія ОТ-гібридна Біг Бразер 12\14</t>
        </is>
      </c>
      <c r="G1004" s="23" t="n">
        <v>398</v>
      </c>
      <c r="H1004" s="23" t="n">
        <v>50</v>
      </c>
      <c r="I1004" s="21" t="inlineStr">
        <is>
          <t>ID постачальника збігся, але назви різні</t>
        </is>
      </c>
    </row>
    <row r="1005">
      <c r="A1005" s="22" t="n">
        <v>34.6</v>
      </c>
      <c r="B1005" s="22" t="inlineStr">
        <is>
          <t>Клуб Рослин</t>
        </is>
      </c>
      <c r="C1005" s="22" t="inlineStr">
        <is>
          <t>7990</t>
        </is>
      </c>
      <c r="D1005" s="22" t="inlineStr">
        <is>
          <t>7990</t>
        </is>
      </c>
      <c r="E1005" s="21" t="inlineStr">
        <is>
          <t>Добриво Леда Гель Кальцй Плюс / Leda Gel Ca Plus 500 мл Велика Британія</t>
        </is>
      </c>
      <c r="F1005" s="21" t="inlineStr">
        <is>
          <t>Липа європейська (-е) Паліда Шпалера+Штамб C65 / o10-12 / Pa180-200</t>
        </is>
      </c>
      <c r="G1005" s="23" t="n">
        <v>378</v>
      </c>
      <c r="H1005" s="23" t="n">
        <v>6001</v>
      </c>
      <c r="I1005" s="21" t="inlineStr">
        <is>
          <t>ID постачальника збігся, але назви різні</t>
        </is>
      </c>
    </row>
    <row r="1006">
      <c r="A1006" s="22" t="n">
        <v>34.6</v>
      </c>
      <c r="B1006" s="22" t="inlineStr">
        <is>
          <t>Клуб Рослин</t>
        </is>
      </c>
      <c r="C1006" s="22" t="inlineStr">
        <is>
          <t>2257</t>
        </is>
      </c>
      <c r="D1006" s="22" t="inlineStr">
        <is>
          <t>2257</t>
        </is>
      </c>
      <c r="E1006" s="21" t="inlineStr">
        <is>
          <t>Інсектицид Майдан ВГ 250 г Дар Агро</t>
        </is>
      </c>
      <c r="F1006" s="21" t="inlineStr">
        <is>
          <t>Гортензія волотиста Літтл Лайм (Джейн) PC19 C7,5</t>
        </is>
      </c>
      <c r="G1006" s="23" t="n">
        <v>198</v>
      </c>
      <c r="H1006" s="23" t="n">
        <v>434</v>
      </c>
      <c r="I1006" s="21" t="inlineStr">
        <is>
          <t>ID постачальника збігся, але назви різні</t>
        </is>
      </c>
    </row>
    <row r="1007">
      <c r="A1007" s="22" t="n">
        <v>34.5</v>
      </c>
      <c r="B1007" s="22" t="inlineStr">
        <is>
          <t>Клуб Рослин</t>
        </is>
      </c>
      <c r="C1007" s="22" t="inlineStr">
        <is>
          <t>1005</t>
        </is>
      </c>
      <c r="D1007" s="22" t="inlineStr">
        <is>
          <t>1005</t>
        </is>
      </c>
      <c r="E1007" s="21" t="inlineStr">
        <is>
          <t>Гербіцид ДЕСИКАНТ 20 л Ukravit Укравіт Україна</t>
        </is>
      </c>
      <c r="F1007" s="21" t="inlineStr">
        <is>
          <t>Барбарис Тунберга Роуз Глоу PC20 C3 / H35-40</t>
        </is>
      </c>
      <c r="G1007" s="23" t="n">
        <v>2848</v>
      </c>
      <c r="H1007" s="23" t="n">
        <v>203</v>
      </c>
      <c r="I1007" s="21" t="inlineStr">
        <is>
          <t>ID постачальника збігся, але назви різні</t>
        </is>
      </c>
    </row>
    <row r="1008">
      <c r="A1008" s="22" t="n">
        <v>34.5</v>
      </c>
      <c r="B1008" s="22" t="inlineStr">
        <is>
          <t>Клуб Рослин</t>
        </is>
      </c>
      <c r="C1008" s="22" t="inlineStr">
        <is>
          <t>8131</t>
        </is>
      </c>
      <c r="D1008" s="22" t="inlineStr">
        <is>
          <t>8131</t>
        </is>
      </c>
      <c r="E1008" s="21" t="inlineStr">
        <is>
          <t>Добриво Бор 150 Зерива / Zeryva 10 л Україна</t>
        </is>
      </c>
      <c r="F1008" s="21" t="inlineStr">
        <is>
          <t>Калина боднантська Шарль Ламон Штамб GK / Pa120</t>
        </is>
      </c>
      <c r="G1008" s="23" t="n">
        <v>2500</v>
      </c>
      <c r="H1008" s="23" t="n">
        <v>1210</v>
      </c>
      <c r="I1008" s="21" t="inlineStr">
        <is>
          <t>ID постачальника збігся, але різні бренди</t>
        </is>
      </c>
    </row>
    <row r="1009">
      <c r="A1009" s="22" t="n">
        <v>34.5</v>
      </c>
      <c r="B1009" s="22" t="inlineStr">
        <is>
          <t>Клуб Рослин</t>
        </is>
      </c>
      <c r="C1009" s="22" t="inlineStr">
        <is>
          <t>7701</t>
        </is>
      </c>
      <c r="D1009" s="22" t="inlineStr">
        <is>
          <t>7701</t>
        </is>
      </c>
      <c r="E1009" s="21" t="inlineStr">
        <is>
          <t>Добриво Хелатин Калій (K₂O) pH - 7.5 10 л Кіссон Україна</t>
        </is>
      </c>
      <c r="F1009" s="21" t="inlineStr">
        <is>
          <t>Туя західна (ий) Даніка K20 C35 / H40-50</t>
        </is>
      </c>
      <c r="G1009" s="23" t="n">
        <v>2387</v>
      </c>
      <c r="H1009" s="23" t="n">
        <v>540</v>
      </c>
      <c r="I1009" s="21" t="inlineStr">
        <is>
          <t>ID постачальника збігся, але назви різні</t>
        </is>
      </c>
    </row>
    <row r="1010">
      <c r="A1010" s="22" t="n">
        <v>34.5</v>
      </c>
      <c r="B1010" s="22" t="inlineStr">
        <is>
          <t>Клуб Рослин</t>
        </is>
      </c>
      <c r="C1010" s="22" t="inlineStr">
        <is>
          <t>7576</t>
        </is>
      </c>
      <c r="D1010" s="22" t="inlineStr">
        <is>
          <t>10221</t>
        </is>
      </c>
      <c r="E1010" s="21" t="inlineStr">
        <is>
          <t>Добриво Агромастер Agromaster 15-15-15+9CaO+6SO3 25кг ICL Ізраїль</t>
        </is>
      </c>
      <c r="F1010" s="21" t="inlineStr">
        <is>
          <t>Контейнер квадрат 15*15*15см, 3,0л (15*15*15)</t>
        </is>
      </c>
      <c r="G1010" s="23" t="n">
        <v>1890</v>
      </c>
      <c r="H1010" s="23" t="n">
        <v>6</v>
      </c>
      <c r="I1010" s="21" t="inlineStr">
        <is>
          <t>код збігся, але різні об'єми або розміри</t>
        </is>
      </c>
    </row>
    <row r="1011">
      <c r="A1011" s="22" t="n">
        <v>34.5</v>
      </c>
      <c r="B1011" s="22" t="inlineStr">
        <is>
          <t>Клуб Рослин</t>
        </is>
      </c>
      <c r="C1011" s="22" t="inlineStr">
        <is>
          <t>7106</t>
        </is>
      </c>
      <c r="D1011" s="22" t="inlineStr">
        <is>
          <t>7106</t>
        </is>
      </c>
      <c r="E1011" s="21" t="inlineStr">
        <is>
          <t>Регулятор росту Аміно Тотал Amino Total 1 кг Leili Лейлі</t>
        </is>
      </c>
      <c r="F1011" s="21" t="inlineStr">
        <is>
          <t>Троянда плетиста Найхеглют SP G</t>
        </is>
      </c>
      <c r="G1011" s="23" t="n">
        <v>400</v>
      </c>
      <c r="H1011" s="23" t="n">
        <v>44</v>
      </c>
      <c r="I1011" s="21" t="inlineStr">
        <is>
          <t>ID постачальника збігся, але різні бренди</t>
        </is>
      </c>
    </row>
    <row r="1012">
      <c r="A1012" s="22" t="n">
        <v>34.5</v>
      </c>
      <c r="B1012" s="22" t="inlineStr">
        <is>
          <t>Клуб Рослин</t>
        </is>
      </c>
      <c r="C1012" s="22" t="inlineStr">
        <is>
          <t>7657</t>
        </is>
      </c>
      <c r="D1012" s="22" t="inlineStr">
        <is>
          <t>7657</t>
        </is>
      </c>
      <c r="E1012" s="21" t="inlineStr">
        <is>
          <t>Регулятор росту Гуміфілд гумат калію 100 г Humin Tech Німеччина</t>
        </is>
      </c>
      <c r="F1012" s="21" t="inlineStr">
        <is>
          <t>Туя (Платікладус) східна Ауреа Нана K20 C40 / H30-40</t>
        </is>
      </c>
      <c r="G1012" s="23" t="n">
        <v>198</v>
      </c>
      <c r="H1012" s="23" t="n">
        <v>1036</v>
      </c>
      <c r="I1012" s="21" t="inlineStr">
        <is>
          <t>ID постачальника збігся, але назви різні</t>
        </is>
      </c>
    </row>
    <row r="1013">
      <c r="A1013" s="22" t="n">
        <v>34.5</v>
      </c>
      <c r="B1013" s="22" t="inlineStr">
        <is>
          <t>Клуб Рослин</t>
        </is>
      </c>
      <c r="C1013" s="22" t="inlineStr">
        <is>
          <t>7120</t>
        </is>
      </c>
      <c r="D1013" s="22" t="inlineStr">
        <is>
          <t>7120</t>
        </is>
      </c>
      <c r="E1013" s="21" t="inlineStr">
        <is>
          <t>Рост-концентрат NPK 5+10+15 Калійний 1 л Кіссон Україна</t>
        </is>
      </c>
      <c r="F1013" s="21" t="inlineStr">
        <is>
          <t>Троянда плетиста Вестерленд SP G</t>
        </is>
      </c>
      <c r="G1013" s="23" t="n">
        <v>174</v>
      </c>
      <c r="H1013" s="23" t="n">
        <v>44</v>
      </c>
      <c r="I1013" s="21" t="inlineStr">
        <is>
          <t>ID постачальника збігся, але різні бренди</t>
        </is>
      </c>
    </row>
    <row r="1014">
      <c r="A1014" s="22" t="n">
        <v>34.5</v>
      </c>
      <c r="B1014" s="22" t="inlineStr">
        <is>
          <t>Клуб Рослин</t>
        </is>
      </c>
      <c r="C1014" s="22" t="inlineStr">
        <is>
          <t>9021</t>
        </is>
      </c>
      <c r="D1014" s="22" t="inlineStr">
        <is>
          <t>9021</t>
        </is>
      </c>
      <c r="E1014" s="21" t="inlineStr">
        <is>
          <t>Прилипач (біо-клей) Добрий Господар 1 л</t>
        </is>
      </c>
      <c r="F1014" s="21" t="inlineStr">
        <is>
          <t>Дерев'яний контейнер 70см * 70см * 45см</t>
        </is>
      </c>
      <c r="G1014" s="23" t="n">
        <v>156</v>
      </c>
      <c r="H1014" s="23" t="n">
        <v>1742.4</v>
      </c>
      <c r="I1014" s="21" t="inlineStr">
        <is>
          <t>ID постачальника збігся, але різні об'єми або розміри</t>
        </is>
      </c>
    </row>
    <row r="1015">
      <c r="A1015" s="22" t="n">
        <v>34.4</v>
      </c>
      <c r="B1015" s="22" t="inlineStr">
        <is>
          <t>Водоспад</t>
        </is>
      </c>
      <c r="C1015" s="22" t="inlineStr">
        <is>
          <t>40-204</t>
        </is>
      </c>
      <c r="D1015" s="22" t="inlineStr">
        <is>
          <t>40204</t>
        </is>
      </c>
      <c r="E1015" s="21" t="inlineStr">
        <is>
          <t>Лопата штикова Целлфаст / Cellfast Ideal Pro 120 см 1.8 кг (40-204) Польща</t>
        </is>
      </c>
      <c r="F1015" s="21" t="inlineStr">
        <is>
          <t>Свердла Bosch HSS-PointTeQ, 2x24x49 мм, 10 шт (2608577188)</t>
        </is>
      </c>
      <c r="G1015" s="23" t="n">
        <v>998</v>
      </c>
      <c r="H1015" s="23" t="n">
        <v>163</v>
      </c>
      <c r="I1015" s="21" t="inlineStr">
        <is>
          <t>ID постачальника збігся, але різні об'єми або розміри</t>
        </is>
      </c>
    </row>
    <row r="1016">
      <c r="A1016" s="22" t="n">
        <v>34.4</v>
      </c>
      <c r="B1016" s="22" t="inlineStr">
        <is>
          <t>Клуб Рослин</t>
        </is>
      </c>
      <c r="C1016" s="22" t="inlineStr">
        <is>
          <t>1025</t>
        </is>
      </c>
      <c r="D1016" s="22" t="inlineStr">
        <is>
          <t>1025</t>
        </is>
      </c>
      <c r="E1016" s="21" t="inlineStr">
        <is>
          <t>Гербіцид Метризан 500 г Агрохімічні Технології Україна</t>
        </is>
      </c>
      <c r="F1016" s="21" t="inlineStr">
        <is>
          <t>Барбарис Тунберга Саммер Сансет ® PC17 C3</t>
        </is>
      </c>
      <c r="G1016" s="23" t="n">
        <v>780</v>
      </c>
      <c r="H1016" s="23" t="n">
        <v>216</v>
      </c>
      <c r="I1016" s="21" t="inlineStr">
        <is>
          <t>ID постачальника збігся, але назви різні</t>
        </is>
      </c>
    </row>
    <row r="1017">
      <c r="A1017" s="22" t="n">
        <v>34.4</v>
      </c>
      <c r="B1017" s="22" t="inlineStr">
        <is>
          <t>Клуб Рослин</t>
        </is>
      </c>
      <c r="C1017" s="22" t="inlineStr">
        <is>
          <t>2328</t>
        </is>
      </c>
      <c r="D1017" s="22" t="inlineStr">
        <is>
          <t>2328</t>
        </is>
      </c>
      <c r="E1017" s="21" t="inlineStr">
        <is>
          <t>Інсектицид Бацитоксин 1 кг Імекс Агро Україна</t>
        </is>
      </c>
      <c r="F1017" s="21" t="inlineStr">
        <is>
          <t>Гортензія волотиста Меджікал Світ Саммер PC22 C5</t>
        </is>
      </c>
      <c r="G1017" s="23" t="n">
        <v>498</v>
      </c>
      <c r="H1017" s="23" t="n">
        <v>360</v>
      </c>
      <c r="I1017" s="21" t="inlineStr">
        <is>
          <t>ID постачальника збігся, але назви різні</t>
        </is>
      </c>
    </row>
    <row r="1018">
      <c r="A1018" s="22" t="n">
        <v>34.4</v>
      </c>
      <c r="B1018" s="22" t="inlineStr">
        <is>
          <t>Клуб Рослин</t>
        </is>
      </c>
      <c r="C1018" s="22" t="inlineStr">
        <is>
          <t>7356</t>
        </is>
      </c>
      <c r="D1018" s="22" t="inlineStr">
        <is>
          <t>7356</t>
        </is>
      </c>
      <c r="E1018" s="21" t="inlineStr">
        <is>
          <t>Добриво Плантатор 20+20+20 1 кг Кіссон Україна</t>
        </is>
      </c>
      <c r="F1018" s="21" t="inlineStr">
        <is>
          <t>Спірея японська Голден Прінцес PC20 C5 / H30-35</t>
        </is>
      </c>
      <c r="G1018" s="23" t="n">
        <v>253</v>
      </c>
      <c r="H1018" s="23" t="n">
        <v>190</v>
      </c>
      <c r="I1018" s="21" t="inlineStr">
        <is>
          <t>ID постачальника збігся, але назви різні</t>
        </is>
      </c>
    </row>
    <row r="1019">
      <c r="A1019" s="22" t="n">
        <v>34.4</v>
      </c>
      <c r="B1019" s="22" t="inlineStr">
        <is>
          <t>Клуб Рослин</t>
        </is>
      </c>
      <c r="C1019" s="22" t="inlineStr">
        <is>
          <t>7786</t>
        </is>
      </c>
      <c r="D1019" s="22" t="inlineStr">
        <is>
          <t>7786</t>
        </is>
      </c>
      <c r="E1019" s="21" t="inlineStr">
        <is>
          <t>Добриво Plantafol Плантафол 0+25+50 250 г Valagro Італія</t>
        </is>
      </c>
      <c r="F1019" s="21" t="inlineStr">
        <is>
          <t>Туя західна (ий) Реінголд PC14 C3 / L15-20</t>
        </is>
      </c>
      <c r="G1019" s="23" t="n">
        <v>195</v>
      </c>
      <c r="H1019" s="23" t="n">
        <v>80</v>
      </c>
      <c r="I1019" s="21" t="inlineStr">
        <is>
          <t>ID постачальника збігся, але назви різні</t>
        </is>
      </c>
    </row>
    <row r="1020">
      <c r="A1020" s="22" t="n">
        <v>34.3</v>
      </c>
      <c r="B1020" s="22" t="inlineStr">
        <is>
          <t>Клуб Рослин</t>
        </is>
      </c>
      <c r="C1020" s="22" t="inlineStr">
        <is>
          <t>7342</t>
        </is>
      </c>
      <c r="D1020" s="22" t="inlineStr">
        <is>
          <t>7342</t>
        </is>
      </c>
      <c r="E1020" s="21" t="inlineStr">
        <is>
          <t>Добриво Гуміфілд 20 кг Humin Tech гумат калію антистрес</t>
        </is>
      </c>
      <c r="F1020" s="21" t="inlineStr">
        <is>
          <t>Спірея японська Ентоні Ватерер PC21 C5 / H25-40</t>
        </is>
      </c>
      <c r="G1020" s="23" t="n">
        <v>24998</v>
      </c>
      <c r="H1020" s="23" t="n">
        <v>190</v>
      </c>
      <c r="I1020" s="21" t="inlineStr">
        <is>
          <t>ID постачальника збігся, але назви різні</t>
        </is>
      </c>
    </row>
    <row r="1021">
      <c r="A1021" s="22" t="n">
        <v>34.3</v>
      </c>
      <c r="B1021" s="22" t="inlineStr">
        <is>
          <t>Клуб Рослин</t>
        </is>
      </c>
      <c r="C1021" s="22" t="inlineStr">
        <is>
          <t>7133</t>
        </is>
      </c>
      <c r="D1021" s="22" t="inlineStr">
        <is>
          <t>7133</t>
        </is>
      </c>
      <c r="E1021" s="21" t="inlineStr">
        <is>
          <t>Регулятор росту Регаліс Плюс 1.5 кг Basf Басф Німеччина</t>
        </is>
      </c>
      <c r="F1021" s="21" t="inlineStr">
        <is>
          <t>Троянда густоквіткова Фо Ю Айс Онлі PC22 C10</t>
        </is>
      </c>
      <c r="G1021" s="23" t="n">
        <v>7500</v>
      </c>
      <c r="H1021" s="23" t="n">
        <v>348</v>
      </c>
      <c r="I1021" s="21" t="inlineStr">
        <is>
          <t>ID постачальника збігся, але назви різні</t>
        </is>
      </c>
    </row>
    <row r="1022">
      <c r="A1022" s="22" t="n">
        <v>34.3</v>
      </c>
      <c r="B1022" s="22" t="inlineStr">
        <is>
          <t>Клуб Рослин</t>
        </is>
      </c>
      <c r="C1022" s="22" t="inlineStr">
        <is>
          <t>2057</t>
        </is>
      </c>
      <c r="D1022" s="22" t="inlineStr">
        <is>
          <t>2057</t>
        </is>
      </c>
      <c r="E1022" s="21" t="inlineStr">
        <is>
          <t>Інсектицид Хлорпірівіт-Агро 20 л Ukravit Укравіт Україна</t>
        </is>
      </c>
      <c r="F1022" s="21" t="inlineStr">
        <is>
          <t>Гібіскус сірійський Пінк Джаінт PC22 C7,5 / H100-120</t>
        </is>
      </c>
      <c r="G1022" s="23" t="n">
        <v>7475</v>
      </c>
      <c r="H1022" s="23" t="n">
        <v>260</v>
      </c>
      <c r="I1022" s="21" t="inlineStr">
        <is>
          <t>ID постачальника збігся, але назви різні</t>
        </is>
      </c>
    </row>
    <row r="1023">
      <c r="A1023" s="22" t="n">
        <v>34.3</v>
      </c>
      <c r="B1023" s="22" t="inlineStr">
        <is>
          <t>Клуб Рослин</t>
        </is>
      </c>
      <c r="C1023" s="22" t="inlineStr">
        <is>
          <t>3350</t>
        </is>
      </c>
      <c r="D1023" s="22" t="inlineStr">
        <is>
          <t>3350</t>
        </is>
      </c>
      <c r="E1023" s="21" t="inlineStr">
        <is>
          <t>Фунгіцид Арія 5 л Зерива / Zeryva Україна</t>
        </is>
      </c>
      <c r="F1023" s="21" t="inlineStr">
        <is>
          <t>Магнолія Хані Туліп C55 / H175-200</t>
        </is>
      </c>
      <c r="G1023" s="23" t="n">
        <v>4500</v>
      </c>
      <c r="H1023" s="23" t="n">
        <v>9936</v>
      </c>
      <c r="I1023" s="21" t="inlineStr">
        <is>
          <t>ID постачальника збігся, але назви різні</t>
        </is>
      </c>
    </row>
    <row r="1024">
      <c r="A1024" s="22" t="n">
        <v>34.3</v>
      </c>
      <c r="B1024" s="22" t="inlineStr">
        <is>
          <t>Клуб Рослин</t>
        </is>
      </c>
      <c r="C1024" s="22" t="inlineStr">
        <is>
          <t>2041</t>
        </is>
      </c>
      <c r="D1024" s="22" t="inlineStr">
        <is>
          <t>2041</t>
        </is>
      </c>
      <c r="E1024" s="21" t="inlineStr">
        <is>
          <t>Інсектицид Актуал 5 л Alfa Smart Agro Альфа Смарт Агро Україна</t>
        </is>
      </c>
      <c r="F1024" s="21" t="inlineStr">
        <is>
          <t>Гібіскус сірійський Маріна C7,5 / H60-80</t>
        </is>
      </c>
      <c r="G1024" s="23" t="n">
        <v>4160</v>
      </c>
      <c r="H1024" s="23" t="n">
        <v>275</v>
      </c>
      <c r="I1024" s="21" t="inlineStr">
        <is>
          <t>ID постачальника збігся, але назви різні</t>
        </is>
      </c>
    </row>
    <row r="1025">
      <c r="A1025" s="22" t="n">
        <v>34.3</v>
      </c>
      <c r="B1025" s="22" t="inlineStr">
        <is>
          <t>Клуб Рослин</t>
        </is>
      </c>
      <c r="C1025" s="22" t="inlineStr">
        <is>
          <t>7199</t>
        </is>
      </c>
      <c r="D1025" s="22" t="inlineStr">
        <is>
          <t>7199</t>
        </is>
      </c>
      <c r="E1025" s="21" t="inlineStr">
        <is>
          <t>Регулятор росту Гуміфілд гумат калію 1 кг Humin Tech Німеччина</t>
        </is>
      </c>
      <c r="F1025" s="21" t="inlineStr">
        <is>
          <t>Троянда гібридний(а) Папагена Штамб GK / Pa100</t>
        </is>
      </c>
      <c r="G1025" s="23" t="n">
        <v>1298</v>
      </c>
      <c r="H1025" s="23" t="n">
        <v>420</v>
      </c>
      <c r="I1025" s="21" t="inlineStr">
        <is>
          <t>ID постачальника збігся, але різні бренди</t>
        </is>
      </c>
    </row>
    <row r="1026">
      <c r="A1026" s="22" t="n">
        <v>34.3</v>
      </c>
      <c r="B1026" s="22" t="inlineStr">
        <is>
          <t>Клуб Рослин</t>
        </is>
      </c>
      <c r="C1026" s="22" t="inlineStr">
        <is>
          <t>8120</t>
        </is>
      </c>
      <c r="D1026" s="22" t="inlineStr">
        <is>
          <t>8120</t>
        </is>
      </c>
      <c r="E1026" s="21" t="inlineStr">
        <is>
          <t>Добриво Зерива Марганець / Zeryva Mn 5 л Україна</t>
        </is>
      </c>
      <c r="F1026" s="21" t="inlineStr">
        <is>
          <t>Чорниця висока (Голубика, Лохина) Патріот PC20 C15 / H60-80</t>
        </is>
      </c>
      <c r="G1026" s="23" t="n">
        <v>1250</v>
      </c>
      <c r="H1026" s="23" t="n">
        <v>828</v>
      </c>
      <c r="I1026" s="21" t="inlineStr">
        <is>
          <t>ID постачальника збігся, але назви різні</t>
        </is>
      </c>
    </row>
    <row r="1027">
      <c r="A1027" s="22" t="n">
        <v>34.3</v>
      </c>
      <c r="B1027" s="22" t="inlineStr">
        <is>
          <t>Клуб Рослин</t>
        </is>
      </c>
      <c r="C1027" s="22" t="inlineStr">
        <is>
          <t>2113</t>
        </is>
      </c>
      <c r="D1027" s="22" t="inlineStr">
        <is>
          <t>2113</t>
        </is>
      </c>
      <c r="E1027" s="21" t="inlineStr">
        <is>
          <t>Інсектицид Дантоп 100 г (розсип) Arysta Аріста</t>
        </is>
      </c>
      <c r="F1027" s="21" t="inlineStr">
        <is>
          <t>Гортензія великолисткова Ендлесс Саммер Блауер C5 / H20-30</t>
        </is>
      </c>
      <c r="G1027" s="23" t="n">
        <v>998</v>
      </c>
      <c r="H1027" s="23" t="n">
        <v>1159</v>
      </c>
      <c r="I1027" s="21" t="inlineStr">
        <is>
          <t>ID постачальника збігся, але назви різні</t>
        </is>
      </c>
    </row>
    <row r="1028">
      <c r="A1028" s="22" t="n">
        <v>34.3</v>
      </c>
      <c r="B1028" s="22" t="inlineStr">
        <is>
          <t>Клуб Рослин</t>
        </is>
      </c>
      <c r="C1028" s="22" t="inlineStr">
        <is>
          <t>9040</t>
        </is>
      </c>
      <c r="D1028" s="22" t="inlineStr">
        <is>
          <t>9040</t>
        </is>
      </c>
      <c r="E1028" s="21" t="inlineStr">
        <is>
          <t>Грунтовий ад'ювант Prime Extra / Прайм Екстра 1 л Легіон Україна</t>
        </is>
      </c>
      <c r="F1028" s="21" t="inlineStr">
        <is>
          <t>Держак Bellota М2-1200 SB.B для мотик (1200 мм)</t>
        </is>
      </c>
      <c r="G1028" s="23" t="n">
        <v>598</v>
      </c>
      <c r="H1028" s="23" t="n">
        <v>327</v>
      </c>
      <c r="I1028" s="21" t="inlineStr">
        <is>
          <t>ID постачальника збігся, але різні об'єми або розміри</t>
        </is>
      </c>
    </row>
    <row r="1029">
      <c r="A1029" s="22" t="n">
        <v>34.3</v>
      </c>
      <c r="B1029" s="22" t="inlineStr">
        <is>
          <t>Клуб Рослин</t>
        </is>
      </c>
      <c r="C1029" s="22" t="inlineStr">
        <is>
          <t>7982</t>
        </is>
      </c>
      <c r="D1029" s="22" t="inlineStr">
        <is>
          <t>7982</t>
        </is>
      </c>
      <c r="E1029" s="21" t="inlineStr">
        <is>
          <t>Стимулятор росту Біонорма Мікориза 3 кг (розсип) BioNorma Україна</t>
        </is>
      </c>
      <c r="F1029" s="21" t="inlineStr">
        <is>
          <t>Липа американська (чорна) K C230 / o25-30 / Pa175</t>
        </is>
      </c>
      <c r="G1029" s="23" t="n">
        <v>300</v>
      </c>
      <c r="H1029" s="23" t="n">
        <v>7452</v>
      </c>
      <c r="I1029" s="21" t="inlineStr">
        <is>
          <t>ID постачальника збігся, але назви різні</t>
        </is>
      </c>
    </row>
    <row r="1030">
      <c r="A1030" s="22" t="n">
        <v>34.3</v>
      </c>
      <c r="B1030" s="22" t="inlineStr">
        <is>
          <t>Клуб Рослин</t>
        </is>
      </c>
      <c r="C1030" s="22" t="inlineStr">
        <is>
          <t>1-400</t>
        </is>
      </c>
      <c r="D1030" s="22" t="inlineStr">
        <is>
          <t>1400</t>
        </is>
      </c>
      <c r="E1030" s="21" t="inlineStr">
        <is>
          <t>Садовий бальзам Вокс / Voks 400 г зі шпателем Агрохімпак Україна</t>
        </is>
      </c>
      <c r="F1030" s="21" t="inlineStr">
        <is>
          <t>Кипарисовик нутканський Пендула C10 / H100-120</t>
        </is>
      </c>
      <c r="G1030" s="23" t="n">
        <v>225</v>
      </c>
      <c r="H1030" s="23" t="n">
        <v>2484</v>
      </c>
      <c r="I1030" s="21" t="inlineStr">
        <is>
          <t>ID постачальника збігся, але назви різні</t>
        </is>
      </c>
    </row>
    <row r="1031">
      <c r="A1031" s="22" t="n">
        <v>34.2</v>
      </c>
      <c r="B1031" s="22" t="inlineStr">
        <is>
          <t>Клуб Рослин</t>
        </is>
      </c>
      <c r="C1031" s="22" t="inlineStr">
        <is>
          <t>3163</t>
        </is>
      </c>
      <c r="D1031" s="22" t="inlineStr">
        <is>
          <t>3163</t>
        </is>
      </c>
      <c r="E1031" s="21" t="inlineStr">
        <is>
          <t>Фунгіцид Інфініто 5 л Bayer Байер Німеччина</t>
        </is>
      </c>
      <c r="F1031" s="21" t="inlineStr">
        <is>
          <t>Лілія ЛА-гібридна Серенгеті 14\16</t>
        </is>
      </c>
      <c r="G1031" s="23" t="n">
        <v>7698</v>
      </c>
      <c r="H1031" s="23" t="n">
        <v>50</v>
      </c>
      <c r="I1031" s="21" t="inlineStr">
        <is>
          <t>ID постачальника збігся, але назви різні</t>
        </is>
      </c>
    </row>
    <row r="1032">
      <c r="A1032" s="22" t="n">
        <v>34.2</v>
      </c>
      <c r="B1032" s="22" t="inlineStr">
        <is>
          <t>Клуб Рослин</t>
        </is>
      </c>
      <c r="C1032" s="22" t="inlineStr">
        <is>
          <t>2062</t>
        </is>
      </c>
      <c r="D1032" s="22" t="inlineStr">
        <is>
          <t>2062</t>
        </is>
      </c>
      <c r="E1032" s="21" t="inlineStr">
        <is>
          <t>Інсектицид Данадим Мікс 5 л FMC ФМС США</t>
        </is>
      </c>
      <c r="F1032" s="21" t="inlineStr">
        <is>
          <t>Гібіскус сірійський Ред Хат C10 / H60-70</t>
        </is>
      </c>
      <c r="G1032" s="23" t="n">
        <v>2748</v>
      </c>
      <c r="H1032" s="23" t="n">
        <v>942</v>
      </c>
      <c r="I1032" s="21" t="inlineStr">
        <is>
          <t>ID постачальника збігся, але назви різні</t>
        </is>
      </c>
    </row>
    <row r="1033">
      <c r="A1033" s="22" t="n">
        <v>34.2</v>
      </c>
      <c r="B1033" s="22" t="inlineStr">
        <is>
          <t>Клуб Рослин</t>
        </is>
      </c>
      <c r="C1033" s="22" t="inlineStr">
        <is>
          <t>1002</t>
        </is>
      </c>
      <c r="D1033" s="22" t="inlineStr">
        <is>
          <t>1002</t>
        </is>
      </c>
      <c r="E1033" s="21" t="inlineStr">
        <is>
          <t>Гербіцид десикант Реглон Супер 150 SL Дикват 10 л Syngenta Сингента Швейцария</t>
        </is>
      </c>
      <c r="F1033" s="21" t="inlineStr">
        <is>
          <t>Барбарис Тунберга Роуз Глоу PC C15</t>
        </is>
      </c>
      <c r="G1033" s="23" t="n">
        <v>2498</v>
      </c>
      <c r="H1033" s="23" t="n">
        <v>480</v>
      </c>
      <c r="I1033" s="21" t="inlineStr">
        <is>
          <t>ID постачальника збігся, але різні бренди</t>
        </is>
      </c>
    </row>
    <row r="1034">
      <c r="A1034" s="22" t="n">
        <v>34.2</v>
      </c>
      <c r="B1034" s="22" t="inlineStr">
        <is>
          <t>Клуб Рослин</t>
        </is>
      </c>
      <c r="C1034" s="22" t="inlineStr">
        <is>
          <t>2006</t>
        </is>
      </c>
      <c r="D1034" s="22" t="inlineStr">
        <is>
          <t>2006</t>
        </is>
      </c>
      <c r="E1034" s="21" t="inlineStr">
        <is>
          <t>Інсектицид Дантоп 250 г Arysta Аріста</t>
        </is>
      </c>
      <c r="F1034" s="21" t="inlineStr">
        <is>
          <t>Гібіскус сірійський Дук де Брабант C7,5</t>
        </is>
      </c>
      <c r="G1034" s="23" t="n">
        <v>2236</v>
      </c>
      <c r="H1034" s="23" t="n">
        <v>260</v>
      </c>
      <c r="I1034" s="21" t="inlineStr">
        <is>
          <t>ID постачальника збігся, але назви різні</t>
        </is>
      </c>
    </row>
    <row r="1035">
      <c r="A1035" s="22" t="n">
        <v>34.2</v>
      </c>
      <c r="B1035" s="22" t="inlineStr">
        <is>
          <t>Клуб Рослин</t>
        </is>
      </c>
      <c r="C1035" s="22" t="inlineStr">
        <is>
          <t>3071</t>
        </is>
      </c>
      <c r="D1035" s="22" t="inlineStr">
        <is>
          <t>3071</t>
        </is>
      </c>
      <c r="E1035" s="21" t="inlineStr">
        <is>
          <t>Фунгіцид Дезарал 5 л Ukravit Укравіт Україна</t>
        </is>
      </c>
      <c r="F1035" s="21" t="inlineStr">
        <is>
          <t>Ялівець середній Пфітзеріана Глаука Бонсай Extra Woodenbox 300 / L45-60 / o6-10</t>
        </is>
      </c>
      <c r="G1035" s="23" t="n">
        <v>1625</v>
      </c>
      <c r="H1035" s="23" t="n">
        <v>31797</v>
      </c>
      <c r="I1035" s="21" t="inlineStr">
        <is>
          <t>ID постачальника збігся, але різні бренди</t>
        </is>
      </c>
    </row>
    <row r="1036">
      <c r="A1036" s="22" t="n">
        <v>34.2</v>
      </c>
      <c r="B1036" s="22" t="inlineStr">
        <is>
          <t>Клуб Рослин</t>
        </is>
      </c>
      <c r="C1036" s="22" t="inlineStr">
        <is>
          <t>9009</t>
        </is>
      </c>
      <c r="D1036" s="22" t="inlineStr">
        <is>
          <t>9009</t>
        </is>
      </c>
      <c r="E1036" s="21" t="inlineStr">
        <is>
          <t>Прилипач Альфалип Екстра 5 л Alfa Smart Agro / Альфа Cмарт Агро Україна</t>
        </is>
      </c>
      <c r="F1036" s="21" t="inlineStr">
        <is>
          <t>Декоративний паркан Eko-Palisada 22 см (коричневий)</t>
        </is>
      </c>
      <c r="G1036" s="23" t="n">
        <v>698</v>
      </c>
      <c r="H1036" s="23" t="n">
        <v>220</v>
      </c>
      <c r="I1036" s="21" t="inlineStr">
        <is>
          <t>ID постачальника збігся, але різні об'єми або розміри</t>
        </is>
      </c>
    </row>
    <row r="1037">
      <c r="A1037" s="22" t="n">
        <v>34.2</v>
      </c>
      <c r="B1037" s="22" t="inlineStr">
        <is>
          <t>Клуб Рослин</t>
        </is>
      </c>
      <c r="C1037" s="22" t="inlineStr">
        <is>
          <t>2188</t>
        </is>
      </c>
      <c r="D1037" s="22" t="inlineStr">
        <is>
          <t>2188</t>
        </is>
      </c>
      <c r="E1037" s="21" t="inlineStr">
        <is>
          <t>Інсектицид Актоцид 1 л Кіссон Україна</t>
        </is>
      </c>
      <c r="F1037" s="21" t="inlineStr">
        <is>
          <t>Гортензія великолисткова Вайт Делайт C3</t>
        </is>
      </c>
      <c r="G1037" s="23" t="n">
        <v>416</v>
      </c>
      <c r="H1037" s="23" t="n">
        <v>300</v>
      </c>
      <c r="I1037" s="21" t="inlineStr">
        <is>
          <t>ID постачальника збігся, але назви різні</t>
        </is>
      </c>
    </row>
    <row r="1038">
      <c r="A1038" s="22" t="n">
        <v>34.2</v>
      </c>
      <c r="B1038" s="22" t="inlineStr">
        <is>
          <t>Клуб Рослин</t>
        </is>
      </c>
      <c r="C1038" s="22" t="inlineStr">
        <is>
          <t>3111</t>
        </is>
      </c>
      <c r="D1038" s="22" t="inlineStr">
        <is>
          <t>3111</t>
        </is>
      </c>
      <c r="E1038" s="21" t="inlineStr">
        <is>
          <t>Фунгіцид Фітодоктор 1 л Enzim Biotech Agro / Ензим Біотех Агро Україна</t>
        </is>
      </c>
      <c r="F1038" s="21" t="inlineStr">
        <is>
          <t>Лаванда вузьколиста Дарк Хідкот Блу PC14 P9 / H10-15</t>
        </is>
      </c>
      <c r="G1038" s="23" t="n">
        <v>341</v>
      </c>
      <c r="H1038" s="23" t="n">
        <v>40</v>
      </c>
      <c r="I1038" s="21" t="inlineStr">
        <is>
          <t>ID постачальника збігся, але назви різні</t>
        </is>
      </c>
    </row>
    <row r="1039">
      <c r="A1039" s="22" t="n">
        <v>34.1</v>
      </c>
      <c r="B1039" s="22" t="inlineStr">
        <is>
          <t>Водоспад</t>
        </is>
      </c>
      <c r="C1039" s="22" t="inlineStr">
        <is>
          <t>40-205</t>
        </is>
      </c>
      <c r="D1039" s="22" t="inlineStr">
        <is>
          <t>40205</t>
        </is>
      </c>
      <c r="E1039" s="21" t="inlineStr">
        <is>
          <t>Лопата туристична Целлфаст / Cellfast IDEAL LINE 80 см 1.25 кг (40-205) Польща</t>
        </is>
      </c>
      <c r="F1039" s="21" t="inlineStr">
        <is>
          <t>Свердла Bosch HSS-PointTeQ, 2,5x24x57 мм, 10 шт (2608577193)</t>
        </is>
      </c>
      <c r="G1039" s="23" t="n">
        <v>999</v>
      </c>
      <c r="H1039" s="23" t="n">
        <v>187</v>
      </c>
      <c r="I1039" s="21" t="inlineStr">
        <is>
          <t>ID постачальника збігся, але різні об'єми або розміри</t>
        </is>
      </c>
    </row>
    <row r="1040">
      <c r="A1040" s="22" t="n">
        <v>34.1</v>
      </c>
      <c r="B1040" s="22" t="inlineStr">
        <is>
          <t>Водоспад</t>
        </is>
      </c>
      <c r="C1040" s="22" t="inlineStr">
        <is>
          <t>40-220</t>
        </is>
      </c>
      <c r="D1040" s="22" t="inlineStr">
        <is>
          <t>40220</t>
        </is>
      </c>
      <c r="E1040" s="21" t="inlineStr">
        <is>
          <t>Вила для копання Целлфаст / Cellfast IDEAL 120 см 1.8 кг (40-220) Польща</t>
        </is>
      </c>
      <c r="F1040" s="21" t="inlineStr">
        <is>
          <t>Свердло перове Bosch Self Cut Speed 12х152 мм (2608595484)</t>
        </is>
      </c>
      <c r="G1040" s="23" t="n">
        <v>698</v>
      </c>
      <c r="H1040" s="23" t="n">
        <v>179</v>
      </c>
      <c r="I1040" s="21" t="inlineStr">
        <is>
          <t>ID постачальника збігся, але різні об'єми або розміри</t>
        </is>
      </c>
    </row>
    <row r="1041">
      <c r="A1041" s="22" t="n">
        <v>34.1</v>
      </c>
      <c r="B1041" s="22" t="inlineStr">
        <is>
          <t>Клуб Рослин</t>
        </is>
      </c>
      <c r="C1041" s="22" t="inlineStr">
        <is>
          <t>3141</t>
        </is>
      </c>
      <c r="D1041" s="22" t="inlineStr">
        <is>
          <t>3141</t>
        </is>
      </c>
      <c r="E1041" s="21" t="inlineStr">
        <is>
          <t>Фунгіцид Блу Бордо Дисперс 20 кг UPL Франція</t>
        </is>
      </c>
      <c r="F1041" s="21" t="inlineStr">
        <is>
          <t>Лілія азіатська гібридна 'Танго' Пуш Офф 12\14</t>
        </is>
      </c>
      <c r="G1041" s="23" t="n">
        <v>6998</v>
      </c>
      <c r="H1041" s="23" t="n">
        <v>50</v>
      </c>
      <c r="I1041" s="21" t="inlineStr">
        <is>
          <t>ID постачальника збігся, але назви різні</t>
        </is>
      </c>
    </row>
    <row r="1042">
      <c r="A1042" s="22" t="n">
        <v>34.1</v>
      </c>
      <c r="B1042" s="22" t="inlineStr">
        <is>
          <t>Клуб Рослин</t>
        </is>
      </c>
      <c r="C1042" s="22" t="inlineStr">
        <is>
          <t>2035</t>
        </is>
      </c>
      <c r="D1042" s="22" t="inlineStr">
        <is>
          <t>2035</t>
        </is>
      </c>
      <c r="E1042" s="21" t="inlineStr">
        <is>
          <t>Інсектицид Резонанс 10 л Хімагромаркетинг Україна</t>
        </is>
      </c>
      <c r="F1042" s="21" t="inlineStr">
        <is>
          <t>Гібіскус сірійський Майке PC18 C3</t>
        </is>
      </c>
      <c r="G1042" s="23" t="n">
        <v>3120</v>
      </c>
      <c r="H1042" s="23" t="n">
        <v>145</v>
      </c>
      <c r="I1042" s="21" t="inlineStr">
        <is>
          <t>ID постачальника збігся, але назви різні</t>
        </is>
      </c>
    </row>
    <row r="1043">
      <c r="A1043" s="22" t="n">
        <v>34.1</v>
      </c>
      <c r="B1043" s="22" t="inlineStr">
        <is>
          <t>Клуб Рослин</t>
        </is>
      </c>
      <c r="C1043" s="22" t="inlineStr">
        <is>
          <t>3206</t>
        </is>
      </c>
      <c r="D1043" s="22" t="inlineStr">
        <is>
          <t>3206</t>
        </is>
      </c>
      <c r="E1043" s="21" t="inlineStr">
        <is>
          <t>Фунгіцид Інферно 25 кг Ukravit Укравіт Україна</t>
        </is>
      </c>
      <c r="F1043" s="21" t="inlineStr">
        <is>
          <t>Лілія ОТ-гібридна Прітті Вумен 12\14</t>
        </is>
      </c>
      <c r="G1043" s="23" t="n">
        <v>2998</v>
      </c>
      <c r="H1043" s="23" t="n">
        <v>50</v>
      </c>
      <c r="I1043" s="21" t="inlineStr">
        <is>
          <t>ID постачальника збігся, але назви різні</t>
        </is>
      </c>
    </row>
    <row r="1044">
      <c r="A1044" s="22" t="n">
        <v>34.1</v>
      </c>
      <c r="B1044" s="22" t="inlineStr">
        <is>
          <t>Клуб Рослин</t>
        </is>
      </c>
      <c r="C1044" s="22" t="inlineStr">
        <is>
          <t>2231</t>
        </is>
      </c>
      <c r="D1044" s="22" t="inlineStr">
        <is>
          <t>2231</t>
        </is>
      </c>
      <c r="E1044" s="21" t="inlineStr">
        <is>
          <t>Біоінсектицид Сезар 5 л Агро Захист Україна</t>
        </is>
      </c>
      <c r="F1044" s="21" t="inlineStr">
        <is>
          <t>Гортензія волотиста Лаймлайт C7,5 / H60-80</t>
        </is>
      </c>
      <c r="G1044" s="23" t="n">
        <v>2248</v>
      </c>
      <c r="H1044" s="23" t="n">
        <v>660</v>
      </c>
      <c r="I1044" s="21" t="inlineStr">
        <is>
          <t>ID постачальника збігся, але назви різні</t>
        </is>
      </c>
    </row>
    <row r="1045">
      <c r="A1045" s="22" t="n">
        <v>34.1</v>
      </c>
      <c r="B1045" s="22" t="inlineStr">
        <is>
          <t>Клуб Рослин</t>
        </is>
      </c>
      <c r="C1045" s="22" t="inlineStr">
        <is>
          <t>2311</t>
        </is>
      </c>
      <c r="D1045" s="22" t="inlineStr">
        <is>
          <t>2311</t>
        </is>
      </c>
      <c r="E1045" s="21" t="inlineStr">
        <is>
          <t>Інсекцид Фатрін 5 л Нертус Угорщина</t>
        </is>
      </c>
      <c r="F1045" s="21" t="inlineStr">
        <is>
          <t>Гортензія волотиста Межджікал Монт Блан PC22 C5 / H20-30</t>
        </is>
      </c>
      <c r="G1045" s="23" t="n">
        <v>2239</v>
      </c>
      <c r="H1045" s="23" t="n">
        <v>300</v>
      </c>
      <c r="I1045" s="21" t="inlineStr">
        <is>
          <t>ID постачальника збігся, але назви різні</t>
        </is>
      </c>
    </row>
    <row r="1046">
      <c r="A1046" s="22" t="n">
        <v>34.1</v>
      </c>
      <c r="B1046" s="22" t="inlineStr">
        <is>
          <t>Клуб Рослин</t>
        </is>
      </c>
      <c r="C1046" s="22" t="inlineStr">
        <is>
          <t>2215</t>
        </is>
      </c>
      <c r="D1046" s="22" t="inlineStr">
        <is>
          <t>2215</t>
        </is>
      </c>
      <c r="E1046" s="21" t="inlineStr">
        <is>
          <t>Біоінсектицид Актофіт КЕ 4.5 л Біоветфарм Україна</t>
        </is>
      </c>
      <c r="F1046" s="21" t="inlineStr">
        <is>
          <t>Гортензія волотиста Грандіфлора PC18 C5</t>
        </is>
      </c>
      <c r="G1046" s="23" t="n">
        <v>1898</v>
      </c>
      <c r="H1046" s="23" t="n">
        <v>362</v>
      </c>
      <c r="I1046" s="21" t="inlineStr">
        <is>
          <t>ID постачальника збігся, але назви різні</t>
        </is>
      </c>
    </row>
    <row r="1047">
      <c r="A1047" s="22" t="n">
        <v>34.1</v>
      </c>
      <c r="B1047" s="22" t="inlineStr">
        <is>
          <t>Клуб Рослин</t>
        </is>
      </c>
      <c r="C1047" s="22" t="inlineStr">
        <is>
          <t>2064</t>
        </is>
      </c>
      <c r="D1047" s="22" t="inlineStr">
        <is>
          <t>2064</t>
        </is>
      </c>
      <c r="E1047" s="21" t="inlineStr">
        <is>
          <t>Інсектицид Туріл 500 г Ukravit Укравіт Україна</t>
        </is>
      </c>
      <c r="F1047" s="21" t="inlineStr">
        <is>
          <t>Гібіскус сірійський Ред Хат C5 / H60-80</t>
        </is>
      </c>
      <c r="G1047" s="23" t="n">
        <v>898</v>
      </c>
      <c r="H1047" s="23" t="n">
        <v>405</v>
      </c>
      <c r="I1047" s="21" t="inlineStr">
        <is>
          <t>ID постачальника збігся, але назви різні</t>
        </is>
      </c>
    </row>
    <row r="1048">
      <c r="A1048" s="22" t="n">
        <v>34.1</v>
      </c>
      <c r="B1048" s="22" t="inlineStr">
        <is>
          <t>Клуб Рослин</t>
        </is>
      </c>
      <c r="C1048" s="22" t="inlineStr">
        <is>
          <t>2291</t>
        </is>
      </c>
      <c r="D1048" s="22" t="inlineStr">
        <is>
          <t>2291</t>
        </is>
      </c>
      <c r="E1048" s="21" t="inlineStr">
        <is>
          <t>Інсектицид Готіка 1 л Нертус Угорщина</t>
        </is>
      </c>
      <c r="F1048" s="21" t="inlineStr">
        <is>
          <t>Гортензія волотиста Меджікал Гімалайа PC21 C3 / H15-20</t>
        </is>
      </c>
      <c r="G1048" s="23" t="n">
        <v>698</v>
      </c>
      <c r="H1048" s="23" t="n">
        <v>240</v>
      </c>
      <c r="I1048" s="21" t="inlineStr">
        <is>
          <t>ID постачальника збігся, але назви різні</t>
        </is>
      </c>
    </row>
    <row r="1049">
      <c r="A1049" s="22" t="n">
        <v>34.1</v>
      </c>
      <c r="B1049" s="22" t="inlineStr">
        <is>
          <t>Клуб Рослин</t>
        </is>
      </c>
      <c r="C1049" s="22" t="inlineStr">
        <is>
          <t>7796</t>
        </is>
      </c>
      <c r="D1049" s="22" t="inlineStr">
        <is>
          <t>7796</t>
        </is>
      </c>
      <c r="E1049" s="21" t="inlineStr">
        <is>
          <t>Добриво Ікар Ензо (Марганець) / Ikar Enzo 1 л Литва</t>
        </is>
      </c>
      <c r="F1049" s="21" t="inlineStr">
        <is>
          <t>Туя західна (ий) Смарагд Extra K C25 / H80-100</t>
        </is>
      </c>
      <c r="G1049" s="23" t="n">
        <v>640</v>
      </c>
      <c r="H1049" s="23" t="n">
        <v>608</v>
      </c>
      <c r="I1049" s="21" t="inlineStr">
        <is>
          <t>ID постачальника збігся, але різні бренди</t>
        </is>
      </c>
    </row>
    <row r="1050">
      <c r="A1050" s="22" t="n">
        <v>34.1</v>
      </c>
      <c r="B1050" s="22" t="inlineStr">
        <is>
          <t>Клуб Рослин</t>
        </is>
      </c>
      <c r="C1050" s="22" t="inlineStr">
        <is>
          <t>3156</t>
        </is>
      </c>
      <c r="D1050" s="22" t="inlineStr">
        <is>
          <t>3156</t>
        </is>
      </c>
      <c r="E1050" s="21" t="inlineStr">
        <is>
          <t>Фунгіцид Манзат ВДГ 1 кг Sumi Agro Самміт Агро Японія</t>
        </is>
      </c>
      <c r="F1050" s="21" t="inlineStr">
        <is>
          <t>Лілія ЛА-гібридна Кур'єр 14\16</t>
        </is>
      </c>
      <c r="G1050" s="23" t="n">
        <v>530</v>
      </c>
      <c r="H1050" s="23" t="n">
        <v>50</v>
      </c>
      <c r="I1050" s="21" t="inlineStr">
        <is>
          <t>ID постачальника збігся, але назви різні</t>
        </is>
      </c>
    </row>
    <row r="1051">
      <c r="A1051" s="22" t="n">
        <v>34.1</v>
      </c>
      <c r="B1051" s="22" t="inlineStr">
        <is>
          <t>Клуб Рослин</t>
        </is>
      </c>
      <c r="C1051" s="22" t="inlineStr">
        <is>
          <t>7213</t>
        </is>
      </c>
      <c r="D1051" s="22" t="inlineStr">
        <is>
          <t>7213</t>
        </is>
      </c>
      <c r="E1051" s="21" t="inlineStr">
        <is>
          <t>Регулятор росту Гуміфілд ВР-18 - 1 л Humin Tech Німеччина</t>
        </is>
      </c>
      <c r="F1051" s="21" t="inlineStr">
        <is>
          <t>Троянда гібридний(а) Сан SP G</t>
        </is>
      </c>
      <c r="G1051" s="23" t="n">
        <v>525</v>
      </c>
      <c r="H1051" s="23" t="n">
        <v>44</v>
      </c>
      <c r="I1051" s="21" t="inlineStr">
        <is>
          <t>ID постачальника збігся, але різні бренди</t>
        </is>
      </c>
    </row>
    <row r="1052">
      <c r="A1052" s="22" t="n">
        <v>34.1</v>
      </c>
      <c r="B1052" s="22" t="inlineStr">
        <is>
          <t>Клуб Рослин</t>
        </is>
      </c>
      <c r="C1052" s="22" t="inlineStr">
        <is>
          <t>2030</t>
        </is>
      </c>
      <c r="D1052" s="22" t="inlineStr">
        <is>
          <t>2030</t>
        </is>
      </c>
      <c r="E1052" s="21" t="inlineStr">
        <is>
          <t>Інсектицид Зеніт 500 мл Хімагромаркетинг Україна</t>
        </is>
      </c>
      <c r="F1052" s="21" t="inlineStr">
        <is>
          <t>Гібіскус сірійський Леді Станлі C3</t>
        </is>
      </c>
      <c r="G1052" s="23" t="n">
        <v>468</v>
      </c>
      <c r="H1052" s="23" t="n">
        <v>195</v>
      </c>
      <c r="I1052" s="21" t="inlineStr">
        <is>
          <t>ID постачальника збігся, але назви різні</t>
        </is>
      </c>
    </row>
    <row r="1053">
      <c r="A1053" s="22" t="n">
        <v>34.1</v>
      </c>
      <c r="B1053" s="22" t="inlineStr">
        <is>
          <t>Клуб Рослин</t>
        </is>
      </c>
      <c r="C1053" s="22" t="inlineStr">
        <is>
          <t>2298</t>
        </is>
      </c>
      <c r="D1053" s="22" t="inlineStr">
        <is>
          <t>2298</t>
        </is>
      </c>
      <c r="E1053" s="21" t="inlineStr">
        <is>
          <t>Інсектицид - адв'ювант Oil Protect / Ойл Протект 1 л Biochem Agro Україна</t>
        </is>
      </c>
      <c r="F1053" s="21" t="inlineStr">
        <is>
          <t>Гортензія волотиста Меджікал Кіліманджаро PC22 C5 / H20-30</t>
        </is>
      </c>
      <c r="G1053" s="23" t="n">
        <v>205</v>
      </c>
      <c r="H1053" s="23" t="n">
        <v>360</v>
      </c>
      <c r="I1053" s="21" t="inlineStr">
        <is>
          <t>ID постачальника збігся, але назви різні</t>
        </is>
      </c>
    </row>
    <row r="1054">
      <c r="A1054" s="22" t="n">
        <v>34.1</v>
      </c>
      <c r="B1054" s="22" t="inlineStr">
        <is>
          <t>Клуб Рослин</t>
        </is>
      </c>
      <c r="C1054" s="22" t="inlineStr">
        <is>
          <t>7940</t>
        </is>
      </c>
      <c r="D1054" s="22" t="inlineStr">
        <is>
          <t>7940</t>
        </is>
      </c>
      <c r="E1054" s="21" t="inlineStr">
        <is>
          <t>Стимулятор росту Біонорма Мікориза 200 г BioNorma Україна</t>
        </is>
      </c>
      <c r="F1054" s="21" t="inlineStr">
        <is>
          <t>Туя західна (ий) Тіні Тім PC14 P9</t>
        </is>
      </c>
      <c r="G1054" s="23" t="n">
        <v>100</v>
      </c>
      <c r="H1054" s="23" t="n">
        <v>25</v>
      </c>
      <c r="I1054" s="21" t="inlineStr">
        <is>
          <t>ID постачальника збігся, але назви різні</t>
        </is>
      </c>
    </row>
    <row r="1055">
      <c r="A1055" s="22" t="n">
        <v>34.1</v>
      </c>
      <c r="B1055" s="22" t="inlineStr">
        <is>
          <t>Клуб Рослин</t>
        </is>
      </c>
      <c r="C1055" s="22" t="inlineStr">
        <is>
          <t>1009</t>
        </is>
      </c>
      <c r="D1055" s="22" t="inlineStr">
        <is>
          <t>1009</t>
        </is>
      </c>
      <c r="E1055" s="21" t="inlineStr">
        <is>
          <t>Гербицид ДЕСИКАНТ 5 л Ukravit Укравіт Україна</t>
        </is>
      </c>
      <c r="F1055" s="21" t="inlineStr">
        <is>
          <t>Барбарис Тунберга Роуз Глоу PC22 C7,5 / H35-40</t>
        </is>
      </c>
      <c r="G1055" s="23" t="n"/>
      <c r="H1055" s="23" t="n">
        <v>300</v>
      </c>
      <c r="I1055" s="21" t="inlineStr">
        <is>
          <t>ID постачальника збігся, але назви різні</t>
        </is>
      </c>
    </row>
    <row r="1056">
      <c r="A1056" s="22" t="n">
        <v>34</v>
      </c>
      <c r="B1056" s="22" t="inlineStr">
        <is>
          <t>Клуб Рослин</t>
        </is>
      </c>
      <c r="C1056" s="22" t="inlineStr">
        <is>
          <t>2271</t>
        </is>
      </c>
      <c r="D1056" s="22" t="inlineStr">
        <is>
          <t>2271</t>
        </is>
      </c>
      <c r="E1056" s="21" t="inlineStr">
        <is>
          <t>Інсектицид Мовенто 5 л Bayer Байєр Німеччина</t>
        </is>
      </c>
      <c r="F1056" s="21" t="inlineStr">
        <is>
          <t>Гортензія волотиста Меджікал Андс PC C7,5 - 80-100 см</t>
        </is>
      </c>
      <c r="G1056" s="23" t="n">
        <v>11898</v>
      </c>
      <c r="H1056" s="23" t="n">
        <v>420</v>
      </c>
      <c r="I1056" s="21" t="inlineStr">
        <is>
          <t>ID постачальника збігся, але різні об'єми або розміри</t>
        </is>
      </c>
    </row>
    <row r="1057">
      <c r="A1057" s="22" t="n">
        <v>34</v>
      </c>
      <c r="B1057" s="22" t="inlineStr">
        <is>
          <t>Клуб Рослин</t>
        </is>
      </c>
      <c r="C1057" s="22" t="inlineStr">
        <is>
          <t>7176</t>
        </is>
      </c>
      <c r="D1057" s="22" t="inlineStr">
        <is>
          <t>7176</t>
        </is>
      </c>
      <c r="E1057" s="21" t="inlineStr">
        <is>
          <t>Добриво Нутрівант Плюс Зерновий 6-23-35+1MgO+ME 25 кг Вітера ICL Ізраїль</t>
        </is>
      </c>
      <c r="F1057" s="21" t="inlineStr">
        <is>
          <t>Троянда гібридний(а) Френдшип PC17 C2</t>
        </is>
      </c>
      <c r="G1057" s="23" t="n">
        <v>9973</v>
      </c>
      <c r="H1057" s="23" t="n">
        <v>70</v>
      </c>
      <c r="I1057" s="21" t="inlineStr">
        <is>
          <t>ID постачальника збігся, але назви різні</t>
        </is>
      </c>
    </row>
    <row r="1058">
      <c r="A1058" s="22" t="n">
        <v>34</v>
      </c>
      <c r="B1058" s="22" t="inlineStr">
        <is>
          <t>Клуб Рослин</t>
        </is>
      </c>
      <c r="C1058" s="22" t="inlineStr">
        <is>
          <t>3366</t>
        </is>
      </c>
      <c r="D1058" s="22" t="inlineStr">
        <is>
          <t>3366</t>
        </is>
      </c>
      <c r="E1058" s="21" t="inlineStr">
        <is>
          <t>Біофунгіцид Радісан Дс / Radisane Ds 1 кг Bioera Іспанія</t>
        </is>
      </c>
      <c r="F1058" s="21" t="inlineStr">
        <is>
          <t>Магнолія гібридний(а) Клеопатра ® XXL C55 / H125-150</t>
        </is>
      </c>
      <c r="G1058" s="23" t="n">
        <v>6188</v>
      </c>
      <c r="H1058" s="23" t="n">
        <v>9108</v>
      </c>
      <c r="I1058" s="21" t="inlineStr">
        <is>
          <t>ID постачальника збігся, але різні бренди</t>
        </is>
      </c>
    </row>
    <row r="1059">
      <c r="A1059" s="22" t="n">
        <v>34</v>
      </c>
      <c r="B1059" s="22" t="inlineStr">
        <is>
          <t>Клуб Рослин</t>
        </is>
      </c>
      <c r="C1059" s="22" t="inlineStr">
        <is>
          <t>2331</t>
        </is>
      </c>
      <c r="D1059" s="22" t="inlineStr">
        <is>
          <t>2331</t>
        </is>
      </c>
      <c r="E1059" s="21" t="inlineStr">
        <is>
          <t>Інсектицид Балазо 5 л Sumiаgro Самміт Агро Японія</t>
        </is>
      </c>
      <c r="F1059" s="21" t="inlineStr">
        <is>
          <t>Гортензія волотиста Меджікел Везувіо PC20 C10</t>
        </is>
      </c>
      <c r="G1059" s="23" t="n">
        <v>5398</v>
      </c>
      <c r="H1059" s="23" t="n">
        <v>540</v>
      </c>
      <c r="I1059" s="21" t="inlineStr">
        <is>
          <t>ID постачальника збігся, але назви різні</t>
        </is>
      </c>
    </row>
    <row r="1060">
      <c r="A1060" s="22" t="n">
        <v>34</v>
      </c>
      <c r="B1060" s="22" t="inlineStr">
        <is>
          <t>Клуб Рослин</t>
        </is>
      </c>
      <c r="C1060" s="22" t="inlineStr">
        <is>
          <t>1046</t>
        </is>
      </c>
      <c r="D1060" s="22" t="inlineStr">
        <is>
          <t>1046</t>
        </is>
      </c>
      <c r="E1060" s="21" t="inlineStr">
        <is>
          <t>Гербіцид Геліос Екстра 20 л Агрохімічні Технології Україна</t>
        </is>
      </c>
      <c r="F1060" s="21" t="inlineStr">
        <is>
          <t>Береза плакуча (ий) Лонг Транк Штамб K14 C15 / Pa200</t>
        </is>
      </c>
      <c r="G1060" s="23" t="n">
        <v>4998</v>
      </c>
      <c r="H1060" s="23" t="n">
        <v>1020</v>
      </c>
      <c r="I1060" s="21" t="inlineStr">
        <is>
          <t>ID постачальника збігся, але назви різні</t>
        </is>
      </c>
    </row>
    <row r="1061">
      <c r="A1061" s="22" t="n">
        <v>34</v>
      </c>
      <c r="B1061" s="22" t="inlineStr">
        <is>
          <t>Клуб Рослин</t>
        </is>
      </c>
      <c r="C1061" s="22" t="inlineStr">
        <is>
          <t>2152</t>
        </is>
      </c>
      <c r="D1061" s="22" t="inlineStr">
        <is>
          <t>2152</t>
        </is>
      </c>
      <c r="E1061" s="21" t="inlineStr">
        <is>
          <t>Інсектицид Ф’юрі 100 5 л FMC ФМС США</t>
        </is>
      </c>
      <c r="F1061" s="21" t="inlineStr">
        <is>
          <t>Гортензія великолисткова Меджікал Канзоне ® 1gr PC20 C5 / H50-60</t>
        </is>
      </c>
      <c r="G1061" s="23" t="n">
        <v>4160</v>
      </c>
      <c r="H1061" s="23" t="n">
        <v>660</v>
      </c>
      <c r="I1061" s="21" t="inlineStr">
        <is>
          <t>ID постачальника збігся, але назви різні</t>
        </is>
      </c>
    </row>
    <row r="1062">
      <c r="A1062" s="22" t="n">
        <v>34</v>
      </c>
      <c r="B1062" s="22" t="inlineStr">
        <is>
          <t>Клуб Рослин</t>
        </is>
      </c>
      <c r="C1062" s="22" t="inlineStr">
        <is>
          <t>7975</t>
        </is>
      </c>
      <c r="D1062" s="22" t="inlineStr">
        <is>
          <t>7975</t>
        </is>
      </c>
      <c r="E1062" s="21" t="inlineStr">
        <is>
          <t>Регулятор росту Віолон Зерива / Zeryva 5 л Україна</t>
        </is>
      </c>
      <c r="F1062" s="21" t="inlineStr">
        <is>
          <t>Туя складчата Віпкорд Штамб K20 C45 / H40-60 / Pa60</t>
        </is>
      </c>
      <c r="G1062" s="23" t="n">
        <v>3500</v>
      </c>
      <c r="H1062" s="23" t="n">
        <v>2898</v>
      </c>
      <c r="I1062" s="21" t="inlineStr">
        <is>
          <t>ID постачальника збігся, але назви різні</t>
        </is>
      </c>
    </row>
    <row r="1063">
      <c r="A1063" s="22" t="n">
        <v>34</v>
      </c>
      <c r="B1063" s="22" t="inlineStr">
        <is>
          <t>Клуб Рослин</t>
        </is>
      </c>
      <c r="C1063" s="22" t="inlineStr">
        <is>
          <t>1034</t>
        </is>
      </c>
      <c r="D1063" s="22" t="inlineStr">
        <is>
          <t>1034</t>
        </is>
      </c>
      <c r="E1063" s="21" t="inlineStr">
        <is>
          <t>Гербіцид Отаман 20 л Alfa Smart Agro Альфа Смарт Агро Україна</t>
        </is>
      </c>
      <c r="F1063" s="21" t="inlineStr">
        <is>
          <t>Барбарис Тунберга Вулкано PC22 C5 / H40-60</t>
        </is>
      </c>
      <c r="G1063" s="23" t="n">
        <v>3398</v>
      </c>
      <c r="H1063" s="23" t="n">
        <v>290</v>
      </c>
      <c r="I1063" s="21" t="inlineStr">
        <is>
          <t>ID постачальника збігся, але назви різні</t>
        </is>
      </c>
    </row>
    <row r="1064">
      <c r="A1064" s="22" t="n">
        <v>34</v>
      </c>
      <c r="B1064" s="22" t="inlineStr">
        <is>
          <t>Клуб Рослин</t>
        </is>
      </c>
      <c r="C1064" s="22" t="inlineStr">
        <is>
          <t>2299</t>
        </is>
      </c>
      <c r="D1064" s="22" t="inlineStr">
        <is>
          <t>2299</t>
        </is>
      </c>
      <c r="E1064" s="21" t="inlineStr">
        <is>
          <t>Інсектицид Готіка 5 л Нертус Угорщина</t>
        </is>
      </c>
      <c r="F1064" s="21" t="inlineStr">
        <is>
          <t>Гортензія волотиста Меджікал Кіліманджаро PC22 C7,5 / H50-60</t>
        </is>
      </c>
      <c r="G1064" s="23" t="n">
        <v>3184</v>
      </c>
      <c r="H1064" s="23" t="n">
        <v>420</v>
      </c>
      <c r="I1064" s="21" t="inlineStr">
        <is>
          <t>ID постачальника збігся, але назви різні</t>
        </is>
      </c>
    </row>
    <row r="1065">
      <c r="A1065" s="22" t="n">
        <v>34</v>
      </c>
      <c r="B1065" s="22" t="inlineStr">
        <is>
          <t>Клуб Рослин</t>
        </is>
      </c>
      <c r="C1065" s="22" t="inlineStr">
        <is>
          <t>7577</t>
        </is>
      </c>
      <c r="D1065" s="22" t="inlineStr">
        <is>
          <t>7577</t>
        </is>
      </c>
      <c r="E1065" s="21" t="inlineStr">
        <is>
          <t>Добриво Калтемі / Kaltemi 5 л Meristem Меристем Іспанія</t>
        </is>
      </c>
      <c r="F1065" s="21" t="inlineStr">
        <is>
          <t>Тис ягідний (а) Саммерголд Бонсай G / H100-125</t>
        </is>
      </c>
      <c r="G1065" s="23" t="n">
        <v>2725</v>
      </c>
      <c r="H1065" s="23" t="n">
        <v>13925</v>
      </c>
      <c r="I1065" s="21" t="inlineStr">
        <is>
          <t>ID постачальника збігся, але назви різні</t>
        </is>
      </c>
    </row>
    <row r="1066">
      <c r="A1066" s="22" t="n">
        <v>34</v>
      </c>
      <c r="B1066" s="22" t="inlineStr">
        <is>
          <t>Клуб Рослин</t>
        </is>
      </c>
      <c r="C1066" s="22" t="inlineStr">
        <is>
          <t>2018</t>
        </is>
      </c>
      <c r="D1066" s="22" t="inlineStr">
        <is>
          <t>2018</t>
        </is>
      </c>
      <c r="E1066" s="21" t="inlineStr">
        <is>
          <t>Інсектицид Кораген 200 мл FMС ФМС США</t>
        </is>
      </c>
      <c r="F1066" s="21" t="inlineStr">
        <is>
          <t>Гібіскус сірійський Френч кабарет Пастель ® PC22 C5 / H100-120</t>
        </is>
      </c>
      <c r="G1066" s="23" t="n">
        <v>2236</v>
      </c>
      <c r="H1066" s="23" t="n">
        <v>276</v>
      </c>
      <c r="I1066" s="21" t="inlineStr">
        <is>
          <t>ID постачальника збігся, але назви різні</t>
        </is>
      </c>
    </row>
    <row r="1067">
      <c r="A1067" s="22" t="n">
        <v>34</v>
      </c>
      <c r="B1067" s="22" t="inlineStr">
        <is>
          <t>Клуб Рослин</t>
        </is>
      </c>
      <c r="C1067" s="22" t="inlineStr">
        <is>
          <t>2183</t>
        </is>
      </c>
      <c r="D1067" s="22" t="inlineStr">
        <is>
          <t>2183</t>
        </is>
      </c>
      <c r="E1067" s="21" t="inlineStr">
        <is>
          <t>Інсекто-акарицид Імексаб Форте КЕ 1 л Імекс Агро Україна</t>
        </is>
      </c>
      <c r="F1067" s="21" t="inlineStr">
        <is>
          <t>Гортензія великолисткова Тіволі Рот C2 / H15-20</t>
        </is>
      </c>
      <c r="G1067" s="23" t="n">
        <v>1675</v>
      </c>
      <c r="H1067" s="23" t="n">
        <v>290</v>
      </c>
      <c r="I1067" s="21" t="inlineStr">
        <is>
          <t>ID постачальника збігся, але назви різні</t>
        </is>
      </c>
    </row>
    <row r="1068">
      <c r="A1068" s="22" t="n">
        <v>34</v>
      </c>
      <c r="B1068" s="22" t="inlineStr">
        <is>
          <t>Клуб Рослин</t>
        </is>
      </c>
      <c r="C1068" s="22" t="inlineStr">
        <is>
          <t>9000</t>
        </is>
      </c>
      <c r="D1068" s="22" t="inlineStr">
        <is>
          <t>9000</t>
        </is>
      </c>
      <c r="E1068" s="21" t="inlineStr">
        <is>
          <t>Прилипач ад'ювант Еко Ойл Спрей 5 л Adama Адама Ізраїль</t>
        </is>
      </c>
      <c r="F1068" s="21" t="inlineStr">
        <is>
          <t>Декоративний камінь Чорне море Klviv, фр. 5-10мм, 10кг</t>
        </is>
      </c>
      <c r="G1068" s="23" t="n">
        <v>1248</v>
      </c>
      <c r="H1068" s="23" t="n">
        <v>115</v>
      </c>
      <c r="I1068" s="21" t="inlineStr">
        <is>
          <t>ID постачальника збігся, але різні об'єми або розміри</t>
        </is>
      </c>
    </row>
    <row r="1069">
      <c r="A1069" s="22" t="n">
        <v>34</v>
      </c>
      <c r="B1069" s="22" t="inlineStr">
        <is>
          <t>Клуб Рослин</t>
        </is>
      </c>
      <c r="C1069" s="22" t="inlineStr">
        <is>
          <t>3019</t>
        </is>
      </c>
      <c r="D1069" s="22" t="inlineStr">
        <is>
          <t>3019</t>
        </is>
      </c>
      <c r="E1069" s="21" t="inlineStr">
        <is>
          <t>Фунгіцид Фенікс Дуо 1 л ALFA Smart Agro Альфа Смарт Агро Україна</t>
        </is>
      </c>
      <c r="F1069" s="21" t="inlineStr">
        <is>
          <t>Ялівець середній Мінт Джулеп PC21 C3 / L25-30</t>
        </is>
      </c>
      <c r="G1069" s="23" t="n">
        <v>936</v>
      </c>
      <c r="H1069" s="23" t="n">
        <v>196</v>
      </c>
      <c r="I1069" s="21" t="inlineStr">
        <is>
          <t>ID постачальника збігся, але назви різні</t>
        </is>
      </c>
    </row>
    <row r="1070">
      <c r="A1070" s="22" t="n">
        <v>34</v>
      </c>
      <c r="B1070" s="22" t="inlineStr">
        <is>
          <t>Клуб Рослин</t>
        </is>
      </c>
      <c r="C1070" s="22" t="inlineStr">
        <is>
          <t>2025</t>
        </is>
      </c>
      <c r="D1070" s="22" t="inlineStr">
        <is>
          <t>2025</t>
        </is>
      </c>
      <c r="E1070" s="21" t="inlineStr">
        <is>
          <t>Інсектицид Пірінекс Супер 1 л Adama Адама Ізраїль</t>
        </is>
      </c>
      <c r="F1070" s="21" t="inlineStr">
        <is>
          <t>Гібіскус сірійський Френч кабарет Ред PC20 C3 / H20-30</t>
        </is>
      </c>
      <c r="G1070" s="23" t="n">
        <v>725</v>
      </c>
      <c r="H1070" s="23" t="n">
        <v>168</v>
      </c>
      <c r="I1070" s="21" t="inlineStr">
        <is>
          <t>ID постачальника збігся, але назви різні</t>
        </is>
      </c>
    </row>
    <row r="1071">
      <c r="A1071" s="22" t="n">
        <v>34</v>
      </c>
      <c r="B1071" s="22" t="inlineStr">
        <is>
          <t>Клуб Рослин</t>
        </is>
      </c>
      <c r="C1071" s="22" t="inlineStr">
        <is>
          <t>7206</t>
        </is>
      </c>
      <c r="D1071" s="22" t="inlineStr">
        <is>
          <t>7206</t>
        </is>
      </c>
      <c r="E1071" s="21" t="inlineStr">
        <is>
          <t>Добриво Мікрокат Залізо 1 л Вітера Atlantica Agricola Іспанія</t>
        </is>
      </c>
      <c r="F1071" s="21" t="inlineStr">
        <is>
          <t>Троянда гібридний(а) Рафаелло SP G</t>
        </is>
      </c>
      <c r="G1071" s="23" t="n">
        <v>588</v>
      </c>
      <c r="H1071" s="23" t="n">
        <v>44</v>
      </c>
      <c r="I1071" s="21" t="inlineStr">
        <is>
          <t>ID постачальника збігся, але різні бренди</t>
        </is>
      </c>
    </row>
    <row r="1072">
      <c r="A1072" s="22" t="n">
        <v>34</v>
      </c>
      <c r="B1072" s="22" t="inlineStr">
        <is>
          <t>Клуб Рослин</t>
        </is>
      </c>
      <c r="C1072" s="22" t="inlineStr">
        <is>
          <t>7939</t>
        </is>
      </c>
      <c r="D1072" s="22" t="inlineStr">
        <is>
          <t>7939</t>
        </is>
      </c>
      <c r="E1072" s="21" t="inlineStr">
        <is>
          <t>Стимулятор росту Біонорма Мікориза 5 кг (розсип) BioNorma Україна</t>
        </is>
      </c>
      <c r="F1072" s="21" t="inlineStr">
        <is>
          <t>Туя західна (ий) Тіні Тім PC14 C5</t>
        </is>
      </c>
      <c r="G1072" s="23" t="n">
        <v>498</v>
      </c>
      <c r="H1072" s="23" t="n">
        <v>210</v>
      </c>
      <c r="I1072" s="21" t="inlineStr">
        <is>
          <t>ID постачальника збігся, але назви різні</t>
        </is>
      </c>
    </row>
    <row r="1073">
      <c r="A1073" s="22" t="n">
        <v>34</v>
      </c>
      <c r="B1073" s="22" t="inlineStr">
        <is>
          <t>Клуб Рослин</t>
        </is>
      </c>
      <c r="C1073" s="22" t="inlineStr">
        <is>
          <t>7367</t>
        </is>
      </c>
      <c r="D1073" s="22" t="inlineStr">
        <is>
          <t>7367</t>
        </is>
      </c>
      <c r="E1073" s="21" t="inlineStr">
        <is>
          <t>Добриво Монокалій фосфат Yara Krista МКР 0-52-34 1 кг (розсип) Норвегія</t>
        </is>
      </c>
      <c r="F1073" s="21" t="inlineStr">
        <is>
          <t>Спірея японська Голдфлейм PC21 C5 / H40-60</t>
        </is>
      </c>
      <c r="G1073" s="23" t="n">
        <v>200</v>
      </c>
      <c r="H1073" s="23" t="n">
        <v>156</v>
      </c>
      <c r="I1073" s="21" t="inlineStr">
        <is>
          <t>ID постачальника збігся, але назви різні</t>
        </is>
      </c>
    </row>
    <row r="1074">
      <c r="A1074" s="22" t="n">
        <v>33.9</v>
      </c>
      <c r="B1074" s="22" t="inlineStr">
        <is>
          <t>Клуб Рослин</t>
        </is>
      </c>
      <c r="C1074" s="22" t="inlineStr">
        <is>
          <t>7669</t>
        </is>
      </c>
      <c r="D1074" s="22" t="inlineStr">
        <is>
          <t>7669</t>
        </is>
      </c>
      <c r="E1074" s="21" t="inlineStr">
        <is>
          <t>Добриво Грінплант Greenplant 15-5-25+2+МЕ 25кг Green Has Грін Хас Італія</t>
        </is>
      </c>
      <c r="F1074" s="21" t="inlineStr">
        <is>
          <t>Туя (Платікладус) східна Ауреа Нана PC22 C5 / H30-35</t>
        </is>
      </c>
      <c r="G1074" s="23" t="n">
        <v>3500</v>
      </c>
      <c r="H1074" s="23" t="n">
        <v>304</v>
      </c>
      <c r="I1074" s="21" t="inlineStr">
        <is>
          <t>ID постачальника збігся, але назви різні</t>
        </is>
      </c>
    </row>
    <row r="1075">
      <c r="A1075" s="22" t="n">
        <v>33.9</v>
      </c>
      <c r="B1075" s="22" t="inlineStr">
        <is>
          <t>Клуб Рослин</t>
        </is>
      </c>
      <c r="C1075" s="22" t="inlineStr">
        <is>
          <t>2169</t>
        </is>
      </c>
      <c r="D1075" s="22" t="inlineStr">
        <is>
          <t>2169</t>
        </is>
      </c>
      <c r="E1075" s="21" t="inlineStr">
        <is>
          <t>Інсектицид Спінтор 240 SC 250 мл Corteva Кортева США</t>
        </is>
      </c>
      <c r="F1075" s="21" t="inlineStr">
        <is>
          <t>Гортензія великолисткова Меджікал Революшн ® 2gr PC20 C5 / H30-40</t>
        </is>
      </c>
      <c r="G1075" s="23" t="n">
        <v>2748</v>
      </c>
      <c r="H1075" s="23" t="n">
        <v>660</v>
      </c>
      <c r="I1075" s="21" t="inlineStr">
        <is>
          <t>ID постачальника збігся, але назви різні</t>
        </is>
      </c>
    </row>
    <row r="1076">
      <c r="A1076" s="22" t="n">
        <v>33.9</v>
      </c>
      <c r="B1076" s="22" t="inlineStr">
        <is>
          <t>Клуб Рослин</t>
        </is>
      </c>
      <c r="C1076" s="22" t="inlineStr">
        <is>
          <t>2297</t>
        </is>
      </c>
      <c r="D1076" s="22" t="inlineStr">
        <is>
          <t>2297</t>
        </is>
      </c>
      <c r="E1076" s="21" t="inlineStr">
        <is>
          <t>Інсектицид - адв'ювант Oil Protect / Ойл Протект 10 л Biochem Agro Україна</t>
        </is>
      </c>
      <c r="F1076" s="21" t="inlineStr">
        <is>
          <t>Гортензія волотиста Меджікал Кіліманджаро PC21 C3 / H20-30</t>
        </is>
      </c>
      <c r="G1076" s="23" t="n">
        <v>1998</v>
      </c>
      <c r="H1076" s="23" t="n">
        <v>240</v>
      </c>
      <c r="I1076" s="21" t="inlineStr">
        <is>
          <t>ID постачальника збігся, але назви різні</t>
        </is>
      </c>
    </row>
    <row r="1077">
      <c r="A1077" s="22" t="n">
        <v>33.9</v>
      </c>
      <c r="B1077" s="22" t="inlineStr">
        <is>
          <t>Клуб Рослин</t>
        </is>
      </c>
      <c r="C1077" s="22" t="inlineStr">
        <is>
          <t>2122</t>
        </is>
      </c>
      <c r="D1077" s="22" t="inlineStr">
        <is>
          <t>2122</t>
        </is>
      </c>
      <c r="E1077" s="21" t="inlineStr">
        <is>
          <t>Інсектицид Фосорган Дуо 5л Агрохімічні технології Україна</t>
        </is>
      </c>
      <c r="F1077" s="21" t="inlineStr">
        <is>
          <t>Гортензія великолисткова Ендлесс Саммер Самер Лав Пінкрот ® C5 / H20-30</t>
        </is>
      </c>
      <c r="G1077" s="23" t="n">
        <v>1998</v>
      </c>
      <c r="H1077" s="23" t="n">
        <v>760</v>
      </c>
      <c r="I1077" s="21" t="inlineStr">
        <is>
          <t>ID постачальника збігся, але назви різні</t>
        </is>
      </c>
    </row>
    <row r="1078">
      <c r="A1078" s="22" t="n">
        <v>33.8</v>
      </c>
      <c r="B1078" s="22" t="inlineStr">
        <is>
          <t>Клуб Рослин</t>
        </is>
      </c>
      <c r="C1078" s="22" t="inlineStr">
        <is>
          <t>3281</t>
        </is>
      </c>
      <c r="D1078" s="22" t="inlineStr">
        <is>
          <t>3281</t>
        </is>
      </c>
      <c r="E1078" s="21" t="inlineStr">
        <is>
          <t>Фунгіцид Бампер Супер 5 л Adama Адама Ізраїль</t>
        </is>
      </c>
      <c r="F1078" s="21" t="inlineStr">
        <is>
          <t>Жимолость східна Амфора C2</t>
        </is>
      </c>
      <c r="G1078" s="23" t="n">
        <v>4250</v>
      </c>
      <c r="H1078" s="23" t="n">
        <v>145</v>
      </c>
      <c r="I1078" s="21" t="inlineStr">
        <is>
          <t>ID постачальника збігся, але назви різні</t>
        </is>
      </c>
    </row>
    <row r="1079">
      <c r="A1079" s="22" t="n">
        <v>33.8</v>
      </c>
      <c r="B1079" s="22" t="inlineStr">
        <is>
          <t>Клуб Рослин</t>
        </is>
      </c>
      <c r="C1079" s="22" t="inlineStr">
        <is>
          <t>7470</t>
        </is>
      </c>
      <c r="D1079" s="22" t="inlineStr">
        <is>
          <t>7470</t>
        </is>
      </c>
      <c r="E1079" s="21" t="inlineStr">
        <is>
          <t>Регулятор росту Вимпел К2 - 1 л Долина Україна</t>
        </is>
      </c>
      <c r="F1079" s="21" t="inlineStr">
        <is>
          <t>Тис ягідний (а) Бонсай C180 / H250-300</t>
        </is>
      </c>
      <c r="G1079" s="23" t="n">
        <v>605</v>
      </c>
      <c r="H1079" s="23" t="n">
        <v>66240</v>
      </c>
      <c r="I1079" s="21" t="inlineStr">
        <is>
          <t>ID постачальника збігся, але назви різні</t>
        </is>
      </c>
    </row>
    <row r="1080">
      <c r="A1080" s="22" t="n">
        <v>33.8</v>
      </c>
      <c r="B1080" s="22" t="inlineStr">
        <is>
          <t>Клуб Рослин</t>
        </is>
      </c>
      <c r="C1080" s="22" t="inlineStr">
        <is>
          <t>2329</t>
        </is>
      </c>
      <c r="D1080" s="22" t="inlineStr">
        <is>
          <t>2329</t>
        </is>
      </c>
      <c r="E1080" s="21" t="inlineStr">
        <is>
          <t>Інсектицид Бовер ІМ / Bover ІМ 1 кг Імекс Агро Україна</t>
        </is>
      </c>
      <c r="F1080" s="21" t="inlineStr">
        <is>
          <t>Гортензія волотиста Меджікал Світ Саммер PC22 C7,5</t>
        </is>
      </c>
      <c r="G1080" s="23" t="n">
        <v>498</v>
      </c>
      <c r="H1080" s="23" t="n">
        <v>420</v>
      </c>
      <c r="I1080" s="21" t="inlineStr">
        <is>
          <t>ID постачальника збігся, але назви різні</t>
        </is>
      </c>
    </row>
    <row r="1081">
      <c r="A1081" s="22" t="n">
        <v>33.8</v>
      </c>
      <c r="B1081" s="22" t="inlineStr">
        <is>
          <t>Клуб Рослин</t>
        </is>
      </c>
      <c r="C1081" s="22" t="inlineStr">
        <is>
          <t>7048</t>
        </is>
      </c>
      <c r="D1081" s="22" t="inlineStr">
        <is>
          <t>7048</t>
        </is>
      </c>
      <c r="E1081" s="21" t="inlineStr">
        <is>
          <t>Біостимулятор Кендал ТЕ Kendal ТЕ 100 мл Valagro Валагро Італія</t>
        </is>
      </c>
      <c r="F1081" s="21" t="inlineStr">
        <is>
          <t>Смородина чорна Сільвергітерс Шварц Штамб C3 / H125-150 / Pa80</t>
        </is>
      </c>
      <c r="G1081" s="23" t="n">
        <v>265</v>
      </c>
      <c r="H1081" s="23" t="n">
        <v>525</v>
      </c>
      <c r="I1081" s="21" t="inlineStr">
        <is>
          <t>ID постачальника збігся, але назви різні</t>
        </is>
      </c>
    </row>
    <row r="1082">
      <c r="A1082" s="22" t="n">
        <v>33.7</v>
      </c>
      <c r="B1082" s="22" t="inlineStr">
        <is>
          <t>Клуб Рослин</t>
        </is>
      </c>
      <c r="C1082" s="22" t="inlineStr">
        <is>
          <t>2202</t>
        </is>
      </c>
      <c r="D1082" s="22" t="inlineStr">
        <is>
          <t>2202</t>
        </is>
      </c>
      <c r="E1082" s="21" t="inlineStr">
        <is>
          <t>Інсектицид Ваєго 200 SC КС 1 л Bayer Байєр Німмечина</t>
        </is>
      </c>
      <c r="F1082" s="21" t="inlineStr">
        <is>
          <t>Гортензія волотиста Кенделайт PC20 C3 / H70-80</t>
        </is>
      </c>
      <c r="G1082" s="23" t="n">
        <v>6698</v>
      </c>
      <c r="H1082" s="23" t="n">
        <v>240</v>
      </c>
      <c r="I1082" s="21" t="inlineStr">
        <is>
          <t>ID постачальника збігся, але назви різні</t>
        </is>
      </c>
    </row>
    <row r="1083">
      <c r="A1083" s="22" t="n">
        <v>33.7</v>
      </c>
      <c r="B1083" s="22" t="inlineStr">
        <is>
          <t>Клуб Рослин</t>
        </is>
      </c>
      <c r="C1083" s="22" t="inlineStr">
        <is>
          <t>7260</t>
        </is>
      </c>
      <c r="D1083" s="22" t="inlineStr">
        <is>
          <t>7260</t>
        </is>
      </c>
      <c r="E1083" s="21" t="inlineStr">
        <is>
          <t>Добриво ГУМАТ СУПЕР ОРГАНІК / GUMAT SUPER ORGANIC 20 л Мінерал Груп Україна</t>
        </is>
      </c>
      <c r="F1083" s="21" t="inlineStr">
        <is>
          <t>Троянда Mix (в асортименті) C4</t>
        </is>
      </c>
      <c r="G1083" s="23" t="n">
        <v>4898</v>
      </c>
      <c r="H1083" s="23" t="n">
        <v>102</v>
      </c>
      <c r="I1083" s="21" t="inlineStr">
        <is>
          <t>ID постачальника збігся, але різні бренди</t>
        </is>
      </c>
    </row>
    <row r="1084">
      <c r="A1084" s="22" t="n">
        <v>33.7</v>
      </c>
      <c r="B1084" s="22" t="inlineStr">
        <is>
          <t>Клуб Рослин</t>
        </is>
      </c>
      <c r="C1084" s="22" t="inlineStr">
        <is>
          <t>7109</t>
        </is>
      </c>
      <c r="D1084" s="22" t="inlineStr">
        <is>
          <t>7109</t>
        </is>
      </c>
      <c r="E1084" s="21" t="inlineStr">
        <is>
          <t>Добриво Nova PeKacid Пекацид 0-60-20 25 кг ICL Ізраїль</t>
        </is>
      </c>
      <c r="F1084" s="21" t="inlineStr">
        <is>
          <t>Троянда плетиста Перпешуалі Йорс DP PC18 C5</t>
        </is>
      </c>
      <c r="G1084" s="23" t="n">
        <v>4398</v>
      </c>
      <c r="H1084" s="23" t="n">
        <v>144</v>
      </c>
      <c r="I1084" s="21" t="inlineStr">
        <is>
          <t>ID постачальника збігся, але різні бренди</t>
        </is>
      </c>
    </row>
    <row r="1085">
      <c r="A1085" s="22" t="n">
        <v>33.7</v>
      </c>
      <c r="B1085" s="22" t="inlineStr">
        <is>
          <t>Клуб Рослин</t>
        </is>
      </c>
      <c r="C1085" s="22" t="inlineStr">
        <is>
          <t>2289</t>
        </is>
      </c>
      <c r="D1085" s="22" t="inlineStr">
        <is>
          <t>2289</t>
        </is>
      </c>
      <c r="E1085" s="21" t="inlineStr">
        <is>
          <t>Інсектицид Контадор Дуо 5 л Нертус Угорщина</t>
        </is>
      </c>
      <c r="F1085" s="21" t="inlineStr">
        <is>
          <t>Гортензія волотиста Межджікал Флейм C7,5</t>
        </is>
      </c>
      <c r="G1085" s="23" t="n">
        <v>3494</v>
      </c>
      <c r="H1085" s="23" t="n">
        <v>275</v>
      </c>
      <c r="I1085" s="21" t="inlineStr">
        <is>
          <t>ID постачальника збігся, але назви різні</t>
        </is>
      </c>
    </row>
    <row r="1086">
      <c r="A1086" s="22" t="n">
        <v>33.7</v>
      </c>
      <c r="B1086" s="22" t="inlineStr">
        <is>
          <t>Клуб Рослин</t>
        </is>
      </c>
      <c r="C1086" s="22" t="inlineStr">
        <is>
          <t>1014</t>
        </is>
      </c>
      <c r="D1086" s="22" t="inlineStr">
        <is>
          <t>1014</t>
        </is>
      </c>
      <c r="E1086" s="21" t="inlineStr">
        <is>
          <t>Гербицид Тотал 20 л Хімагромаркетинг Україна</t>
        </is>
      </c>
      <c r="F1086" s="21" t="inlineStr">
        <is>
          <t>Барбарис Тунберга Розетта PC16 C3 / L30-40</t>
        </is>
      </c>
      <c r="G1086" s="23" t="n">
        <v>3348</v>
      </c>
      <c r="H1086" s="23" t="n">
        <v>105</v>
      </c>
      <c r="I1086" s="21" t="inlineStr">
        <is>
          <t>ID постачальника збігся, але назви різні</t>
        </is>
      </c>
    </row>
    <row r="1087">
      <c r="A1087" s="22" t="n">
        <v>33.7</v>
      </c>
      <c r="B1087" s="22" t="inlineStr">
        <is>
          <t>Клуб Рослин</t>
        </is>
      </c>
      <c r="C1087" s="22" t="inlineStr">
        <is>
          <t>7561</t>
        </is>
      </c>
      <c r="D1087" s="22" t="inlineStr">
        <is>
          <t>7561</t>
        </is>
      </c>
      <c r="E1087" s="21" t="inlineStr">
        <is>
          <t>Добриво Ікар Бор / Ikar B 170 (NB 5-17) 5 л Литва</t>
        </is>
      </c>
      <c r="F1087" s="21" t="inlineStr">
        <is>
          <t>Тис ягідний (а) Шварцгрун Бонсай C230 / H160 / L100</t>
        </is>
      </c>
      <c r="G1087" s="23" t="n">
        <v>1990</v>
      </c>
      <c r="H1087" s="23" t="n">
        <v>30000</v>
      </c>
      <c r="I1087" s="21" t="inlineStr">
        <is>
          <t>ID постачальника збігся, але назви різні</t>
        </is>
      </c>
    </row>
    <row r="1088">
      <c r="A1088" s="22" t="n">
        <v>33.7</v>
      </c>
      <c r="B1088" s="22" t="inlineStr">
        <is>
          <t>Клуб Рослин</t>
        </is>
      </c>
      <c r="C1088" s="22" t="inlineStr">
        <is>
          <t>1155</t>
        </is>
      </c>
      <c r="D1088" s="22" t="inlineStr">
        <is>
          <t>1155</t>
        </is>
      </c>
      <c r="E1088" s="21" t="inlineStr">
        <is>
          <t>Гербіцид Тівітус 500 г Ukravit Укравіт Україна</t>
        </is>
      </c>
      <c r="F1088" s="21" t="inlineStr">
        <is>
          <t>Красивоягідник Бодин'єра Профюжн C80 / H175-200</t>
        </is>
      </c>
      <c r="G1088" s="23" t="n">
        <v>1925</v>
      </c>
      <c r="H1088" s="23" t="n">
        <v>5520</v>
      </c>
      <c r="I1088" s="21" t="inlineStr">
        <is>
          <t>ID постачальника збігся, але назви різні</t>
        </is>
      </c>
    </row>
    <row r="1089">
      <c r="A1089" s="22" t="n">
        <v>33.7</v>
      </c>
      <c r="B1089" s="22" t="inlineStr">
        <is>
          <t>Клуб Рослин</t>
        </is>
      </c>
      <c r="C1089" s="22" t="inlineStr">
        <is>
          <t>8135</t>
        </is>
      </c>
      <c r="D1089" s="22" t="inlineStr">
        <is>
          <t>8135</t>
        </is>
      </c>
      <c r="E1089" s="21" t="inlineStr">
        <is>
          <t>Стимулятор росту РизоГумат Зерива / Zeryva 5 л Україна</t>
        </is>
      </c>
      <c r="F1089" s="21" t="inlineStr">
        <is>
          <t>Калина червона Ескімо Штамб C7,5 / Pa50</t>
        </is>
      </c>
      <c r="G1089" s="23" t="n">
        <v>1750</v>
      </c>
      <c r="H1089" s="23" t="n">
        <v>1588</v>
      </c>
      <c r="I1089" s="21" t="inlineStr">
        <is>
          <t>ID постачальника збігся, але назви різні</t>
        </is>
      </c>
    </row>
    <row r="1090">
      <c r="A1090" s="22" t="n">
        <v>33.7</v>
      </c>
      <c r="B1090" s="22" t="inlineStr">
        <is>
          <t>Клуб Рослин</t>
        </is>
      </c>
      <c r="C1090" s="22" t="inlineStr">
        <is>
          <t>7844</t>
        </is>
      </c>
      <c r="D1090" s="22" t="inlineStr">
        <is>
          <t>7844</t>
        </is>
      </c>
      <c r="E1090" s="21" t="inlineStr">
        <is>
          <t>Стимулятор росту Біонорма Мікориза 20 кг BioNorma Україна</t>
        </is>
      </c>
      <c r="F1090" s="21" t="inlineStr">
        <is>
          <t>Туя західна (ий) Смарагд K19 C45 / H100-120</t>
        </is>
      </c>
      <c r="G1090" s="23" t="n">
        <v>1716</v>
      </c>
      <c r="H1090" s="23" t="n">
        <v>435</v>
      </c>
      <c r="I1090" s="21" t="inlineStr">
        <is>
          <t>ID постачальника збігся, але назви різні</t>
        </is>
      </c>
    </row>
    <row r="1091">
      <c r="A1091" s="22" t="n">
        <v>33.7</v>
      </c>
      <c r="B1091" s="22" t="inlineStr">
        <is>
          <t>Клуб Рослин</t>
        </is>
      </c>
      <c r="C1091" s="22" t="inlineStr">
        <is>
          <t>7138</t>
        </is>
      </c>
      <c r="D1091" s="22" t="inlineStr">
        <is>
          <t>7138</t>
        </is>
      </c>
      <c r="E1091" s="21" t="inlineStr">
        <is>
          <t>Добриво Хелатин MultiMix 10 л Кіссон Україна</t>
        </is>
      </c>
      <c r="F1091" s="21" t="inlineStr">
        <is>
          <t>Троянда густоквіткова Олд Порт Штамб GK / Pa100</t>
        </is>
      </c>
      <c r="G1091" s="23" t="n">
        <v>1520</v>
      </c>
      <c r="H1091" s="23" t="n">
        <v>420</v>
      </c>
      <c r="I1091" s="21" t="inlineStr">
        <is>
          <t>ID постачальника збігся, але різні бренди</t>
        </is>
      </c>
    </row>
    <row r="1092">
      <c r="A1092" s="22" t="n">
        <v>33.7</v>
      </c>
      <c r="B1092" s="22" t="inlineStr">
        <is>
          <t>Клуб Рослин</t>
        </is>
      </c>
      <c r="C1092" s="22" t="inlineStr">
        <is>
          <t>3398</t>
        </is>
      </c>
      <c r="D1092" s="22" t="inlineStr">
        <is>
          <t>3398</t>
        </is>
      </c>
      <c r="E1092" s="21" t="inlineStr">
        <is>
          <t>Фунгіцид Сигнал ВГ 500 г Green Express / Грін Експрес</t>
        </is>
      </c>
      <c r="F1092" s="21" t="inlineStr">
        <is>
          <t>Магнолія гібридний(а) Джейн C60 / H175-200</t>
        </is>
      </c>
      <c r="G1092" s="23" t="n">
        <v>1398</v>
      </c>
      <c r="H1092" s="23" t="n">
        <v>8446</v>
      </c>
      <c r="I1092" s="21" t="inlineStr">
        <is>
          <t>ID постачальника збігся, але назви різні</t>
        </is>
      </c>
    </row>
    <row r="1093">
      <c r="A1093" s="22" t="n">
        <v>33.7</v>
      </c>
      <c r="B1093" s="22" t="inlineStr">
        <is>
          <t>Клуб Рослин</t>
        </is>
      </c>
      <c r="C1093" s="22" t="inlineStr">
        <is>
          <t>2120</t>
        </is>
      </c>
      <c r="D1093" s="22" t="inlineStr">
        <is>
          <t>2120</t>
        </is>
      </c>
      <c r="E1093" s="21" t="inlineStr">
        <is>
          <t>Інсекто-акарицид Препарат 30 Д 83% 10 л</t>
        </is>
      </c>
      <c r="F1093" s="21" t="inlineStr">
        <is>
          <t>Гортензія великолисткова Ендлесс Саммер Самер Лав Ліла ® C5 / H20-30</t>
        </is>
      </c>
      <c r="G1093" s="23" t="n">
        <v>1325</v>
      </c>
      <c r="H1093" s="23" t="n">
        <v>996</v>
      </c>
      <c r="I1093" s="21" t="inlineStr">
        <is>
          <t>ID постачальника збігся, але назви різні</t>
        </is>
      </c>
    </row>
    <row r="1094">
      <c r="A1094" s="22" t="n">
        <v>33.7</v>
      </c>
      <c r="B1094" s="22" t="inlineStr">
        <is>
          <t>Клуб Рослин</t>
        </is>
      </c>
      <c r="C1094" s="22" t="inlineStr">
        <is>
          <t>5003</t>
        </is>
      </c>
      <c r="D1094" s="22" t="inlineStr">
        <is>
          <t>5003</t>
        </is>
      </c>
      <c r="E1094" s="21" t="inlineStr">
        <is>
          <t>Протруювач АС Селектив 1 л Ukravit Укравіт Україна</t>
        </is>
      </c>
      <c r="F1094" s="21" t="inlineStr">
        <is>
          <t>Сосна густоквіткова Умбракуліфера C60 / H100-125</t>
        </is>
      </c>
      <c r="G1094" s="23" t="n">
        <v>898</v>
      </c>
      <c r="H1094" s="23" t="n">
        <v>6083</v>
      </c>
      <c r="I1094" s="21" t="inlineStr">
        <is>
          <t>ID постачальника збігся, але назви різні</t>
        </is>
      </c>
    </row>
    <row r="1095">
      <c r="A1095" s="22" t="n">
        <v>33.7</v>
      </c>
      <c r="B1095" s="22" t="inlineStr">
        <is>
          <t>Клуб Рослин</t>
        </is>
      </c>
      <c r="C1095" s="22" t="inlineStr">
        <is>
          <t>3161</t>
        </is>
      </c>
      <c r="D1095" s="22" t="inlineStr">
        <is>
          <t>3161</t>
        </is>
      </c>
      <c r="E1095" s="21" t="inlineStr">
        <is>
          <t>Фунгіцид Шавіт Ф 72 WG ВДГ 1 кг (розсип) Adama Адама Ізраїль</t>
        </is>
      </c>
      <c r="F1095" s="21" t="inlineStr">
        <is>
          <t>Лілія ЛА-гібридна Оріджинал Лов 12\14</t>
        </is>
      </c>
      <c r="G1095" s="23" t="n">
        <v>848</v>
      </c>
      <c r="H1095" s="23" t="n">
        <v>50</v>
      </c>
      <c r="I1095" s="21" t="inlineStr">
        <is>
          <t>ID постачальника збігся, але назви різні</t>
        </is>
      </c>
    </row>
    <row r="1096">
      <c r="A1096" s="22" t="n">
        <v>33.7</v>
      </c>
      <c r="B1096" s="22" t="inlineStr">
        <is>
          <t>Клуб Рослин</t>
        </is>
      </c>
      <c r="C1096" s="22" t="inlineStr">
        <is>
          <t>3033</t>
        </is>
      </c>
      <c r="D1096" s="22" t="inlineStr">
        <is>
          <t>3033</t>
        </is>
      </c>
      <c r="E1096" s="21" t="inlineStr">
        <is>
          <t>Фунгіцид Скор 250 ЕС КЕ 100 мл Syngenta Сингента Швейцарія</t>
        </is>
      </c>
      <c r="F1096" s="21" t="inlineStr">
        <is>
          <t>Ялівець середній Олд Голд K C65 / H60-80</t>
        </is>
      </c>
      <c r="G1096" s="23" t="n">
        <v>748</v>
      </c>
      <c r="H1096" s="23" t="n">
        <v>746</v>
      </c>
      <c r="I1096" s="21" t="inlineStr">
        <is>
          <t>ID постачальника збігся, але назви різні</t>
        </is>
      </c>
    </row>
    <row r="1097">
      <c r="A1097" s="22" t="n">
        <v>33.7</v>
      </c>
      <c r="B1097" s="22" t="inlineStr">
        <is>
          <t>Клуб Рослин</t>
        </is>
      </c>
      <c r="C1097" s="22" t="inlineStr">
        <is>
          <t>7974</t>
        </is>
      </c>
      <c r="D1097" s="22" t="inlineStr">
        <is>
          <t>7974</t>
        </is>
      </c>
      <c r="E1097" s="21" t="inlineStr">
        <is>
          <t>Регулятор росту Віолон Зерива / Zeryva 1 л Україна</t>
        </is>
      </c>
      <c r="F1097" s="21" t="inlineStr">
        <is>
          <t>Туя складчата Віпкорд Штамб K19 G / L30-40 / Pa80-100</t>
        </is>
      </c>
      <c r="G1097" s="23" t="n">
        <v>700</v>
      </c>
      <c r="H1097" s="23" t="n">
        <v>1445</v>
      </c>
      <c r="I1097" s="21" t="inlineStr">
        <is>
          <t>ID постачальника збігся, але різні об'єми або розміри</t>
        </is>
      </c>
    </row>
    <row r="1098">
      <c r="A1098" s="22" t="n">
        <v>33.7</v>
      </c>
      <c r="B1098" s="22" t="inlineStr">
        <is>
          <t>Клуб Рослин</t>
        </is>
      </c>
      <c r="C1098" s="22" t="inlineStr">
        <is>
          <t>7756</t>
        </is>
      </c>
      <c r="D1098" s="22" t="inlineStr">
        <is>
          <t>7756</t>
        </is>
      </c>
      <c r="E1098" s="21" t="inlineStr">
        <is>
          <t>Добриво Ікар Інтенс Зерновий / Ikar Intense Grain 1 л Литва</t>
        </is>
      </c>
      <c r="F1098" s="21" t="inlineStr">
        <is>
          <t>Туя західна (ий) Литл Джаінт K17 G / H40-50</t>
        </is>
      </c>
      <c r="G1098" s="23" t="n">
        <v>594</v>
      </c>
      <c r="H1098" s="23" t="n">
        <v>405</v>
      </c>
      <c r="I1098" s="21" t="inlineStr">
        <is>
          <t>ID постачальника збігся, але різні об'єми або розміри</t>
        </is>
      </c>
    </row>
    <row r="1099">
      <c r="A1099" s="22" t="n">
        <v>33.7</v>
      </c>
      <c r="B1099" s="22" t="inlineStr">
        <is>
          <t>Клуб Рослин</t>
        </is>
      </c>
      <c r="C1099" s="22" t="inlineStr">
        <is>
          <t>7766</t>
        </is>
      </c>
      <c r="D1099" s="22" t="inlineStr">
        <is>
          <t>7766</t>
        </is>
      </c>
      <c r="E1099" s="21" t="inlineStr">
        <is>
          <t>Добриво Ікар Калісто (Калій) / Ikar Kalisto 1 л Литва</t>
        </is>
      </c>
      <c r="F1099" s="21" t="inlineStr">
        <is>
          <t>Туя західна (ий) Литл Джаінт PC21 C5 / H30-35 / L20-25</t>
        </is>
      </c>
      <c r="G1099" s="23" t="n">
        <v>557</v>
      </c>
      <c r="H1099" s="23" t="n">
        <v>290</v>
      </c>
      <c r="I1099" s="21" t="inlineStr">
        <is>
          <t>ID постачальника збігся, але назви різні</t>
        </is>
      </c>
    </row>
    <row r="1100">
      <c r="A1100" s="22" t="n">
        <v>33.7</v>
      </c>
      <c r="B1100" s="22" t="inlineStr">
        <is>
          <t>Клуб Рослин</t>
        </is>
      </c>
      <c r="C1100" s="22" t="inlineStr">
        <is>
          <t>3172</t>
        </is>
      </c>
      <c r="D1100" s="22" t="inlineStr">
        <is>
          <t>3172</t>
        </is>
      </c>
      <c r="E1100" s="21" t="inlineStr">
        <is>
          <t>Фунгіцид Белліс 100 г (розсип) Basf Басф Німеччина</t>
        </is>
      </c>
      <c r="F1100" s="21" t="inlineStr">
        <is>
          <t>Лілія східна гібридна Екстраваганза 12\14</t>
        </is>
      </c>
      <c r="G1100" s="23" t="n">
        <v>398</v>
      </c>
      <c r="H1100" s="23" t="n">
        <v>50</v>
      </c>
      <c r="I1100" s="21" t="inlineStr">
        <is>
          <t>ID постачальника збігся, але назви різні</t>
        </is>
      </c>
    </row>
    <row r="1101">
      <c r="A1101" s="22" t="n">
        <v>33.7</v>
      </c>
      <c r="B1101" s="22" t="inlineStr">
        <is>
          <t>Клуб Рослин</t>
        </is>
      </c>
      <c r="C1101" s="22" t="inlineStr">
        <is>
          <t>7020</t>
        </is>
      </c>
      <c r="D1101" s="22" t="inlineStr">
        <is>
          <t>7020</t>
        </is>
      </c>
      <c r="E1101" s="21" t="inlineStr">
        <is>
          <t>Добриво Мастер Master 20+20+20 1 кг Valagro Валагро Італія</t>
        </is>
      </c>
      <c r="F1101" s="21" t="inlineStr">
        <is>
          <t>Рододендрон гібридний Вілдженс Сурпрайс C15 / H40-50</t>
        </is>
      </c>
      <c r="G1101" s="23" t="n">
        <v>375</v>
      </c>
      <c r="H1101" s="23" t="n">
        <v>865</v>
      </c>
      <c r="I1101" s="21" t="inlineStr">
        <is>
          <t>ID постачальника збігся, але назви різні</t>
        </is>
      </c>
    </row>
    <row r="1102">
      <c r="A1102" s="22" t="n">
        <v>33.7</v>
      </c>
      <c r="B1102" s="22" t="inlineStr">
        <is>
          <t>Клуб Рослин</t>
        </is>
      </c>
      <c r="C1102" s="22" t="inlineStr">
        <is>
          <t>7845</t>
        </is>
      </c>
      <c r="D1102" s="22" t="inlineStr">
        <is>
          <t>7845</t>
        </is>
      </c>
      <c r="E1102" s="21" t="inlineStr">
        <is>
          <t>Стимулятор росту Біонорма Мікориза 800 г BioNorma Україна</t>
        </is>
      </c>
      <c r="F1102" s="21" t="inlineStr">
        <is>
          <t>Туя західна (ий) Смарагд K19 C45 / H120-140</t>
        </is>
      </c>
      <c r="G1102" s="23" t="n">
        <v>370</v>
      </c>
      <c r="H1102" s="23" t="n">
        <v>508</v>
      </c>
      <c r="I1102" s="21" t="inlineStr">
        <is>
          <t>ID постачальника збігся, але назви різні</t>
        </is>
      </c>
    </row>
    <row r="1103">
      <c r="A1103" s="22" t="n">
        <v>33.7</v>
      </c>
      <c r="B1103" s="22" t="inlineStr">
        <is>
          <t>Клуб Рослин</t>
        </is>
      </c>
      <c r="C1103" s="22" t="inlineStr">
        <is>
          <t>7358</t>
        </is>
      </c>
      <c r="D1103" s="22" t="inlineStr">
        <is>
          <t>7358</t>
        </is>
      </c>
      <c r="E1103" s="21" t="inlineStr">
        <is>
          <t>Добриво Плантатор 5+15+45 1 кг Кіссон Україна</t>
        </is>
      </c>
      <c r="F1103" s="21" t="inlineStr">
        <is>
          <t>Спірея японська Голден Прінцес PC21 C5 / H20-25</t>
        </is>
      </c>
      <c r="G1103" s="23" t="n">
        <v>280</v>
      </c>
      <c r="H1103" s="23" t="n">
        <v>190</v>
      </c>
      <c r="I1103" s="21" t="inlineStr">
        <is>
          <t>ID постачальника збігся, але назви різні</t>
        </is>
      </c>
    </row>
    <row r="1104">
      <c r="A1104" s="22" t="n">
        <v>33.7</v>
      </c>
      <c r="B1104" s="22" t="inlineStr">
        <is>
          <t>Клуб Рослин</t>
        </is>
      </c>
      <c r="C1104" s="22" t="inlineStr">
        <is>
          <t>2059</t>
        </is>
      </c>
      <c r="D1104" s="22" t="inlineStr">
        <is>
          <t>2059</t>
        </is>
      </c>
      <c r="E1104" s="21" t="inlineStr">
        <is>
          <t>Інсектицид Проклейм 5 SG 40 г Syngenta Сингента Швейцарія</t>
        </is>
      </c>
      <c r="F1104" s="21" t="inlineStr">
        <is>
          <t>Гібіскус сірійський Перпл Піллар ® C20 / H175-200</t>
        </is>
      </c>
      <c r="G1104" s="23" t="n">
        <v>235</v>
      </c>
      <c r="H1104" s="23" t="n">
        <v>2760</v>
      </c>
      <c r="I1104" s="21" t="inlineStr">
        <is>
          <t>ID постачальника збігся, але назви різні</t>
        </is>
      </c>
    </row>
    <row r="1105">
      <c r="A1105" s="22" t="n">
        <v>33.6</v>
      </c>
      <c r="B1105" s="22" t="inlineStr">
        <is>
          <t>Водоспад</t>
        </is>
      </c>
      <c r="C1105" s="22" t="inlineStr">
        <is>
          <t>40-211</t>
        </is>
      </c>
      <c r="D1105" s="22" t="inlineStr">
        <is>
          <t>40211</t>
        </is>
      </c>
      <c r="E1105" s="21" t="inlineStr">
        <is>
          <t>Граблі універсальні Целлфаст / Cellfast IPRO 168 см (40-211) Польща</t>
        </is>
      </c>
      <c r="F1105" s="21" t="inlineStr">
        <is>
          <t>Свердла Bosch HSS-PointTeQ, 8,2x75x117 мм, 10 шт (2608577250)</t>
        </is>
      </c>
      <c r="G1105" s="23" t="n">
        <v>965</v>
      </c>
      <c r="H1105" s="23" t="n">
        <v>745</v>
      </c>
      <c r="I1105" s="21" t="inlineStr">
        <is>
          <t>ID постачальника збігся, але різні об'єми або розміри</t>
        </is>
      </c>
    </row>
    <row r="1106">
      <c r="A1106" s="22" t="n">
        <v>33.6</v>
      </c>
      <c r="B1106" s="22" t="inlineStr">
        <is>
          <t>Клуб Рослин</t>
        </is>
      </c>
      <c r="C1106" s="22" t="inlineStr">
        <is>
          <t>2155</t>
        </is>
      </c>
      <c r="D1106" s="22" t="inlineStr">
        <is>
          <t>2155</t>
        </is>
      </c>
      <c r="E1106" s="21" t="inlineStr">
        <is>
          <t>Інсектицид Сілкер КЕ 1 л Sumi Agro Сумі Агро Японія</t>
        </is>
      </c>
      <c r="F1106" s="21" t="inlineStr">
        <is>
          <t>Гортензія великолисткова Меджікал Колор Дрім ® 1gr PC20 C5 / H50-60</t>
        </is>
      </c>
      <c r="G1106" s="23" t="n">
        <v>2198</v>
      </c>
      <c r="H1106" s="23" t="n">
        <v>720</v>
      </c>
      <c r="I1106" s="21" t="inlineStr">
        <is>
          <t>ID постачальника збігся, але назви різні</t>
        </is>
      </c>
    </row>
    <row r="1107">
      <c r="A1107" s="22" t="n">
        <v>33.6</v>
      </c>
      <c r="B1107" s="22" t="inlineStr">
        <is>
          <t>Клуб Рослин</t>
        </is>
      </c>
      <c r="C1107" s="22" t="inlineStr">
        <is>
          <t>7951</t>
        </is>
      </c>
      <c r="D1107" s="22" t="inlineStr">
        <is>
          <t>7951</t>
        </is>
      </c>
      <c r="E1107" s="21" t="inlineStr">
        <is>
          <t>Біостимулятор-добриво Алгікал / AlgiCAL (ALGA Ca Cl) 1 л L.Gobbi Італія</t>
        </is>
      </c>
      <c r="F1107" s="21" t="inlineStr">
        <is>
          <t>Туя складчата Форева Голді PC14 C3 / H30-40</t>
        </is>
      </c>
      <c r="G1107" s="23" t="n">
        <v>594</v>
      </c>
      <c r="H1107" s="23" t="n">
        <v>155</v>
      </c>
      <c r="I1107" s="21" t="inlineStr">
        <is>
          <t>ID постачальника збігся, але назви різні</t>
        </is>
      </c>
    </row>
    <row r="1108">
      <c r="A1108" s="22" t="n">
        <v>33.5</v>
      </c>
      <c r="B1108" s="22" t="inlineStr">
        <is>
          <t>Клуб Рослин</t>
        </is>
      </c>
      <c r="C1108" s="22" t="inlineStr">
        <is>
          <t>7017</t>
        </is>
      </c>
      <c r="D1108" s="22" t="inlineStr">
        <is>
          <t>7017</t>
        </is>
      </c>
      <c r="E1108" s="21" t="inlineStr">
        <is>
          <t>Добриво Мастер Master 13+40+13 25 кг Syngenta (Valagro) Італія</t>
        </is>
      </c>
      <c r="F1108" s="21" t="inlineStr">
        <is>
          <t>Рододендрон гібридний Тортуазшелл Оранж C15 / H40-50</t>
        </is>
      </c>
      <c r="G1108" s="23" t="n">
        <v>5075</v>
      </c>
      <c r="H1108" s="23" t="n">
        <v>860</v>
      </c>
      <c r="I1108" s="21" t="inlineStr">
        <is>
          <t>ID постачальника збігся, але назви різні</t>
        </is>
      </c>
    </row>
    <row r="1109">
      <c r="A1109" s="22" t="n">
        <v>33.4</v>
      </c>
      <c r="B1109" s="22" t="inlineStr">
        <is>
          <t>Клуб Рослин</t>
        </is>
      </c>
      <c r="C1109" s="22" t="inlineStr">
        <is>
          <t>3399</t>
        </is>
      </c>
      <c r="D1109" s="22" t="inlineStr">
        <is>
          <t>3399</t>
        </is>
      </c>
      <c r="E1109" s="21" t="inlineStr">
        <is>
          <t>Фунгіцид Беркут 5 л Нертус Угорщина</t>
        </is>
      </c>
      <c r="F1109" s="21" t="inlineStr">
        <is>
          <t>Магнолія гібридний(а) Ред ес Ред PC21 C5 / H70-80</t>
        </is>
      </c>
      <c r="G1109" s="23" t="n"/>
      <c r="H1109" s="23" t="n">
        <v>1159</v>
      </c>
      <c r="I1109" s="21" t="inlineStr">
        <is>
          <t>ID постачальника збігся, але назви різні</t>
        </is>
      </c>
    </row>
    <row r="1110">
      <c r="A1110" s="22" t="n">
        <v>33.3</v>
      </c>
      <c r="B1110" s="22" t="inlineStr">
        <is>
          <t>Клуб Рослин</t>
        </is>
      </c>
      <c r="C1110" s="22" t="inlineStr">
        <is>
          <t>7072</t>
        </is>
      </c>
      <c r="D1110" s="22" t="inlineStr">
        <is>
          <t>7072</t>
        </is>
      </c>
      <c r="E1110" s="21" t="inlineStr">
        <is>
          <t>Біостимулятор МаксіКроп Крем Maxicrop Cream 10 л Valagro Валагро Італія</t>
        </is>
      </c>
      <c r="F1110" s="21" t="inlineStr">
        <is>
          <t>Акація псевдоакація Умбракуліфера Штамб C30 / o10-12 / Pa200</t>
        </is>
      </c>
      <c r="G1110" s="23" t="n">
        <v>9011</v>
      </c>
      <c r="H1110" s="23" t="n">
        <v>2933</v>
      </c>
      <c r="I1110" s="21" t="inlineStr">
        <is>
          <t>ID постачальника збігся, але назви різні</t>
        </is>
      </c>
    </row>
    <row r="1111">
      <c r="A1111" s="22" t="n">
        <v>33.3</v>
      </c>
      <c r="B1111" s="22" t="inlineStr">
        <is>
          <t>Клуб Рослин</t>
        </is>
      </c>
      <c r="C1111" s="22" t="inlineStr">
        <is>
          <t>7073</t>
        </is>
      </c>
      <c r="D1111" s="22" t="inlineStr">
        <is>
          <t>7073</t>
        </is>
      </c>
      <c r="E1111" s="21" t="inlineStr">
        <is>
          <t>Біостимулятор Максікроп Сет / Maxicrop Set 10 л Valagro Валагро Італія</t>
        </is>
      </c>
      <c r="F1111" s="21" t="inlineStr">
        <is>
          <t>Акація псевдоакація Умбракуліфера Штамб C35 / o10-12 / Pa180-200</t>
        </is>
      </c>
      <c r="G1111" s="23" t="n">
        <v>6498</v>
      </c>
      <c r="H1111" s="23" t="n">
        <v>5796</v>
      </c>
      <c r="I1111" s="21" t="inlineStr">
        <is>
          <t>ID постачальника збігся, але назви різні</t>
        </is>
      </c>
    </row>
    <row r="1112">
      <c r="A1112" s="22" t="n">
        <v>33.3</v>
      </c>
      <c r="B1112" s="22" t="inlineStr">
        <is>
          <t>Клуб Рослин</t>
        </is>
      </c>
      <c r="C1112" s="22" t="inlineStr">
        <is>
          <t>1179</t>
        </is>
      </c>
      <c r="D1112" s="22" t="inlineStr">
        <is>
          <t>1179</t>
        </is>
      </c>
      <c r="E1112" s="21" t="inlineStr">
        <is>
          <t>Гербіцид Раундап Пауер 10 кг Bayer / Байєр Німеччина</t>
        </is>
      </c>
      <c r="F1112" s="21" t="inlineStr">
        <is>
          <t>Кампсіс укорінливий Саммер Джаз Штамб C12 / o8-10 / Pa100</t>
        </is>
      </c>
      <c r="G1112" s="23" t="n">
        <v>5998</v>
      </c>
      <c r="H1112" s="23" t="n">
        <v>1310</v>
      </c>
      <c r="I1112" s="21" t="inlineStr">
        <is>
          <t>ID постачальника збігся, але назви різні</t>
        </is>
      </c>
    </row>
    <row r="1113">
      <c r="A1113" s="22" t="n">
        <v>33.3</v>
      </c>
      <c r="B1113" s="22" t="inlineStr">
        <is>
          <t>Клуб Рослин</t>
        </is>
      </c>
      <c r="C1113" s="22" t="inlineStr">
        <is>
          <t>3681</t>
        </is>
      </c>
      <c r="D1113" s="22" t="inlineStr">
        <is>
          <t>3681</t>
        </is>
      </c>
      <c r="E1113" s="21" t="inlineStr">
        <is>
          <t>Фунгіцид Ревіона КС 5 л Basf Басф Німеччина</t>
        </is>
      </c>
      <c r="F1113" s="21" t="inlineStr">
        <is>
          <t>Нарцис Дік Вілден 14\16</t>
        </is>
      </c>
      <c r="G1113" s="23" t="n">
        <v>4775</v>
      </c>
      <c r="H1113" s="23" t="n">
        <v>15</v>
      </c>
      <c r="I1113" s="21" t="inlineStr">
        <is>
          <t>ID постачальника збігся, але назви різні</t>
        </is>
      </c>
    </row>
    <row r="1114">
      <c r="A1114" s="22" t="n">
        <v>33.3</v>
      </c>
      <c r="B1114" s="22" t="inlineStr">
        <is>
          <t>Клуб Рослин</t>
        </is>
      </c>
      <c r="C1114" s="22" t="inlineStr">
        <is>
          <t>7056</t>
        </is>
      </c>
      <c r="D1114" s="22" t="inlineStr">
        <is>
          <t>7056</t>
        </is>
      </c>
      <c r="E1114" s="21" t="inlineStr">
        <is>
          <t>Добриво Феррілен Ferrilene 4.8 5 кг Valagro Валагро Італія</t>
        </is>
      </c>
      <c r="F1114" s="21" t="inlineStr">
        <is>
          <t>Смородина червона (-ий) Ровада BS G</t>
        </is>
      </c>
      <c r="G1114" s="23" t="n">
        <v>4725</v>
      </c>
      <c r="H1114" s="23" t="n">
        <v>35</v>
      </c>
      <c r="I1114" s="21" t="inlineStr">
        <is>
          <t>ID постачальника збігся, але різні бренди</t>
        </is>
      </c>
    </row>
    <row r="1115">
      <c r="A1115" s="22" t="n">
        <v>33.3</v>
      </c>
      <c r="B1115" s="22" t="inlineStr">
        <is>
          <t>Клуб Рослин</t>
        </is>
      </c>
      <c r="C1115" s="22" t="inlineStr">
        <is>
          <t>7584</t>
        </is>
      </c>
      <c r="D1115" s="22" t="inlineStr">
        <is>
          <t>7584</t>
        </is>
      </c>
      <c r="E1115" s="21" t="inlineStr">
        <is>
          <t>Регулятор росту Бурштинова кислота 25 кг Anhui Sunsing</t>
        </is>
      </c>
      <c r="F1115" s="21" t="inlineStr">
        <is>
          <t>Тис ягідний (а) Топіар, Складна Фігура C150 / H200-225</t>
        </is>
      </c>
      <c r="G1115" s="23" t="n">
        <v>3998</v>
      </c>
      <c r="H1115" s="23" t="n">
        <v>21650</v>
      </c>
      <c r="I1115" s="21" t="inlineStr">
        <is>
          <t>ID постачальника збігся, але назви різні</t>
        </is>
      </c>
    </row>
    <row r="1116">
      <c r="A1116" s="22" t="n">
        <v>33.3</v>
      </c>
      <c r="B1116" s="22" t="inlineStr">
        <is>
          <t>Клуб Рослин</t>
        </is>
      </c>
      <c r="C1116" s="22" t="inlineStr">
        <is>
          <t>7101</t>
        </is>
      </c>
      <c r="D1116" s="22" t="inlineStr">
        <is>
          <t>7101</t>
        </is>
      </c>
      <c r="E1116" s="21" t="inlineStr">
        <is>
          <t>Регулятор росту Атонік Плюс 1 л UPL ЮПЛ</t>
        </is>
      </c>
      <c r="F1116" s="21" t="inlineStr">
        <is>
          <t>Троянда плетиста Плетистий Айсберг DP PC18 C2</t>
        </is>
      </c>
      <c r="G1116" s="23" t="n">
        <v>3925</v>
      </c>
      <c r="H1116" s="23" t="n">
        <v>84</v>
      </c>
      <c r="I1116" s="21" t="inlineStr">
        <is>
          <t>ID постачальника збігся, але різні бренди</t>
        </is>
      </c>
    </row>
    <row r="1117">
      <c r="A1117" s="22" t="n">
        <v>33.3</v>
      </c>
      <c r="B1117" s="22" t="inlineStr">
        <is>
          <t>Клуб Рослин</t>
        </is>
      </c>
      <c r="C1117" s="22" t="inlineStr">
        <is>
          <t>1277</t>
        </is>
      </c>
      <c r="D1117" s="22" t="inlineStr">
        <is>
          <t>1277</t>
        </is>
      </c>
      <c r="E1117" s="21" t="inlineStr">
        <is>
          <t>Гербіцид Агіл 5 л Adama Адама Ізраїль</t>
        </is>
      </c>
      <c r="F1117" s="21" t="inlineStr">
        <is>
          <t>Кедр гімалайський Пендула Woodenbox 400 / H200-225</t>
        </is>
      </c>
      <c r="G1117" s="23" t="n">
        <v>3748</v>
      </c>
      <c r="H1117" s="23" t="n">
        <v>21528</v>
      </c>
      <c r="I1117" s="21" t="inlineStr">
        <is>
          <t>ID постачальника збігся, але різні бренди</t>
        </is>
      </c>
    </row>
    <row r="1118">
      <c r="A1118" s="22" t="n">
        <v>33.3</v>
      </c>
      <c r="B1118" s="22" t="inlineStr">
        <is>
          <t>Клуб Рослин</t>
        </is>
      </c>
      <c r="C1118" s="22" t="inlineStr">
        <is>
          <t>7341</t>
        </is>
      </c>
      <c r="D1118" s="22" t="inlineStr">
        <is>
          <t>7341</t>
        </is>
      </c>
      <c r="E1118" s="21" t="inlineStr">
        <is>
          <t>Добриво Мерістем Meristem NPK 22-0-8+12CaO+Mix 25 кг Іспанія</t>
        </is>
      </c>
      <c r="F1118" s="21" t="inlineStr">
        <is>
          <t>Спірея японська Ентоні Ватерер PC21 C3 / H25-30</t>
        </is>
      </c>
      <c r="G1118" s="23" t="n">
        <v>3457</v>
      </c>
      <c r="H1118" s="23" t="n">
        <v>151</v>
      </c>
      <c r="I1118" s="21" t="inlineStr">
        <is>
          <t>ID постачальника збігся, але назви різні</t>
        </is>
      </c>
    </row>
    <row r="1119">
      <c r="A1119" s="22" t="n">
        <v>33.3</v>
      </c>
      <c r="B1119" s="22" t="inlineStr">
        <is>
          <t>Клуб Рослин</t>
        </is>
      </c>
      <c r="C1119" s="22" t="inlineStr">
        <is>
          <t>3230</t>
        </is>
      </c>
      <c r="D1119" s="22" t="inlineStr">
        <is>
          <t>3230</t>
        </is>
      </c>
      <c r="E1119" s="21" t="inlineStr">
        <is>
          <t>Фунгіцид Сакура 5 л SumiAgro Сумі Агро Японія</t>
        </is>
      </c>
      <c r="F1119" s="21" t="inlineStr">
        <is>
          <t>Ліквідамбар (Амброве дерево) смолоносний Шпалера C155 / o18-20 / Pa200</t>
        </is>
      </c>
      <c r="G1119" s="23" t="n">
        <v>3328</v>
      </c>
      <c r="H1119" s="23" t="n">
        <v>22356</v>
      </c>
      <c r="I1119" s="21" t="inlineStr">
        <is>
          <t>ID постачальника збігся, але назви різні</t>
        </is>
      </c>
    </row>
    <row r="1120">
      <c r="A1120" s="22" t="n">
        <v>33.3</v>
      </c>
      <c r="B1120" s="22" t="inlineStr">
        <is>
          <t>Клуб Рослин</t>
        </is>
      </c>
      <c r="C1120" s="22" t="inlineStr">
        <is>
          <t>3173</t>
        </is>
      </c>
      <c r="D1120" s="22" t="inlineStr">
        <is>
          <t>3173</t>
        </is>
      </c>
      <c r="E1120" s="21" t="inlineStr">
        <is>
          <t>Фунгіцид Таліус 1 л Corteva Кортева</t>
        </is>
      </c>
      <c r="F1120" s="21" t="inlineStr">
        <is>
          <t>Лілія східна гібридна Файєрболт 12\14</t>
        </is>
      </c>
      <c r="G1120" s="23" t="n">
        <v>2975</v>
      </c>
      <c r="H1120" s="23" t="n">
        <v>50</v>
      </c>
      <c r="I1120" s="21" t="inlineStr">
        <is>
          <t>ID постачальника збігся, але назви різні</t>
        </is>
      </c>
    </row>
    <row r="1121">
      <c r="A1121" s="22" t="n">
        <v>33.3</v>
      </c>
      <c r="B1121" s="22" t="inlineStr">
        <is>
          <t>Клуб Рослин</t>
        </is>
      </c>
      <c r="C1121" s="22" t="inlineStr">
        <is>
          <t>3213</t>
        </is>
      </c>
      <c r="D1121" s="22" t="inlineStr">
        <is>
          <t>3213</t>
        </is>
      </c>
      <c r="E1121" s="21" t="inlineStr">
        <is>
          <t>Фунгіцид Наутіл ВДГ 5 кг SumiAgro Сумі Агро Японія</t>
        </is>
      </c>
      <c r="F1121" s="21" t="inlineStr">
        <is>
          <t>Лілія ОТ-гібридна Сатісфекшн 12\14</t>
        </is>
      </c>
      <c r="G1121" s="23" t="n">
        <v>2652</v>
      </c>
      <c r="H1121" s="23" t="n">
        <v>50</v>
      </c>
      <c r="I1121" s="21" t="inlineStr">
        <is>
          <t>ID постачальника збігся, але назви різні</t>
        </is>
      </c>
    </row>
    <row r="1122">
      <c r="A1122" s="22" t="n">
        <v>33.3</v>
      </c>
      <c r="B1122" s="22" t="inlineStr">
        <is>
          <t>Клуб Рослин</t>
        </is>
      </c>
      <c r="C1122" s="22" t="inlineStr">
        <is>
          <t>2042</t>
        </is>
      </c>
      <c r="D1122" s="22" t="inlineStr">
        <is>
          <t>2042</t>
        </is>
      </c>
      <c r="E1122" s="21" t="inlineStr">
        <is>
          <t>Інсектицид Фостран 10 л Хімагромаркетинг Україна</t>
        </is>
      </c>
      <c r="F1122" s="21" t="inlineStr">
        <is>
          <t>Гібіскус сірійський Матильда PC20 C3 / H50-60</t>
        </is>
      </c>
      <c r="G1122" s="23" t="n">
        <v>2250</v>
      </c>
      <c r="H1122" s="23" t="n">
        <v>176</v>
      </c>
      <c r="I1122" s="21" t="inlineStr">
        <is>
          <t>ID постачальника збігся, але назви різні</t>
        </is>
      </c>
    </row>
    <row r="1123">
      <c r="A1123" s="22" t="n">
        <v>33.3</v>
      </c>
      <c r="B1123" s="22" t="inlineStr">
        <is>
          <t>Клуб Рослин</t>
        </is>
      </c>
      <c r="C1123" s="22" t="inlineStr">
        <is>
          <t>7004</t>
        </is>
      </c>
      <c r="D1123" s="22" t="inlineStr">
        <is>
          <t>7004</t>
        </is>
      </c>
      <c r="E1123" s="21" t="inlineStr">
        <is>
          <t>Добриво БРЕКСІЛ МАГНІЙ Brexil Mg 5 кг Valagro Валагро Ітілія</t>
        </is>
      </c>
      <c r="F1123" s="21" t="inlineStr">
        <is>
          <t>Рододендрон гібридний Нова Зембла C5 / H40-60</t>
        </is>
      </c>
      <c r="G1123" s="23" t="n">
        <v>2175</v>
      </c>
      <c r="H1123" s="23" t="n">
        <v>540</v>
      </c>
      <c r="I1123" s="21" t="inlineStr">
        <is>
          <t>ID постачальника збігся, але назви різні</t>
        </is>
      </c>
    </row>
    <row r="1124">
      <c r="A1124" s="22" t="n">
        <v>33.3</v>
      </c>
      <c r="B1124" s="22" t="inlineStr">
        <is>
          <t>Клуб Рослин</t>
        </is>
      </c>
      <c r="C1124" s="22" t="inlineStr">
        <is>
          <t>2317</t>
        </is>
      </c>
      <c r="D1124" s="22" t="inlineStr">
        <is>
          <t>2317</t>
        </is>
      </c>
      <c r="E1124" s="21" t="inlineStr">
        <is>
          <t>Інсектицид Біммер 5 л Нертус Угорщина</t>
        </is>
      </c>
      <c r="F1124" s="21" t="inlineStr">
        <is>
          <t>Гортензія волотиста Меджикал Мунлайт ® PC20 C7,5 / H90-100</t>
        </is>
      </c>
      <c r="G1124" s="23" t="n">
        <v>2055</v>
      </c>
      <c r="H1124" s="23" t="n">
        <v>366</v>
      </c>
      <c r="I1124" s="21" t="inlineStr">
        <is>
          <t>ID постачальника збігся, але назви різні</t>
        </is>
      </c>
    </row>
    <row r="1125">
      <c r="A1125" s="22" t="n">
        <v>33.3</v>
      </c>
      <c r="B1125" s="22" t="inlineStr">
        <is>
          <t>Клуб Рослин</t>
        </is>
      </c>
      <c r="C1125" s="22" t="inlineStr">
        <is>
          <t>3675</t>
        </is>
      </c>
      <c r="D1125" s="22" t="inlineStr">
        <is>
          <t>3675</t>
        </is>
      </c>
      <c r="E1125" s="21" t="inlineStr">
        <is>
          <t>Фунгіцид Рекванс Флекс 430 WG ВРГ 500 г (розсип) Syngenta Сингента Швейцарія</t>
        </is>
      </c>
      <c r="F1125" s="21" t="inlineStr">
        <is>
          <t>Шовковиця червоний Фрутто Россо Штамб C30 / o8-10 / Pa200</t>
        </is>
      </c>
      <c r="G1125" s="23" t="n">
        <v>1974</v>
      </c>
      <c r="H1125" s="23" t="n">
        <v>2080</v>
      </c>
      <c r="I1125" s="21" t="inlineStr">
        <is>
          <t>ID постачальника збігся, але назви різні</t>
        </is>
      </c>
    </row>
    <row r="1126">
      <c r="A1126" s="22" t="n">
        <v>33.3</v>
      </c>
      <c r="B1126" s="22" t="inlineStr">
        <is>
          <t>Клуб Рослин</t>
        </is>
      </c>
      <c r="C1126" s="22" t="inlineStr">
        <is>
          <t>3373</t>
        </is>
      </c>
      <c r="D1126" s="22" t="inlineStr">
        <is>
          <t>3373</t>
        </is>
      </c>
      <c r="E1126" s="21" t="inlineStr">
        <is>
          <t>Біофунгіцид Біонорма Триходерма 20 кг BioNorma Україна</t>
        </is>
      </c>
      <c r="F1126" s="21" t="inlineStr">
        <is>
          <t>Магнолія гібридний(а) Гелексі Штамб C5 / Pa80</t>
        </is>
      </c>
      <c r="G1126" s="23" t="n">
        <v>1670</v>
      </c>
      <c r="H1126" s="23" t="n">
        <v>1450</v>
      </c>
      <c r="I1126" s="21" t="inlineStr">
        <is>
          <t>ID постачальника збігся, але назви різні</t>
        </is>
      </c>
    </row>
    <row r="1127">
      <c r="A1127" s="22" t="n">
        <v>33.3</v>
      </c>
      <c r="B1127" s="22" t="inlineStr">
        <is>
          <t>Клуб Рослин</t>
        </is>
      </c>
      <c r="C1127" s="22" t="inlineStr">
        <is>
          <t>7210</t>
        </is>
      </c>
      <c r="D1127" s="22" t="inlineStr">
        <is>
          <t>7210</t>
        </is>
      </c>
      <c r="E1127" s="21" t="inlineStr">
        <is>
          <t>Мікродобриво Оракул Мультикомплекс 5 л Долина Україна</t>
        </is>
      </c>
      <c r="F1127" s="21" t="inlineStr">
        <is>
          <t>Троянда гібридний(а) Софі Лорен DP PC20 C7,5</t>
        </is>
      </c>
      <c r="G1127" s="23" t="n">
        <v>1595</v>
      </c>
      <c r="H1127" s="23" t="n">
        <v>290</v>
      </c>
      <c r="I1127" s="21" t="inlineStr">
        <is>
          <t>ID постачальника збігся, але назви різні</t>
        </is>
      </c>
    </row>
    <row r="1128">
      <c r="A1128" s="22" t="n">
        <v>33.3</v>
      </c>
      <c r="B1128" s="22" t="inlineStr">
        <is>
          <t>Клуб Рослин</t>
        </is>
      </c>
      <c r="C1128" s="22" t="inlineStr">
        <is>
          <t>3237</t>
        </is>
      </c>
      <c r="D1128" s="22" t="inlineStr">
        <is>
          <t>3237</t>
        </is>
      </c>
      <c r="E1128" s="21" t="inlineStr">
        <is>
          <t>Фунгіцид Скор 250 ЕС КЕ 250 мл (розлив) Syngenta Сингента Швейцарія</t>
        </is>
      </c>
      <c r="F1128" s="21" t="inlineStr">
        <is>
          <t>Ліквідамбар (Амброве дерево) смолоносний Воплесдон Шпалера+Штамб C65 / o10-12 / Pa180-200</t>
        </is>
      </c>
      <c r="G1128" s="23" t="n">
        <v>1560</v>
      </c>
      <c r="H1128" s="23" t="n">
        <v>10764</v>
      </c>
      <c r="I1128" s="21" t="inlineStr">
        <is>
          <t>ID постачальника збігся, але назви різні</t>
        </is>
      </c>
    </row>
    <row r="1129">
      <c r="A1129" s="22" t="n">
        <v>33.3</v>
      </c>
      <c r="B1129" s="22" t="inlineStr">
        <is>
          <t>Клуб Рослин</t>
        </is>
      </c>
      <c r="C1129" s="22" t="inlineStr">
        <is>
          <t>3437</t>
        </is>
      </c>
      <c r="D1129" s="22" t="inlineStr">
        <is>
          <t>3437</t>
        </is>
      </c>
      <c r="E1129" s="21" t="inlineStr">
        <is>
          <t>Фунгіцид Луна Експіріенс 250 мл (розлив) Bayer Німеччина</t>
        </is>
      </c>
      <c r="F1129" s="21" t="inlineStr">
        <is>
          <t>Магнолія Mix (в асортименті) C10 / H50-60</t>
        </is>
      </c>
      <c r="G1129" s="23" t="n">
        <v>1498</v>
      </c>
      <c r="H1129" s="23" t="n">
        <v>1656</v>
      </c>
      <c r="I1129" s="21" t="inlineStr">
        <is>
          <t>ID постачальника збігся, але різні бренди</t>
        </is>
      </c>
    </row>
    <row r="1130">
      <c r="A1130" s="22" t="n">
        <v>33.3</v>
      </c>
      <c r="B1130" s="22" t="inlineStr">
        <is>
          <t>Клуб Рослин</t>
        </is>
      </c>
      <c r="C1130" s="22" t="inlineStr">
        <is>
          <t>3107</t>
        </is>
      </c>
      <c r="D1130" s="22" t="inlineStr">
        <is>
          <t>3107</t>
        </is>
      </c>
      <c r="E1130" s="21" t="inlineStr">
        <is>
          <t>Фунгіцид Казумін 2Л РК 1 л Sumiagro Сумі Агро Японія</t>
        </is>
      </c>
      <c r="F1130" s="21" t="inlineStr">
        <is>
          <t>Модрина японська Стів Віпер Штамб C7,5 / Pa150</t>
        </is>
      </c>
      <c r="G1130" s="23" t="n">
        <v>1398</v>
      </c>
      <c r="H1130" s="23" t="n">
        <v>2070</v>
      </c>
      <c r="I1130" s="21" t="inlineStr">
        <is>
          <t>ID постачальника збігся, але назви різні</t>
        </is>
      </c>
    </row>
    <row r="1131">
      <c r="A1131" s="22" t="n">
        <v>33.3</v>
      </c>
      <c r="B1131" s="22" t="inlineStr">
        <is>
          <t>Клуб Рослин</t>
        </is>
      </c>
      <c r="C1131" s="22" t="inlineStr">
        <is>
          <t>3319</t>
        </is>
      </c>
      <c r="D1131" s="22" t="inlineStr">
        <is>
          <t>3319</t>
        </is>
      </c>
      <c r="E1131" s="21" t="inlineStr">
        <is>
          <t>Фунгіцид Нордокс / Nordox 75 WG 1 кг Норвегія</t>
        </is>
      </c>
      <c r="F1131" s="21" t="inlineStr">
        <is>
          <t>Магнолія гола Єллоу Рівер C18</t>
        </is>
      </c>
      <c r="G1131" s="23" t="n">
        <v>1298</v>
      </c>
      <c r="H1131" s="23" t="n">
        <v>1565</v>
      </c>
      <c r="I1131" s="21" t="inlineStr">
        <is>
          <t>ID постачальника збігся, але назви різні</t>
        </is>
      </c>
    </row>
    <row r="1132">
      <c r="A1132" s="22" t="n">
        <v>33.3</v>
      </c>
      <c r="B1132" s="22" t="inlineStr">
        <is>
          <t>Клуб Рослин</t>
        </is>
      </c>
      <c r="C1132" s="22" t="inlineStr">
        <is>
          <t>2190</t>
        </is>
      </c>
      <c r="D1132" s="22" t="inlineStr">
        <is>
          <t>2190</t>
        </is>
      </c>
      <c r="E1132" s="21" t="inlineStr">
        <is>
          <t>Інсектицид Ветеран 1 л Нертус Угорщина</t>
        </is>
      </c>
      <c r="F1132" s="21" t="inlineStr">
        <is>
          <t>Гортензія великолисткова Вайт Делайт PC20 C7,5</t>
        </is>
      </c>
      <c r="G1132" s="23" t="n">
        <v>1123</v>
      </c>
      <c r="H1132" s="23" t="n">
        <v>504</v>
      </c>
      <c r="I1132" s="21" t="inlineStr">
        <is>
          <t>ID постачальника збігся, але назви різні</t>
        </is>
      </c>
    </row>
    <row r="1133">
      <c r="A1133" s="22" t="n">
        <v>33.3</v>
      </c>
      <c r="B1133" s="22" t="inlineStr">
        <is>
          <t>Клуб Рослин</t>
        </is>
      </c>
      <c r="C1133" s="22" t="inlineStr">
        <is>
          <t>1015</t>
        </is>
      </c>
      <c r="D1133" s="22" t="inlineStr">
        <is>
          <t>1015</t>
        </is>
      </c>
      <c r="E1133" s="21" t="inlineStr">
        <is>
          <t>Гербіцид Тотал 5 л Хімагромаркетинг Україна</t>
        </is>
      </c>
      <c r="F1133" s="21" t="inlineStr">
        <is>
          <t>Барбарис Тунберга Розетта PC18 C7,5 / L30-40</t>
        </is>
      </c>
      <c r="G1133" s="23" t="n">
        <v>1075</v>
      </c>
      <c r="H1133" s="23" t="n">
        <v>300</v>
      </c>
      <c r="I1133" s="21" t="inlineStr">
        <is>
          <t>ID постачальника збігся, але назви різні</t>
        </is>
      </c>
    </row>
    <row r="1134">
      <c r="A1134" s="22" t="n">
        <v>33.3</v>
      </c>
      <c r="B1134" s="22" t="inlineStr">
        <is>
          <t>Клуб Рослин</t>
        </is>
      </c>
      <c r="C1134" s="22" t="inlineStr">
        <is>
          <t>2350</t>
        </is>
      </c>
      <c r="D1134" s="22" t="inlineStr">
        <is>
          <t>2350</t>
        </is>
      </c>
      <c r="E1134" s="21" t="inlineStr">
        <is>
          <t>Інсектицид Scelta / Скельта 100 мл Agri Sciences Туреччина</t>
        </is>
      </c>
      <c r="F1134" s="21" t="inlineStr">
        <is>
          <t>Гортензія волотиста Пінк Даймонд PC21 C3 / H25-30</t>
        </is>
      </c>
      <c r="G1134" s="23" t="n">
        <v>1048</v>
      </c>
      <c r="H1134" s="23" t="n">
        <v>288</v>
      </c>
      <c r="I1134" s="21" t="inlineStr">
        <is>
          <t>ID постачальника збігся, але назви різні</t>
        </is>
      </c>
    </row>
    <row r="1135">
      <c r="A1135" s="22" t="n">
        <v>33.3</v>
      </c>
      <c r="B1135" s="22" t="inlineStr">
        <is>
          <t>Клуб Рослин</t>
        </is>
      </c>
      <c r="C1135" s="22" t="inlineStr">
        <is>
          <t>7352</t>
        </is>
      </c>
      <c r="D1135" s="22" t="inlineStr">
        <is>
          <t>7352</t>
        </is>
      </c>
      <c r="E1135" s="21" t="inlineStr">
        <is>
          <t>Добриво Плантатор 0+25+50 5 кг Кіссон Україна</t>
        </is>
      </c>
      <c r="F1135" s="21" t="inlineStr">
        <is>
          <t>Спірея японська Дартс Ред PC21 C3</t>
        </is>
      </c>
      <c r="G1135" s="23" t="n">
        <v>1046</v>
      </c>
      <c r="H1135" s="23" t="n">
        <v>216</v>
      </c>
      <c r="I1135" s="21" t="inlineStr">
        <is>
          <t>ID постачальника збігся, але назви різні</t>
        </is>
      </c>
    </row>
    <row r="1136">
      <c r="A1136" s="22" t="n">
        <v>33.3</v>
      </c>
      <c r="B1136" s="22" t="inlineStr">
        <is>
          <t>Клуб Рослин</t>
        </is>
      </c>
      <c r="C1136" s="22" t="inlineStr">
        <is>
          <t>5042</t>
        </is>
      </c>
      <c r="D1136" s="22" t="inlineStr">
        <is>
          <t>5042</t>
        </is>
      </c>
      <c r="E1136" s="21" t="inlineStr">
        <is>
          <t>Протруйник Сидгард Sydhard 1 л Хімагромаркетинг Україна</t>
        </is>
      </c>
      <c r="F1136" s="21" t="inlineStr">
        <is>
          <t>Сосна гнучка Ван дер Волфс Пірамід C180 / H160-180</t>
        </is>
      </c>
      <c r="G1136" s="23" t="n">
        <v>848</v>
      </c>
      <c r="H1136" s="23" t="n">
        <v>19044</v>
      </c>
      <c r="I1136" s="21" t="inlineStr">
        <is>
          <t>ID постачальника збігся, але назви різні</t>
        </is>
      </c>
    </row>
    <row r="1137">
      <c r="A1137" s="22" t="n">
        <v>33.3</v>
      </c>
      <c r="B1137" s="22" t="inlineStr">
        <is>
          <t>Клуб Рослин</t>
        </is>
      </c>
      <c r="C1137" s="22" t="inlineStr">
        <is>
          <t>2144</t>
        </is>
      </c>
      <c r="D1137" s="22" t="inlineStr">
        <is>
          <t>2144</t>
        </is>
      </c>
      <c r="E1137" s="21" t="inlineStr">
        <is>
          <t>Інсектицид Люкс Максі КС 1 л Ukravit Укравіт Україна</t>
        </is>
      </c>
      <c r="F1137" s="21" t="inlineStr">
        <is>
          <t>Гортензія великолисткова Меджікал Анук ® 1gr PC C7,5</t>
        </is>
      </c>
      <c r="G1137" s="23" t="n">
        <v>810</v>
      </c>
      <c r="H1137" s="23" t="n">
        <v>1000</v>
      </c>
      <c r="I1137" s="21" t="inlineStr">
        <is>
          <t>ID постачальника збігся, але різні бренди</t>
        </is>
      </c>
    </row>
    <row r="1138">
      <c r="A1138" s="22" t="n">
        <v>33.3</v>
      </c>
      <c r="B1138" s="22" t="inlineStr">
        <is>
          <t>Клуб Рослин</t>
        </is>
      </c>
      <c r="C1138" s="22" t="inlineStr">
        <is>
          <t>7516</t>
        </is>
      </c>
      <c r="D1138" s="22" t="inlineStr">
        <is>
          <t>7516</t>
        </is>
      </c>
      <c r="E1138" s="21" t="inlineStr">
        <is>
          <t>Інокулянт РизоСтарт 1 кг Агро Цезар Україна</t>
        </is>
      </c>
      <c r="F1138" s="21" t="inlineStr">
        <is>
          <t>Тис ягідний (а) Довастоніана Штамб+Пальма C130 / Pa175-200</t>
        </is>
      </c>
      <c r="G1138" s="23" t="n">
        <v>800</v>
      </c>
      <c r="H1138" s="23" t="n">
        <v>36432</v>
      </c>
      <c r="I1138" s="21" t="inlineStr">
        <is>
          <t>ID постачальника збігся, але назви різні</t>
        </is>
      </c>
    </row>
    <row r="1139">
      <c r="A1139" s="22" t="n">
        <v>33.3</v>
      </c>
      <c r="B1139" s="22" t="inlineStr">
        <is>
          <t>Клуб Рослин</t>
        </is>
      </c>
      <c r="C1139" s="22" t="inlineStr">
        <is>
          <t>3119</t>
        </is>
      </c>
      <c r="D1139" s="22" t="inlineStr">
        <is>
          <t>3119</t>
        </is>
      </c>
      <c r="E1139" s="21" t="inlineStr">
        <is>
          <t>Фунгіцид Світч 100 г (розсип) Syngenta Сингента Швейцарія</t>
        </is>
      </c>
      <c r="F1139" s="21" t="inlineStr">
        <is>
          <t>Лаванда вузьколиста Мунстед PC14 P9 / H10-15</t>
        </is>
      </c>
      <c r="G1139" s="23" t="n">
        <v>798</v>
      </c>
      <c r="H1139" s="23" t="n">
        <v>40</v>
      </c>
      <c r="I1139" s="21" t="inlineStr">
        <is>
          <t>ID постачальника збігся, але назви різні</t>
        </is>
      </c>
    </row>
    <row r="1140">
      <c r="A1140" s="22" t="n">
        <v>33.3</v>
      </c>
      <c r="B1140" s="22" t="inlineStr">
        <is>
          <t>Клуб Рослин</t>
        </is>
      </c>
      <c r="C1140" s="22" t="inlineStr">
        <is>
          <t>9104</t>
        </is>
      </c>
      <c r="D1140" s="22" t="inlineStr">
        <is>
          <t>9104</t>
        </is>
      </c>
      <c r="E1140" s="21" t="inlineStr">
        <is>
          <t>Ад'ювант Адюмакс 500 мл Enzim Biotech Agro / Ензим Біотех Агро Україна</t>
        </is>
      </c>
      <c r="F1140" s="21" t="inlineStr">
        <is>
          <t>Добриво Ekote Control 25-05-09+3MgO (6 місяців) Deltacote, 25 кг</t>
        </is>
      </c>
      <c r="G1140" s="23" t="n">
        <v>698</v>
      </c>
      <c r="H1140" s="23" t="n">
        <v>3245</v>
      </c>
      <c r="I1140" s="21" t="inlineStr">
        <is>
          <t>ID постачальника збігся, але різні об'єми або розміри</t>
        </is>
      </c>
    </row>
    <row r="1141">
      <c r="A1141" s="22" t="n">
        <v>33.3</v>
      </c>
      <c r="B1141" s="22" t="inlineStr">
        <is>
          <t>Клуб Рослин</t>
        </is>
      </c>
      <c r="C1141" s="22" t="inlineStr">
        <is>
          <t>7108</t>
        </is>
      </c>
      <c r="D1141" s="22" t="inlineStr">
        <is>
          <t>7108</t>
        </is>
      </c>
      <c r="E1141" s="21" t="inlineStr">
        <is>
          <t>Добриво Сульфат магнію Agrosol Max 25 кг Akfermag Туреччина</t>
        </is>
      </c>
      <c r="F1141" s="21" t="inlineStr">
        <is>
          <t>Троянда плетиста Перпешуалі Йорс DP PC18 C2</t>
        </is>
      </c>
      <c r="G1141" s="23" t="n">
        <v>648</v>
      </c>
      <c r="H1141" s="23" t="n">
        <v>119</v>
      </c>
      <c r="I1141" s="21" t="inlineStr">
        <is>
          <t>ID постачальника збігся, але різні бренди</t>
        </is>
      </c>
    </row>
    <row r="1142">
      <c r="A1142" s="22" t="n">
        <v>33.3</v>
      </c>
      <c r="B1142" s="22" t="inlineStr">
        <is>
          <t>Клуб Рослин</t>
        </is>
      </c>
      <c r="C1142" s="22" t="inlineStr">
        <is>
          <t>3167</t>
        </is>
      </c>
      <c r="D1142" s="22" t="inlineStr">
        <is>
          <t>3167</t>
        </is>
      </c>
      <c r="E1142" s="21" t="inlineStr">
        <is>
          <t>Фунгіцид Ацидан 1 кг Хімагромаркетинг Україна</t>
        </is>
      </c>
      <c r="F1142" s="21" t="inlineStr">
        <is>
          <t>Лілія ЛОО-гібридна Пінк Брілліант 12\14</t>
        </is>
      </c>
      <c r="G1142" s="23" t="n">
        <v>598</v>
      </c>
      <c r="H1142" s="23" t="n">
        <v>50</v>
      </c>
      <c r="I1142" s="21" t="inlineStr">
        <is>
          <t>ID постачальника збігся, але назви різні</t>
        </is>
      </c>
    </row>
    <row r="1143">
      <c r="A1143" s="22" t="n">
        <v>33.3</v>
      </c>
      <c r="B1143" s="22" t="inlineStr">
        <is>
          <t>Клуб Рослин</t>
        </is>
      </c>
      <c r="C1143" s="22" t="inlineStr">
        <is>
          <t>1052</t>
        </is>
      </c>
      <c r="D1143" s="22" t="inlineStr">
        <is>
          <t>1052</t>
        </is>
      </c>
      <c r="E1143" s="21" t="inlineStr">
        <is>
          <t>Гербіцид Гроза 500 г Нопосон</t>
        </is>
      </c>
      <c r="F1143" s="21" t="inlineStr">
        <is>
          <t>Береза плакуча (ий) Пурпуреа C45 / H200-250</t>
        </is>
      </c>
      <c r="G1143" s="23" t="n">
        <v>598</v>
      </c>
      <c r="H1143" s="23" t="n">
        <v>4968</v>
      </c>
      <c r="I1143" s="21" t="inlineStr">
        <is>
          <t>ID постачальника збігся, але назви різні</t>
        </is>
      </c>
    </row>
    <row r="1144">
      <c r="A1144" s="22" t="n">
        <v>33.3</v>
      </c>
      <c r="B1144" s="22" t="inlineStr">
        <is>
          <t>Клуб Рослин</t>
        </is>
      </c>
      <c r="C1144" s="22" t="inlineStr">
        <is>
          <t>3117</t>
        </is>
      </c>
      <c r="D1144" s="22" t="inlineStr">
        <is>
          <t>3117</t>
        </is>
      </c>
      <c r="E1144" s="21" t="inlineStr">
        <is>
          <t>Фунгіцид Фонтес 1 кг Нертус Угорщина</t>
        </is>
      </c>
      <c r="F1144" s="21" t="inlineStr">
        <is>
          <t>Лаванда вузьколиста Мунстед C2</t>
        </is>
      </c>
      <c r="G1144" s="23" t="n">
        <v>557</v>
      </c>
      <c r="H1144" s="23" t="n">
        <v>81</v>
      </c>
      <c r="I1144" s="21" t="inlineStr">
        <is>
          <t>ID постачальника збігся, але назви різні</t>
        </is>
      </c>
    </row>
    <row r="1145">
      <c r="A1145" s="22" t="n">
        <v>33.3</v>
      </c>
      <c r="B1145" s="22" t="inlineStr">
        <is>
          <t>Клуб Рослин</t>
        </is>
      </c>
      <c r="C1145" s="22" t="inlineStr">
        <is>
          <t>3041</t>
        </is>
      </c>
      <c r="D1145" s="22" t="inlineStr">
        <is>
          <t>3041</t>
        </is>
      </c>
      <c r="E1145" s="21" t="inlineStr">
        <is>
          <t>Фунгіцид Пенкоцеб ЗП 1 кг UPL / ЮПЛ</t>
        </is>
      </c>
      <c r="F1145" s="21" t="inlineStr">
        <is>
          <t>Ялівець середній Олд Голд PC16 C3</t>
        </is>
      </c>
      <c r="G1145" s="23" t="n">
        <v>468</v>
      </c>
      <c r="H1145" s="23" t="n">
        <v>100</v>
      </c>
      <c r="I1145" s="21" t="inlineStr">
        <is>
          <t>ID постачальника збігся, але назви різні</t>
        </is>
      </c>
    </row>
    <row r="1146">
      <c r="A1146" s="22" t="n">
        <v>33.3</v>
      </c>
      <c r="B1146" s="22" t="inlineStr">
        <is>
          <t>Клуб Рослин</t>
        </is>
      </c>
      <c r="C1146" s="22" t="inlineStr">
        <is>
          <t>2161</t>
        </is>
      </c>
      <c r="D1146" s="22" t="inlineStr">
        <is>
          <t>2161</t>
        </is>
      </c>
      <c r="E1146" s="21" t="inlineStr">
        <is>
          <t>Інсектицид Полкар 500 г PEST.UA Пест.Юей Україна</t>
        </is>
      </c>
      <c r="F1146" s="21" t="inlineStr">
        <is>
          <t>Гортензія великолисткова Меджікал Фарфалла ® 1gr PC20 C5 / H40-50</t>
        </is>
      </c>
      <c r="G1146" s="23" t="n">
        <v>390</v>
      </c>
      <c r="H1146" s="23" t="n">
        <v>720</v>
      </c>
      <c r="I1146" s="21" t="inlineStr">
        <is>
          <t>ID постачальника збігся, але назви різні</t>
        </is>
      </c>
    </row>
    <row r="1147">
      <c r="A1147" s="22" t="n">
        <v>33.3</v>
      </c>
      <c r="B1147" s="22" t="inlineStr">
        <is>
          <t>Клуб Рослин</t>
        </is>
      </c>
      <c r="C1147" s="22" t="inlineStr">
        <is>
          <t>1072</t>
        </is>
      </c>
      <c r="D1147" s="22" t="inlineStr">
        <is>
          <t>1072</t>
        </is>
      </c>
      <c r="E1147" s="21" t="inlineStr">
        <is>
          <t>Гербіцид Позитив Плюс 500 мл Хімагромаркетинг Україна</t>
        </is>
      </c>
      <c r="F1147" s="21" t="inlineStr">
        <is>
          <t>Береза звичайна Доренбос Мультиштамб C20 / Pa150-175</t>
        </is>
      </c>
      <c r="G1147" s="23" t="n">
        <v>312</v>
      </c>
      <c r="H1147" s="23" t="n">
        <v>3146</v>
      </c>
      <c r="I1147" s="21" t="inlineStr">
        <is>
          <t>ID постачальника збігся, але назви різні</t>
        </is>
      </c>
    </row>
    <row r="1148">
      <c r="A1148" s="22" t="n">
        <v>33.3</v>
      </c>
      <c r="B1148" s="22" t="inlineStr">
        <is>
          <t>Клуб Рослин</t>
        </is>
      </c>
      <c r="C1148" s="22" t="inlineStr">
        <is>
          <t>3315</t>
        </is>
      </c>
      <c r="D1148" s="22" t="inlineStr">
        <is>
          <t>3315</t>
        </is>
      </c>
      <c r="E1148" s="21" t="inlineStr">
        <is>
          <t>Фунгіцид Наутіл ВГ 200 г SumiAgro Сумі Агро Японія</t>
        </is>
      </c>
      <c r="F1148" s="21" t="inlineStr">
        <is>
          <t>Магнолія Дафні PC21 C5 / H60-80</t>
        </is>
      </c>
      <c r="G1148" s="23" t="n">
        <v>248</v>
      </c>
      <c r="H1148" s="23" t="n">
        <v>1159</v>
      </c>
      <c r="I1148" s="21" t="inlineStr">
        <is>
          <t>ID постачальника збігся, але назви різні</t>
        </is>
      </c>
    </row>
    <row r="1149">
      <c r="A1149" s="22" t="n">
        <v>33.3</v>
      </c>
      <c r="B1149" s="22" t="inlineStr">
        <is>
          <t>Клуб Рослин</t>
        </is>
      </c>
      <c r="C1149" s="22" t="inlineStr">
        <is>
          <t>2200</t>
        </is>
      </c>
      <c r="D1149" s="22" t="inlineStr">
        <is>
          <t>2200</t>
        </is>
      </c>
      <c r="E1149" s="21" t="inlineStr">
        <is>
          <t>Інсекто-акарицид Препарат 30 Д 900 мл Агропромніка Україна</t>
        </is>
      </c>
      <c r="F1149" s="21" t="inlineStr">
        <is>
          <t>Гортензія волотиста Кенделайт PC18 C10 / H60-80</t>
        </is>
      </c>
      <c r="G1149" s="23" t="n">
        <v>170</v>
      </c>
      <c r="H1149" s="23" t="n">
        <v>653</v>
      </c>
      <c r="I1149" s="21" t="inlineStr">
        <is>
          <t>ID постачальника збігся, але назви різні</t>
        </is>
      </c>
    </row>
    <row r="1150">
      <c r="A1150" s="22" t="n">
        <v>33.3</v>
      </c>
      <c r="B1150" s="22" t="inlineStr">
        <is>
          <t>Клуб Рослин</t>
        </is>
      </c>
      <c r="C1150" s="22" t="inlineStr">
        <is>
          <t>7555</t>
        </is>
      </c>
      <c r="D1150" s="22" t="inlineStr">
        <is>
          <t>7555</t>
        </is>
      </c>
      <c r="E1150" s="21" t="inlineStr">
        <is>
          <t>Атрактант Біополін СК 50 мл Sumi Agro Сумі Агро</t>
        </is>
      </c>
      <c r="F1150" s="21" t="inlineStr">
        <is>
          <t>Тис ягідний (а) Репанденс PC21 C5 / H25-30</t>
        </is>
      </c>
      <c r="G1150" s="23" t="n">
        <v>100</v>
      </c>
      <c r="H1150" s="23" t="n">
        <v>365</v>
      </c>
      <c r="I1150" s="21" t="inlineStr">
        <is>
          <t>ID постачальника збігся, але назви різні</t>
        </is>
      </c>
    </row>
    <row r="1151">
      <c r="A1151" s="22" t="n">
        <v>33.3</v>
      </c>
      <c r="B1151" s="22" t="inlineStr">
        <is>
          <t>Клуб Рослин</t>
        </is>
      </c>
      <c r="C1151" s="22" t="inlineStr">
        <is>
          <t>3193</t>
        </is>
      </c>
      <c r="D1151" s="22" t="inlineStr">
        <is>
          <t>3193</t>
        </is>
      </c>
      <c r="E1151" s="21" t="inlineStr">
        <is>
          <t>Фунгіцид Мілдікат 25 КС 1 л Sumi Agro Самміт Агро Японія</t>
        </is>
      </c>
      <c r="F1151" s="21" t="inlineStr">
        <is>
          <t>Лілія трубчаста гібридна Голден Сплендор 12\14</t>
        </is>
      </c>
      <c r="G1151" s="23" t="n">
        <v>1</v>
      </c>
      <c r="H1151" s="23" t="n">
        <v>50</v>
      </c>
      <c r="I1151" s="21" t="inlineStr">
        <is>
          <t>ID постачальника збігся, але назви різні</t>
        </is>
      </c>
    </row>
    <row r="1152">
      <c r="A1152" s="22" t="n">
        <v>33.2</v>
      </c>
      <c r="B1152" s="22" t="inlineStr">
        <is>
          <t>Клуб Рослин</t>
        </is>
      </c>
      <c r="C1152" s="22" t="inlineStr">
        <is>
          <t>7145</t>
        </is>
      </c>
      <c r="D1152" s="22" t="inlineStr">
        <is>
          <t>7145</t>
        </is>
      </c>
      <c r="E1152" s="21" t="inlineStr">
        <is>
          <t>Добриво Вуксал БІО Аскофол рН WUXAL Bio Ascofol рН 1 л Unifer Уніфер Німеччина</t>
        </is>
      </c>
      <c r="F1152" s="21" t="inlineStr">
        <is>
          <t>Троянда гібридний(а) Августа Луіза DP G</t>
        </is>
      </c>
      <c r="G1152" s="23" t="n">
        <v>700</v>
      </c>
      <c r="H1152" s="23" t="n">
        <v>60</v>
      </c>
      <c r="I1152" s="21" t="inlineStr">
        <is>
          <t>ID постачальника збігся, але різні бренди</t>
        </is>
      </c>
    </row>
    <row r="1153">
      <c r="A1153" s="22" t="n">
        <v>33.1</v>
      </c>
      <c r="B1153" s="22" t="inlineStr">
        <is>
          <t>Клуб Рослин</t>
        </is>
      </c>
      <c r="C1153" s="22" t="inlineStr">
        <is>
          <t>7616</t>
        </is>
      </c>
      <c r="D1153" s="22" t="inlineStr">
        <is>
          <t>7616</t>
        </is>
      </c>
      <c r="E1153" s="21" t="inlineStr">
        <is>
          <t>Добриво Келік Калій - Кремній (Kelik Potassium-Silicon) 250 мл Вітера Atlantica Agricola Іспанія</t>
        </is>
      </c>
      <c r="F1153" s="21" t="inlineStr">
        <is>
          <t>Тис середній Хіксіі Бонсай Woodenbox 700 / H160-180</t>
        </is>
      </c>
      <c r="G1153" s="23" t="n">
        <v>326</v>
      </c>
      <c r="H1153" s="23" t="n">
        <v>17999</v>
      </c>
      <c r="I1153" s="21" t="inlineStr">
        <is>
          <t>ID постачальника збігся, але різні бренди</t>
        </is>
      </c>
    </row>
    <row r="1154">
      <c r="A1154" s="22" t="n">
        <v>33</v>
      </c>
      <c r="B1154" s="22" t="inlineStr">
        <is>
          <t>Клуб Рослин</t>
        </is>
      </c>
      <c r="C1154" s="22" t="inlineStr">
        <is>
          <t>7174</t>
        </is>
      </c>
      <c r="D1154" s="22" t="inlineStr">
        <is>
          <t>7174</t>
        </is>
      </c>
      <c r="E1154" s="21" t="inlineStr">
        <is>
          <t>Добриво Нутрівант Плюс гарбузовий 6-16-31+2MgO+ME 25 кг Вітера ICL Ізраїль</t>
        </is>
      </c>
      <c r="F1154" s="21" t="inlineStr">
        <is>
          <t>Троянда гібридний(а) Фолієс SP G</t>
        </is>
      </c>
      <c r="G1154" s="23" t="n">
        <v>10250</v>
      </c>
      <c r="H1154" s="23" t="n">
        <v>44</v>
      </c>
      <c r="I1154" s="21" t="inlineStr">
        <is>
          <t>ID постачальника збігся, але різні бренди</t>
        </is>
      </c>
    </row>
    <row r="1155">
      <c r="A1155" s="22" t="n">
        <v>33</v>
      </c>
      <c r="B1155" s="22" t="inlineStr">
        <is>
          <t>Клуб Рослин</t>
        </is>
      </c>
      <c r="C1155" s="22" t="inlineStr">
        <is>
          <t>2098</t>
        </is>
      </c>
      <c r="D1155" s="22" t="inlineStr">
        <is>
          <t>2098</t>
        </is>
      </c>
      <c r="E1155" s="21" t="inlineStr">
        <is>
          <t>Інсектицид Сілкер КЕ 5 л Sumi Agro Сумі Агро Японія</t>
        </is>
      </c>
      <c r="F1155" s="21" t="inlineStr">
        <is>
          <t>Гортензія деревовидна Анабелль C10 / H40-60</t>
        </is>
      </c>
      <c r="G1155" s="23" t="n">
        <v>9250</v>
      </c>
      <c r="H1155" s="23" t="n">
        <v>360</v>
      </c>
      <c r="I1155" s="21" t="inlineStr">
        <is>
          <t>ID постачальника збігся, але назви різні</t>
        </is>
      </c>
    </row>
    <row r="1156">
      <c r="A1156" s="22" t="n">
        <v>33</v>
      </c>
      <c r="B1156" s="22" t="inlineStr">
        <is>
          <t>Клуб Рослин</t>
        </is>
      </c>
      <c r="C1156" s="22" t="inlineStr">
        <is>
          <t>8084</t>
        </is>
      </c>
      <c r="D1156" s="22" t="inlineStr">
        <is>
          <t>8084</t>
        </is>
      </c>
      <c r="E1156" s="21" t="inlineStr">
        <is>
          <t>Добриво Осмокот / Osmocote Standard 15-9-12 (8-9 М) 25 кг ICL Нідерланди</t>
        </is>
      </c>
      <c r="F1156" s="21" t="inlineStr">
        <is>
          <t>В'яз шорсткий Кампердаунії Штамб C40 / o10-12 / Pa180-200</t>
        </is>
      </c>
      <c r="G1156" s="23" t="n">
        <v>9205</v>
      </c>
      <c r="H1156" s="23" t="n">
        <v>4637</v>
      </c>
      <c r="I1156" s="21" t="inlineStr">
        <is>
          <t>ID постачальника збігся, але назви різні</t>
        </is>
      </c>
    </row>
    <row r="1157">
      <c r="A1157" s="22" t="n">
        <v>33</v>
      </c>
      <c r="B1157" s="22" t="inlineStr">
        <is>
          <t>Клуб Рослин</t>
        </is>
      </c>
      <c r="C1157" s="22" t="inlineStr">
        <is>
          <t>7168</t>
        </is>
      </c>
      <c r="D1157" s="22" t="inlineStr">
        <is>
          <t>7168</t>
        </is>
      </c>
      <c r="E1157" s="21" t="inlineStr">
        <is>
          <t>Біостимулянт Флорон (Florone) 5 л Вітера Atlantica Agricola Іспанія</t>
        </is>
      </c>
      <c r="F1157" s="21" t="inlineStr">
        <is>
          <t>Троянда гібридний(а) Еліна DP PC20 C7,5</t>
        </is>
      </c>
      <c r="G1157" s="23" t="n">
        <v>8705</v>
      </c>
      <c r="H1157" s="23" t="n">
        <v>290</v>
      </c>
      <c r="I1157" s="21" t="inlineStr">
        <is>
          <t>ID постачальника збігся, але різні бренди</t>
        </is>
      </c>
    </row>
    <row r="1158">
      <c r="A1158" s="22" t="n">
        <v>33</v>
      </c>
      <c r="B1158" s="22" t="inlineStr">
        <is>
          <t>Клуб Рослин</t>
        </is>
      </c>
      <c r="C1158" s="22" t="inlineStr">
        <is>
          <t>3358</t>
        </is>
      </c>
      <c r="D1158" s="22" t="inlineStr">
        <is>
          <t>3358</t>
        </is>
      </c>
      <c r="E1158" s="21" t="inlineStr">
        <is>
          <t>Фунгіцид Банджо Форте 5 л Adama Адама Ізраїль</t>
        </is>
      </c>
      <c r="F1158" s="21" t="inlineStr">
        <is>
          <t>Магнолія гібридний(а) Блек Туліп Штамб PC21 C10 / Pa180</t>
        </is>
      </c>
      <c r="G1158" s="23" t="n">
        <v>8398</v>
      </c>
      <c r="H1158" s="23" t="n">
        <v>3600</v>
      </c>
      <c r="I1158" s="21" t="inlineStr">
        <is>
          <t>ID постачальника збігся, але назви різні</t>
        </is>
      </c>
    </row>
    <row r="1159">
      <c r="A1159" s="22" t="n">
        <v>33</v>
      </c>
      <c r="B1159" s="22" t="inlineStr">
        <is>
          <t>Клуб Рослин</t>
        </is>
      </c>
      <c r="C1159" s="22" t="inlineStr">
        <is>
          <t>3400</t>
        </is>
      </c>
      <c r="D1159" s="22" t="inlineStr">
        <is>
          <t>3400</t>
        </is>
      </c>
      <c r="E1159" s="21" t="inlineStr">
        <is>
          <t>Фунгіцид Беркут Форте 5 л Нертус Угорщина</t>
        </is>
      </c>
      <c r="F1159" s="21" t="inlineStr">
        <is>
          <t>Магнолія гібридний(а) Ред ес Ред PC22 C10 / H70-80</t>
        </is>
      </c>
      <c r="G1159" s="23" t="n">
        <v>4827</v>
      </c>
      <c r="H1159" s="23" t="n">
        <v>1872</v>
      </c>
      <c r="I1159" s="21" t="inlineStr">
        <is>
          <t>ID постачальника збігся, але назви різні</t>
        </is>
      </c>
    </row>
    <row r="1160">
      <c r="A1160" s="22" t="n">
        <v>33</v>
      </c>
      <c r="B1160" s="22" t="inlineStr">
        <is>
          <t>Клуб Рослин</t>
        </is>
      </c>
      <c r="C1160" s="22" t="inlineStr">
        <is>
          <t>2192</t>
        </is>
      </c>
      <c r="D1160" s="22" t="inlineStr">
        <is>
          <t>2192</t>
        </is>
      </c>
      <c r="E1160" s="21" t="inlineStr">
        <is>
          <t>Інсектицид Ампліго 150 ZC 1 л (розлив) Syngenta Сингента Швейцарія</t>
        </is>
      </c>
      <c r="F1160" s="21" t="inlineStr">
        <is>
          <t>Гортензія волотиста Бейбі Лейс C3 / H40-60</t>
        </is>
      </c>
      <c r="G1160" s="23" t="n">
        <v>4398</v>
      </c>
      <c r="H1160" s="23" t="n">
        <v>305</v>
      </c>
      <c r="I1160" s="21" t="inlineStr">
        <is>
          <t>ID постачальника збігся, але назви різні</t>
        </is>
      </c>
    </row>
    <row r="1161">
      <c r="A1161" s="22" t="n">
        <v>33</v>
      </c>
      <c r="B1161" s="22" t="inlineStr">
        <is>
          <t>Клуб Рослин</t>
        </is>
      </c>
      <c r="C1161" s="22" t="inlineStr">
        <is>
          <t>2013</t>
        </is>
      </c>
      <c r="D1161" s="22" t="inlineStr">
        <is>
          <t>2013</t>
        </is>
      </c>
      <c r="E1161" s="21" t="inlineStr">
        <is>
          <t>Інсектицид Разіт 5 л Alfa Smart Agro / Альфа Смарт Агро Україна</t>
        </is>
      </c>
      <c r="F1161" s="21" t="inlineStr">
        <is>
          <t>Гібіскус сірійський Дук де Брабант Штамб C5 / Pa80</t>
        </is>
      </c>
      <c r="G1161" s="23" t="n">
        <v>3498</v>
      </c>
      <c r="H1161" s="23" t="n">
        <v>605</v>
      </c>
      <c r="I1161" s="21" t="inlineStr">
        <is>
          <t>ID постачальника збігся, але назви різні</t>
        </is>
      </c>
    </row>
    <row r="1162">
      <c r="A1162" s="22" t="n">
        <v>33</v>
      </c>
      <c r="B1162" s="22" t="inlineStr">
        <is>
          <t>Клуб Рослин</t>
        </is>
      </c>
      <c r="C1162" s="22" t="inlineStr">
        <is>
          <t>3066</t>
        </is>
      </c>
      <c r="D1162" s="22" t="inlineStr">
        <is>
          <t>3066</t>
        </is>
      </c>
      <c r="E1162" s="21" t="inlineStr">
        <is>
          <t>Фунгіцид Талендо 20% КЕ 1 л Corteva Кортева США</t>
        </is>
      </c>
      <c r="F1162" s="21" t="inlineStr">
        <is>
          <t>Ялівець середній Пфітзеріана Компакта Бонсай C130 / H160-180</t>
        </is>
      </c>
      <c r="G1162" s="23" t="n">
        <v>3355</v>
      </c>
      <c r="H1162" s="23" t="n">
        <v>22803</v>
      </c>
      <c r="I1162" s="21" t="inlineStr">
        <is>
          <t>ID постачальника збігся, але назви різні</t>
        </is>
      </c>
    </row>
    <row r="1163">
      <c r="A1163" s="22" t="n">
        <v>33</v>
      </c>
      <c r="B1163" s="22" t="inlineStr">
        <is>
          <t>Клуб Рослин</t>
        </is>
      </c>
      <c r="C1163" s="22" t="inlineStr">
        <is>
          <t>2352</t>
        </is>
      </c>
      <c r="D1163" s="22" t="inlineStr">
        <is>
          <t>2352</t>
        </is>
      </c>
      <c r="E1163" s="21" t="inlineStr">
        <is>
          <t>Інсектицид Floramite / Флорамайт 250 мл Agri Sciences Туреччина</t>
        </is>
      </c>
      <c r="F1163" s="21" t="inlineStr">
        <is>
          <t>Гортензія волотиста Пінк Даймонд Штамб C10 / Pa100</t>
        </is>
      </c>
      <c r="G1163" s="23" t="n">
        <v>2565</v>
      </c>
      <c r="H1163" s="23" t="n">
        <v>1134</v>
      </c>
      <c r="I1163" s="21" t="inlineStr">
        <is>
          <t>ID постачальника збігся, але назви різні</t>
        </is>
      </c>
    </row>
    <row r="1164">
      <c r="A1164" s="22" t="n">
        <v>33</v>
      </c>
      <c r="B1164" s="22" t="inlineStr">
        <is>
          <t>Клуб Рослин</t>
        </is>
      </c>
      <c r="C1164" s="22" t="inlineStr">
        <is>
          <t>2045</t>
        </is>
      </c>
      <c r="D1164" s="22" t="inlineStr">
        <is>
          <t>2045</t>
        </is>
      </c>
      <c r="E1164" s="21" t="inlineStr">
        <is>
          <t>Інсектицид Мовенто 1 л Bayer Байєр Німеччина</t>
        </is>
      </c>
      <c r="F1164" s="21" t="inlineStr">
        <is>
          <t>Гібіскус сірійський Мультіколор Штамб C10 / Pa100</t>
        </is>
      </c>
      <c r="G1164" s="23" t="n">
        <v>2425</v>
      </c>
      <c r="H1164" s="23" t="n">
        <v>1884</v>
      </c>
      <c r="I1164" s="21" t="inlineStr">
        <is>
          <t>ID постачальника збігся, але назви різні</t>
        </is>
      </c>
    </row>
    <row r="1165">
      <c r="A1165" s="22" t="n">
        <v>33</v>
      </c>
      <c r="B1165" s="22" t="inlineStr">
        <is>
          <t>Клуб Рослин</t>
        </is>
      </c>
      <c r="C1165" s="22" t="inlineStr">
        <is>
          <t>3367</t>
        </is>
      </c>
      <c r="D1165" s="22" t="inlineStr">
        <is>
          <t>3367</t>
        </is>
      </c>
      <c r="E1165" s="21" t="inlineStr">
        <is>
          <t>Біофунгіцид Поліверсум / Polyversum 100 г Biopreparaty Чехія</t>
        </is>
      </c>
      <c r="F1165" s="21" t="inlineStr">
        <is>
          <t>Магнолія гібридний(а) Фламінго Штамб C20 / Pa130</t>
        </is>
      </c>
      <c r="G1165" s="23" t="n">
        <v>2048</v>
      </c>
      <c r="H1165" s="23" t="n">
        <v>3600</v>
      </c>
      <c r="I1165" s="21" t="inlineStr">
        <is>
          <t>ID постачальника збігся, але назви різні</t>
        </is>
      </c>
    </row>
    <row r="1166">
      <c r="A1166" s="22" t="n">
        <v>33</v>
      </c>
      <c r="B1166" s="22" t="inlineStr">
        <is>
          <t>Клуб Рослин</t>
        </is>
      </c>
      <c r="C1166" s="22" t="inlineStr">
        <is>
          <t>7506</t>
        </is>
      </c>
      <c r="D1166" s="22" t="inlineStr">
        <is>
          <t>7506</t>
        </is>
      </c>
      <c r="E1166" s="21" t="inlineStr">
        <is>
          <t>Добриво ЯраВіта Бортрак / YaraVita Bortrac 150 10 л Велика Британія</t>
        </is>
      </c>
      <c r="F1166" s="21" t="inlineStr">
        <is>
          <t>Тис ягідний (а) Куб 100*100*100 G+C500</t>
        </is>
      </c>
      <c r="G1166" s="23" t="n">
        <v>1998</v>
      </c>
      <c r="H1166" s="23" t="n">
        <v>16465</v>
      </c>
      <c r="I1166" s="21" t="inlineStr">
        <is>
          <t>ID постачальника збігся, але різні об'єми або розміри</t>
        </is>
      </c>
    </row>
    <row r="1167">
      <c r="A1167" s="22" t="n">
        <v>33</v>
      </c>
      <c r="B1167" s="22" t="inlineStr">
        <is>
          <t>Клуб Рослин</t>
        </is>
      </c>
      <c r="C1167" s="22" t="inlineStr">
        <is>
          <t>3194</t>
        </is>
      </c>
      <c r="D1167" s="22" t="inlineStr">
        <is>
          <t>3194</t>
        </is>
      </c>
      <c r="E1167" s="21" t="inlineStr">
        <is>
          <t>Фунгіцид Скала 1 л (розлив) Bayer Байєр Німеччина</t>
        </is>
      </c>
      <c r="F1167" s="21" t="inlineStr">
        <is>
          <t>Лілія трубчаста гібридна Пінк Перфекшн 12\14</t>
        </is>
      </c>
      <c r="G1167" s="23" t="n">
        <v>1898</v>
      </c>
      <c r="H1167" s="23" t="n">
        <v>50</v>
      </c>
      <c r="I1167" s="21" t="inlineStr">
        <is>
          <t>ID постачальника збігся, але назви різні</t>
        </is>
      </c>
    </row>
    <row r="1168">
      <c r="A1168" s="22" t="n">
        <v>33</v>
      </c>
      <c r="B1168" s="22" t="inlineStr">
        <is>
          <t>Клуб Рослин</t>
        </is>
      </c>
      <c r="C1168" s="22" t="inlineStr">
        <is>
          <t>9055</t>
        </is>
      </c>
      <c r="D1168" s="22" t="inlineStr">
        <is>
          <t>9055</t>
        </is>
      </c>
      <c r="E1168" s="21" t="inlineStr">
        <is>
          <t>Антиспінювач Ікар Перфект Фом / Ikar Perfect Foam 1 л Литва</t>
        </is>
      </c>
      <c r="F1168" s="21" t="inlineStr">
        <is>
          <t>Динамік Гриппл Gripple D4 для натяжіння тросів</t>
        </is>
      </c>
      <c r="G1168" s="23" t="n">
        <v>1879</v>
      </c>
      <c r="H1168" s="23" t="n">
        <v>245</v>
      </c>
      <c r="I1168" s="21" t="inlineStr">
        <is>
          <t>ID постачальника збігся, але різні бренди</t>
        </is>
      </c>
    </row>
    <row r="1169">
      <c r="A1169" s="22" t="n">
        <v>33</v>
      </c>
      <c r="B1169" s="22" t="inlineStr">
        <is>
          <t>Клуб Рослин</t>
        </is>
      </c>
      <c r="C1169" s="22" t="inlineStr">
        <is>
          <t>8123</t>
        </is>
      </c>
      <c r="D1169" s="22" t="inlineStr">
        <is>
          <t>8123</t>
        </is>
      </c>
      <c r="E1169" s="21" t="inlineStr">
        <is>
          <t>Інокулянт Ризофос Зерива / Zeryva 1 кг Україна</t>
        </is>
      </c>
      <c r="F1169" s="21" t="inlineStr">
        <is>
          <t>Чорниця висока (Голубика, Лохина) Патріот PC20 C30 / H80-90</t>
        </is>
      </c>
      <c r="G1169" s="23" t="n">
        <v>1800</v>
      </c>
      <c r="H1169" s="23" t="n">
        <v>1200</v>
      </c>
      <c r="I1169" s="21" t="inlineStr">
        <is>
          <t>ID постачальника збігся, але назви різні</t>
        </is>
      </c>
    </row>
    <row r="1170">
      <c r="A1170" s="22" t="n">
        <v>33</v>
      </c>
      <c r="B1170" s="22" t="inlineStr">
        <is>
          <t>Клуб Рослин</t>
        </is>
      </c>
      <c r="C1170" s="22" t="inlineStr">
        <is>
          <t>2327</t>
        </is>
      </c>
      <c r="D1170" s="22" t="inlineStr">
        <is>
          <t>2327</t>
        </is>
      </c>
      <c r="E1170" s="21" t="inlineStr">
        <is>
          <t>Інсектицид Емакс Про / Emax Pro КЕ 1 л Імекс Агро Україна</t>
        </is>
      </c>
      <c r="F1170" s="21" t="inlineStr">
        <is>
          <t>Гортензія волотиста Меджікал Світ Саммер PC21 C3 / H20-30</t>
        </is>
      </c>
      <c r="G1170" s="23" t="n">
        <v>1748</v>
      </c>
      <c r="H1170" s="23" t="n">
        <v>288</v>
      </c>
      <c r="I1170" s="21" t="inlineStr">
        <is>
          <t>ID постачальника збігся, але назви різні</t>
        </is>
      </c>
    </row>
    <row r="1171">
      <c r="A1171" s="22" t="n">
        <v>33</v>
      </c>
      <c r="B1171" s="22" t="inlineStr">
        <is>
          <t>Клуб Рослин</t>
        </is>
      </c>
      <c r="C1171" s="22" t="inlineStr">
        <is>
          <t>2141</t>
        </is>
      </c>
      <c r="D1171" s="22" t="inlineStr">
        <is>
          <t>2141</t>
        </is>
      </c>
      <c r="E1171" s="21" t="inlineStr">
        <is>
          <t>Інсектицид Ранчо 1 л Хімагромаркетинг Україна</t>
        </is>
      </c>
      <c r="F1171" s="21" t="inlineStr">
        <is>
          <t>Гортензія великолисткова Меджікал Амазон ® 2gr PC20 C5</t>
        </is>
      </c>
      <c r="G1171" s="23" t="n">
        <v>1148</v>
      </c>
      <c r="H1171" s="23" t="n">
        <v>720</v>
      </c>
      <c r="I1171" s="21" t="inlineStr">
        <is>
          <t>ID постачальника збігся, але назви різні</t>
        </is>
      </c>
    </row>
    <row r="1172">
      <c r="A1172" s="22" t="n">
        <v>33</v>
      </c>
      <c r="B1172" s="22" t="inlineStr">
        <is>
          <t>Клуб Рослин</t>
        </is>
      </c>
      <c r="C1172" s="22" t="inlineStr">
        <is>
          <t>7273</t>
        </is>
      </c>
      <c r="D1172" s="22" t="inlineStr">
        <is>
          <t>7273</t>
        </is>
      </c>
      <c r="E1172" s="21" t="inlineStr">
        <is>
          <t>Добриво Yara Krista MgS Яра Криста MgS Сульфат магнію 25 кг Норвегія</t>
        </is>
      </c>
      <c r="F1172" s="21" t="inlineStr">
        <is>
          <t>Троянда перська Бебілон Айз Глоріус ® PC21 C5</t>
        </is>
      </c>
      <c r="G1172" s="23" t="n">
        <v>1075</v>
      </c>
      <c r="H1172" s="23" t="n">
        <v>232</v>
      </c>
      <c r="I1172" s="21" t="inlineStr">
        <is>
          <t>ID постачальника збігся, але назви різні</t>
        </is>
      </c>
    </row>
    <row r="1173">
      <c r="A1173" s="22" t="n">
        <v>33</v>
      </c>
      <c r="B1173" s="22" t="inlineStr">
        <is>
          <t>Клуб Рослин</t>
        </is>
      </c>
      <c r="C1173" s="22" t="inlineStr">
        <is>
          <t>2348</t>
        </is>
      </c>
      <c r="D1173" s="22" t="inlineStr">
        <is>
          <t>2348</t>
        </is>
      </c>
      <c r="E1173" s="21" t="inlineStr">
        <is>
          <t>Інсектицид Floramite / Флорамайт 100 мл Agri Sciences Туреччина</t>
        </is>
      </c>
      <c r="F1173" s="21" t="inlineStr">
        <is>
          <t>Гортензія волотиста Пінк Даймонд PC20 C7,5 / H80-90</t>
        </is>
      </c>
      <c r="G1173" s="23" t="n">
        <v>1048</v>
      </c>
      <c r="H1173" s="23" t="n">
        <v>420</v>
      </c>
      <c r="I1173" s="21" t="inlineStr">
        <is>
          <t>ID постачальника збігся, але назви різні</t>
        </is>
      </c>
    </row>
    <row r="1174">
      <c r="A1174" s="22" t="n">
        <v>33</v>
      </c>
      <c r="B1174" s="22" t="inlineStr">
        <is>
          <t>Клуб Рослин</t>
        </is>
      </c>
      <c r="C1174" s="22" t="inlineStr">
        <is>
          <t>7309</t>
        </is>
      </c>
      <c r="D1174" s="22" t="inlineStr">
        <is>
          <t>7309</t>
        </is>
      </c>
      <c r="E1174" s="21" t="inlineStr">
        <is>
          <t>Добриво Кафом Калій / Kafom K 1 л Meristem Мерістем Іспанія</t>
        </is>
      </c>
      <c r="F1174" s="21" t="inlineStr">
        <is>
          <t>Верба цільнолиста Хакуро Нішікі Штамб GK / Pa100</t>
        </is>
      </c>
      <c r="G1174" s="23" t="n">
        <v>1048</v>
      </c>
      <c r="H1174" s="23" t="n">
        <v>210</v>
      </c>
      <c r="I1174" s="21" t="inlineStr">
        <is>
          <t>ID постачальника збігся, але різні бренди</t>
        </is>
      </c>
    </row>
    <row r="1175">
      <c r="A1175" s="22" t="n">
        <v>33</v>
      </c>
      <c r="B1175" s="22" t="inlineStr">
        <is>
          <t>Клуб Рослин</t>
        </is>
      </c>
      <c r="C1175" s="22" t="inlineStr">
        <is>
          <t>1.102</t>
        </is>
      </c>
      <c r="D1175" s="22" t="inlineStr">
        <is>
          <t>1102</t>
        </is>
      </c>
      <c r="E1175" s="21" t="inlineStr">
        <is>
          <t>Секатор з наковаленкою Льове / Lowe Original (1.102) Німеччина</t>
        </is>
      </c>
      <c r="F1175" s="21" t="inlineStr">
        <is>
          <t>Самшит вічнозенений Куля PC19 C27,5 / H35-40 / L40</t>
        </is>
      </c>
      <c r="G1175" s="23" t="n">
        <v>1045</v>
      </c>
      <c r="H1175" s="23" t="n">
        <v>1560</v>
      </c>
      <c r="I1175" s="21" t="inlineStr">
        <is>
          <t>ID постачальника збігся, але назви різні</t>
        </is>
      </c>
    </row>
    <row r="1176">
      <c r="A1176" s="22" t="n">
        <v>33</v>
      </c>
      <c r="B1176" s="22" t="inlineStr">
        <is>
          <t>Клуб Рослин</t>
        </is>
      </c>
      <c r="C1176" s="22" t="inlineStr">
        <is>
          <t>3346</t>
        </is>
      </c>
      <c r="D1176" s="22" t="inlineStr">
        <is>
          <t>3346</t>
        </is>
      </c>
      <c r="E1176" s="21" t="inlineStr">
        <is>
          <t>Фунгіцид Фольпан Голд 1 кг Adama Адама Ізраїль</t>
        </is>
      </c>
      <c r="F1176" s="21" t="inlineStr">
        <is>
          <t>Магнолія Хевен Сент Штамб Woodenbox 700 / o14-16 / Pa180</t>
        </is>
      </c>
      <c r="G1176" s="23" t="n">
        <v>925</v>
      </c>
      <c r="H1176" s="23" t="n">
        <v>11592</v>
      </c>
      <c r="I1176" s="21" t="inlineStr">
        <is>
          <t>ID постачальника збігся, але різні бренди</t>
        </is>
      </c>
    </row>
    <row r="1177">
      <c r="A1177" s="22" t="n">
        <v>33</v>
      </c>
      <c r="B1177" s="22" t="inlineStr">
        <is>
          <t>Клуб Рослин</t>
        </is>
      </c>
      <c r="C1177" s="22" t="inlineStr">
        <is>
          <t>9028</t>
        </is>
      </c>
      <c r="D1177" s="22" t="inlineStr">
        <is>
          <t>9028</t>
        </is>
      </c>
      <c r="E1177" s="21" t="inlineStr">
        <is>
          <t>Прилипач ПроЛіф ProLif 5 л Хімагромаркетинг Україна</t>
        </is>
      </c>
      <c r="F1177" s="21" t="inlineStr">
        <is>
          <t>Дерев'яна ручка 1,5 м Штокер Stocker 2200</t>
        </is>
      </c>
      <c r="G1177" s="23" t="n">
        <v>900</v>
      </c>
      <c r="H1177" s="23" t="n">
        <v>269</v>
      </c>
      <c r="I1177" s="21" t="inlineStr">
        <is>
          <t>ID постачальника збігся, але різні об'єми або розміри</t>
        </is>
      </c>
    </row>
    <row r="1178">
      <c r="A1178" s="22" t="n">
        <v>33</v>
      </c>
      <c r="B1178" s="22" t="inlineStr">
        <is>
          <t>Клуб Рослин</t>
        </is>
      </c>
      <c r="C1178" s="22" t="inlineStr">
        <is>
          <t>3051</t>
        </is>
      </c>
      <c r="D1178" s="22" t="inlineStr">
        <is>
          <t>3051</t>
        </is>
      </c>
      <c r="E1178" s="21" t="inlineStr">
        <is>
          <t>Фунгіцид Кабріо Дуо 1 л Basf Басф Німеччина</t>
        </is>
      </c>
      <c r="F1178" s="21" t="inlineStr">
        <is>
          <t>Ялівець середній Пфітзеріана Ауреа Бонсай C290 / H200-250</t>
        </is>
      </c>
      <c r="G1178" s="23" t="n">
        <v>700</v>
      </c>
      <c r="H1178" s="23" t="n">
        <v>66011</v>
      </c>
      <c r="I1178" s="21" t="inlineStr">
        <is>
          <t>ID постачальника збігся, але назви різні</t>
        </is>
      </c>
    </row>
    <row r="1179">
      <c r="A1179" s="22" t="n">
        <v>33</v>
      </c>
      <c r="B1179" s="22" t="inlineStr">
        <is>
          <t>Клуб Рослин</t>
        </is>
      </c>
      <c r="C1179" s="22" t="inlineStr">
        <is>
          <t>1094</t>
        </is>
      </c>
      <c r="D1179" s="22" t="inlineStr">
        <is>
          <t>1094</t>
        </is>
      </c>
      <c r="E1179" s="21" t="inlineStr">
        <is>
          <t>Гербіцид Огородник 500 г Хімагромаркетинг Україна</t>
        </is>
      </c>
      <c r="F1179" s="21" t="inlineStr">
        <is>
          <t>Будлея Давіда Уайт Проф'южн PC14 C10 / H80-100</t>
        </is>
      </c>
      <c r="G1179" s="23" t="n">
        <v>575</v>
      </c>
      <c r="H1179" s="23" t="n">
        <v>216</v>
      </c>
      <c r="I1179" s="21" t="inlineStr">
        <is>
          <t>ID постачальника збігся, але назви різні</t>
        </is>
      </c>
    </row>
    <row r="1180">
      <c r="A1180" s="22" t="n">
        <v>33</v>
      </c>
      <c r="B1180" s="22" t="inlineStr">
        <is>
          <t>Клуб Рослин</t>
        </is>
      </c>
      <c r="C1180" s="22" t="inlineStr">
        <is>
          <t>5020</t>
        </is>
      </c>
      <c r="D1180" s="22" t="inlineStr">
        <is>
          <t>5020</t>
        </is>
      </c>
      <c r="E1180" s="21" t="inlineStr">
        <is>
          <t>Протруйник Магнум Дуо 500 мл Bingo Україна</t>
        </is>
      </c>
      <c r="F1180" s="21" t="inlineStr">
        <is>
          <t>Сосна густоквіткова Умбракуліфера K20 C80 / H100-120</t>
        </is>
      </c>
      <c r="G1180" s="23" t="n">
        <v>525</v>
      </c>
      <c r="H1180" s="23" t="n">
        <v>3.6</v>
      </c>
      <c r="I1180" s="21" t="inlineStr">
        <is>
          <t>ID постачальника збігся, але назви різні</t>
        </is>
      </c>
    </row>
    <row r="1181">
      <c r="A1181" s="22" t="n">
        <v>33</v>
      </c>
      <c r="B1181" s="22" t="inlineStr">
        <is>
          <t>Клуб Рослин</t>
        </is>
      </c>
      <c r="C1181" s="22" t="inlineStr">
        <is>
          <t>9001</t>
        </is>
      </c>
      <c r="D1181" s="22" t="inlineStr">
        <is>
          <t>9001</t>
        </is>
      </c>
      <c r="E1181" s="21" t="inlineStr">
        <is>
          <t>Прилипач Сільвет Голд ПАР 250 мл (розлив) Arysta Аріста</t>
        </is>
      </c>
      <c r="F1181" s="21" t="inlineStr">
        <is>
          <t>Мармурова крихта Dias White Klviv, фр. 10-30мм, 10кг</t>
        </is>
      </c>
      <c r="G1181" s="23" t="n">
        <v>498</v>
      </c>
      <c r="H1181" s="23" t="n">
        <v>211.8</v>
      </c>
      <c r="I1181" s="21" t="inlineStr">
        <is>
          <t>ID постачальника збігся, але різні об'єми або розміри</t>
        </is>
      </c>
    </row>
    <row r="1182">
      <c r="A1182" s="22" t="n">
        <v>33</v>
      </c>
      <c r="B1182" s="22" t="inlineStr">
        <is>
          <t>Клуб Рослин</t>
        </is>
      </c>
      <c r="C1182" s="22" t="inlineStr">
        <is>
          <t>7854</t>
        </is>
      </c>
      <c r="D1182" s="22" t="inlineStr">
        <is>
          <t>7854</t>
        </is>
      </c>
      <c r="E1182" s="21" t="inlineStr">
        <is>
          <t>Стимулятор Біонорма Кімнатні рослини 800 г BioNorma Україна</t>
        </is>
      </c>
      <c r="F1182" s="21" t="inlineStr">
        <is>
          <t>Туя західна (ий) Смарагд K19 C65 / H100-120</t>
        </is>
      </c>
      <c r="G1182" s="23" t="n">
        <v>436</v>
      </c>
      <c r="H1182" s="23" t="n">
        <v>435</v>
      </c>
      <c r="I1182" s="21" t="inlineStr">
        <is>
          <t>ID постачальника збігся, але назви різні</t>
        </is>
      </c>
    </row>
    <row r="1183">
      <c r="A1183" s="22" t="n">
        <v>33</v>
      </c>
      <c r="B1183" s="22" t="inlineStr">
        <is>
          <t>Клуб Рослин</t>
        </is>
      </c>
      <c r="C1183" s="22" t="inlineStr">
        <is>
          <t>3122</t>
        </is>
      </c>
      <c r="D1183" s="22" t="inlineStr">
        <is>
          <t>3122</t>
        </is>
      </c>
      <c r="E1183" s="21" t="inlineStr">
        <is>
          <t>Фунгіцид Сігнум 100 г розсип Basf Басф Німеччина</t>
        </is>
      </c>
      <c r="F1183" s="21" t="inlineStr">
        <is>
          <t>Лаванда вузьколиста Платінум ніко K G / H30-40</t>
        </is>
      </c>
      <c r="G1183" s="23" t="n">
        <v>398</v>
      </c>
      <c r="H1183" s="23" t="n">
        <v>414</v>
      </c>
      <c r="I1183" s="21" t="inlineStr">
        <is>
          <t>ID постачальника збігся, але назви різні</t>
        </is>
      </c>
    </row>
    <row r="1184">
      <c r="A1184" s="22" t="n">
        <v>33</v>
      </c>
      <c r="B1184" s="22" t="inlineStr">
        <is>
          <t>Клуб Рослин</t>
        </is>
      </c>
      <c r="C1184" s="22" t="inlineStr">
        <is>
          <t>2296</t>
        </is>
      </c>
      <c r="D1184" s="22" t="inlineStr">
        <is>
          <t>2296</t>
        </is>
      </c>
      <c r="E1184" s="21" t="inlineStr">
        <is>
          <t>Інсектицид Ардіс 60 г Сімейний Сад Україна</t>
        </is>
      </c>
      <c r="F1184" s="21" t="inlineStr">
        <is>
          <t>Гортензія волотиста Меджікал Кіліманджаро PC21 C3</t>
        </is>
      </c>
      <c r="G1184" s="23" t="n">
        <v>225</v>
      </c>
      <c r="H1184" s="23" t="n">
        <v>290</v>
      </c>
      <c r="I1184" s="21" t="inlineStr">
        <is>
          <t>ID постачальника збігся, але назви різні</t>
        </is>
      </c>
    </row>
    <row r="1185">
      <c r="A1185" s="22" t="n">
        <v>33</v>
      </c>
      <c r="B1185" s="22" t="inlineStr">
        <is>
          <t>Клуб Рослин</t>
        </is>
      </c>
      <c r="C1185" s="22" t="inlineStr">
        <is>
          <t>3139</t>
        </is>
      </c>
      <c r="D1185" s="22" t="inlineStr">
        <is>
          <t>3139</t>
        </is>
      </c>
      <c r="E1185" s="21" t="inlineStr">
        <is>
          <t>Фунгіцид Чарівник 200 г ProtectON / ПротектОн Україна</t>
        </is>
      </c>
      <c r="F1185" s="21" t="inlineStr">
        <is>
          <t>Лілія азіатська гібридна 'Танго' Кафе Нуар 12\14</t>
        </is>
      </c>
      <c r="G1185" s="23" t="n">
        <v>200</v>
      </c>
      <c r="H1185" s="23" t="n">
        <v>50</v>
      </c>
      <c r="I1185" s="21" t="inlineStr">
        <is>
          <t>ID постачальника збігся, але назви різні</t>
        </is>
      </c>
    </row>
    <row r="1186">
      <c r="A1186" s="22" t="n">
        <v>33</v>
      </c>
      <c r="B1186" s="22" t="inlineStr">
        <is>
          <t>Клуб Рослин</t>
        </is>
      </c>
      <c r="C1186" s="22" t="inlineStr">
        <is>
          <t>7550</t>
        </is>
      </c>
      <c r="D1186" s="22" t="inlineStr">
        <is>
          <t>7550</t>
        </is>
      </c>
      <c r="E1186" s="21" t="inlineStr">
        <is>
          <t>Стимулятор росту Ізабіон Р 300 мл Syngenta Сингента Швейцарія</t>
        </is>
      </c>
      <c r="F1186" s="21" t="inlineStr">
        <is>
          <t>Тис ягідний (а) Пон-Пон+Мультиштамб C50 / H60-100</t>
        </is>
      </c>
      <c r="G1186" s="23" t="n"/>
      <c r="H1186" s="23" t="n">
        <v>7705</v>
      </c>
      <c r="I1186" s="21" t="inlineStr">
        <is>
          <t>ID постачальника збігся, але назви різні</t>
        </is>
      </c>
    </row>
    <row r="1187">
      <c r="A1187" s="22" t="n">
        <v>32.9</v>
      </c>
      <c r="B1187" s="22" t="inlineStr">
        <is>
          <t>Водоспад</t>
        </is>
      </c>
      <c r="C1187" s="22" t="inlineStr">
        <is>
          <t>40-252</t>
        </is>
      </c>
      <c r="D1187" s="22" t="inlineStr">
        <is>
          <t>40252</t>
        </is>
      </c>
      <c r="E1187" s="21" t="inlineStr">
        <is>
          <t>Лопата штикова Целлфаст / Cellfast Basic 112.5 см 1.85 кг (40-252) Польща</t>
        </is>
      </c>
      <c r="F1187" s="21" t="inlineStr">
        <is>
          <t>Пильне полотно Bosch Starlock BIM Dual-Tec 53x40 мм AYZ 53 BPB (2608664202)</t>
        </is>
      </c>
      <c r="G1187" s="23" t="n">
        <v>977</v>
      </c>
      <c r="H1187" s="23" t="n">
        <v>729</v>
      </c>
      <c r="I1187" s="21" t="inlineStr">
        <is>
          <t>ID постачальника збігся, але різні об'єми або розміри</t>
        </is>
      </c>
    </row>
    <row r="1188">
      <c r="A1188" s="22" t="n">
        <v>32.9</v>
      </c>
      <c r="B1188" s="22" t="inlineStr">
        <is>
          <t>Клуб Рослин</t>
        </is>
      </c>
      <c r="C1188" s="22" t="inlineStr">
        <is>
          <t>7560</t>
        </is>
      </c>
      <c r="D1188" s="22" t="inlineStr">
        <is>
          <t>7560</t>
        </is>
      </c>
      <c r="E1188" s="21" t="inlineStr">
        <is>
          <t>Інокулянт Блу N 3 кг Corteva Кортева США</t>
        </is>
      </c>
      <c r="F1188" s="21" t="inlineStr">
        <is>
          <t>Тис ягідний (а) Шварцгрун Бонсай C230 / H150 / L120</t>
        </is>
      </c>
      <c r="G1188" s="23" t="n">
        <v>8000</v>
      </c>
      <c r="H1188" s="23" t="n">
        <v>34776</v>
      </c>
      <c r="I1188" s="21" t="inlineStr">
        <is>
          <t>ID постачальника збігся, але назви різні</t>
        </is>
      </c>
    </row>
    <row r="1189">
      <c r="A1189" s="22" t="n">
        <v>32.9</v>
      </c>
      <c r="B1189" s="22" t="inlineStr">
        <is>
          <t>Клуб Рослин</t>
        </is>
      </c>
      <c r="C1189" s="22" t="inlineStr">
        <is>
          <t>7459</t>
        </is>
      </c>
      <c r="D1189" s="22" t="inlineStr">
        <is>
          <t>7459</t>
        </is>
      </c>
      <c r="E1189" s="21" t="inlineStr">
        <is>
          <t>Добриво GroGreen NPK 17-10-32+TE 25 кг Lima Бельгія</t>
        </is>
      </c>
      <c r="F1189" s="21" t="inlineStr">
        <is>
          <t>Тис ягідний (а) Куля G+C270 / H120+</t>
        </is>
      </c>
      <c r="G1189" s="23" t="n">
        <v>4905</v>
      </c>
      <c r="H1189" s="23" t="n">
        <v>17145</v>
      </c>
      <c r="I1189" s="21" t="inlineStr">
        <is>
          <t>ID постачальника збігся, але назви різні</t>
        </is>
      </c>
    </row>
    <row r="1190">
      <c r="A1190" s="22" t="n">
        <v>32.9</v>
      </c>
      <c r="B1190" s="22" t="inlineStr">
        <is>
          <t>Клуб Рослин</t>
        </is>
      </c>
      <c r="C1190" s="22" t="inlineStr">
        <is>
          <t>8134</t>
        </is>
      </c>
      <c r="D1190" s="22" t="inlineStr">
        <is>
          <t>8134</t>
        </is>
      </c>
      <c r="E1190" s="21" t="inlineStr">
        <is>
          <t>Антистресант Ксерула Зерива / Zeryva 10 л Україна</t>
        </is>
      </c>
      <c r="F1190" s="21" t="inlineStr">
        <is>
          <t>Калина червона Ескімо Штамб C7,5 / Pa120</t>
        </is>
      </c>
      <c r="G1190" s="23" t="n">
        <v>4300</v>
      </c>
      <c r="H1190" s="23" t="n">
        <v>1588</v>
      </c>
      <c r="I1190" s="21" t="inlineStr">
        <is>
          <t>ID постачальника збігся, але назви різні</t>
        </is>
      </c>
    </row>
    <row r="1191">
      <c r="A1191" s="22" t="n">
        <v>32.9</v>
      </c>
      <c r="B1191" s="22" t="inlineStr">
        <is>
          <t>Клуб Рослин</t>
        </is>
      </c>
      <c r="C1191" s="22" t="inlineStr">
        <is>
          <t>3375</t>
        </is>
      </c>
      <c r="D1191" s="22" t="inlineStr">
        <is>
          <t>3375</t>
        </is>
      </c>
      <c r="E1191" s="21" t="inlineStr">
        <is>
          <t>Фунгіцид Аккорд 5 л Нертус Угорщина</t>
        </is>
      </c>
      <c r="F1191" s="21" t="inlineStr">
        <is>
          <t>Магнолія гібридний(а) Джині ® C10 / H100-125</t>
        </is>
      </c>
      <c r="G1191" s="23" t="n">
        <v>2225</v>
      </c>
      <c r="H1191" s="23" t="n">
        <v>3643</v>
      </c>
      <c r="I1191" s="21" t="inlineStr">
        <is>
          <t>ID постачальника збігся, але назви різні</t>
        </is>
      </c>
    </row>
    <row r="1192">
      <c r="A1192" s="22" t="n">
        <v>32.9</v>
      </c>
      <c r="B1192" s="22" t="inlineStr">
        <is>
          <t>Клуб Рослин</t>
        </is>
      </c>
      <c r="C1192" s="22" t="inlineStr">
        <is>
          <t>7770</t>
        </is>
      </c>
      <c r="D1192" s="22" t="inlineStr">
        <is>
          <t>7770</t>
        </is>
      </c>
      <c r="E1192" s="21" t="inlineStr">
        <is>
          <t>Добриво Ікар Зінто (Цинк) / Ikar Zinto 1 л Литва</t>
        </is>
      </c>
      <c r="F1192" s="21" t="inlineStr">
        <is>
          <t>Туя західна (ий) Мірьям ® K19 C15 / H30-40</t>
        </is>
      </c>
      <c r="G1192" s="23" t="n">
        <v>624</v>
      </c>
      <c r="H1192" s="23" t="n">
        <v>435</v>
      </c>
      <c r="I1192" s="21" t="inlineStr">
        <is>
          <t>ID постачальника збігся, але назви різні</t>
        </is>
      </c>
    </row>
    <row r="1193">
      <c r="A1193" s="22" t="n">
        <v>32.9</v>
      </c>
      <c r="B1193" s="22" t="inlineStr">
        <is>
          <t>Клуб Рослин</t>
        </is>
      </c>
      <c r="C1193" s="22" t="inlineStr">
        <is>
          <t>1060</t>
        </is>
      </c>
      <c r="D1193" s="22" t="inlineStr">
        <is>
          <t>1060</t>
        </is>
      </c>
      <c r="E1193" s="21" t="inlineStr">
        <is>
          <t>Гербіцид Норвел Екстра 500 мл Хімагромаркетинг Україна</t>
        </is>
      </c>
      <c r="F1193" s="21" t="inlineStr">
        <is>
          <t>Береза плакуча (ий) Янгіі C45 / o6-8</t>
        </is>
      </c>
      <c r="G1193" s="23" t="n">
        <v>520</v>
      </c>
      <c r="H1193" s="23" t="n">
        <v>4140</v>
      </c>
      <c r="I1193" s="21" t="inlineStr">
        <is>
          <t>ID постачальника збігся, але назви різні</t>
        </is>
      </c>
    </row>
    <row r="1194">
      <c r="A1194" s="22" t="n">
        <v>32.9</v>
      </c>
      <c r="B1194" s="22" t="inlineStr">
        <is>
          <t>Клуб Рослин</t>
        </is>
      </c>
      <c r="C1194" s="22" t="inlineStr">
        <is>
          <t>7143</t>
        </is>
      </c>
      <c r="D1194" s="22" t="inlineStr">
        <is>
          <t>7143</t>
        </is>
      </c>
      <c r="E1194" s="21" t="inlineStr">
        <is>
          <t>Мікродобриво Оракул Насіння 1 л Долина Україна</t>
        </is>
      </c>
      <c r="F1194" s="21" t="inlineStr">
        <is>
          <t>Троянда гібридний(а) (Анжеліка DP PC20 C2</t>
        </is>
      </c>
      <c r="G1194" s="23" t="n">
        <v>448</v>
      </c>
      <c r="H1194" s="23" t="n">
        <v>174</v>
      </c>
      <c r="I1194" s="21" t="inlineStr">
        <is>
          <t>ID постачальника збігся, але назви різні</t>
        </is>
      </c>
    </row>
    <row r="1195">
      <c r="A1195" s="22" t="n">
        <v>32.9</v>
      </c>
      <c r="B1195" s="22" t="inlineStr">
        <is>
          <t>Клуб Рослин</t>
        </is>
      </c>
      <c r="C1195" s="22" t="inlineStr">
        <is>
          <t>7348</t>
        </is>
      </c>
      <c r="D1195" s="22" t="inlineStr">
        <is>
          <t>7348</t>
        </is>
      </c>
      <c r="E1195" s="21" t="inlineStr">
        <is>
          <t>Біопрепарат Iaros Ярос 1 л Україна</t>
        </is>
      </c>
      <c r="F1195" s="21" t="inlineStr">
        <is>
          <t>Спірея японська Дартс Ред PC19 C5 / H30-40</t>
        </is>
      </c>
      <c r="G1195" s="23" t="n">
        <v>425</v>
      </c>
      <c r="H1195" s="23" t="n">
        <v>156</v>
      </c>
      <c r="I1195" s="21" t="inlineStr">
        <is>
          <t>ID постачальника збігся, але назви різні</t>
        </is>
      </c>
    </row>
    <row r="1196">
      <c r="A1196" s="22" t="n">
        <v>32.9</v>
      </c>
      <c r="B1196" s="22" t="inlineStr">
        <is>
          <t>Клуб Рослин</t>
        </is>
      </c>
      <c r="C1196" s="22" t="inlineStr">
        <is>
          <t>2334</t>
        </is>
      </c>
      <c r="D1196" s="22" t="inlineStr">
        <is>
          <t>2334</t>
        </is>
      </c>
      <c r="E1196" s="21" t="inlineStr">
        <is>
          <t>Інсектицид ХітАтака 100 мл Спектр СадУкраїна</t>
        </is>
      </c>
      <c r="F1196" s="21" t="inlineStr">
        <is>
          <t>Гортензія волотиста Мега Мінді C7,5</t>
        </is>
      </c>
      <c r="G1196" s="23" t="n">
        <v>365</v>
      </c>
      <c r="H1196" s="23" t="n">
        <v>275</v>
      </c>
      <c r="I1196" s="21" t="inlineStr">
        <is>
          <t>ID постачальника збігся, але назви різні</t>
        </is>
      </c>
    </row>
    <row r="1197">
      <c r="A1197" s="22" t="n">
        <v>32.9</v>
      </c>
      <c r="B1197" s="22" t="inlineStr">
        <is>
          <t>Клуб Рослин</t>
        </is>
      </c>
      <c r="C1197" s="22" t="inlineStr">
        <is>
          <t>4038</t>
        </is>
      </c>
      <c r="D1197" s="22" t="inlineStr">
        <is>
          <t>4038</t>
        </is>
      </c>
      <c r="E1197" s="21" t="inlineStr">
        <is>
          <t>Родентицид Мишливець 400 г ProtectON / ПротектОн Україна</t>
        </is>
      </c>
      <c r="F1197" s="21" t="inlineStr">
        <is>
          <t>Ялина двоколірна C4 / H30-40</t>
        </is>
      </c>
      <c r="G1197" s="23" t="n">
        <v>275</v>
      </c>
      <c r="H1197" s="23" t="n">
        <v>960</v>
      </c>
      <c r="I1197" s="21" t="inlineStr">
        <is>
          <t>ID постачальника збігся, але назви різні</t>
        </is>
      </c>
    </row>
    <row r="1198">
      <c r="A1198" s="22" t="n">
        <v>32.8</v>
      </c>
      <c r="B1198" s="22" t="inlineStr">
        <is>
          <t>Клуб Рослин</t>
        </is>
      </c>
      <c r="C1198" s="22" t="inlineStr">
        <is>
          <t>2115</t>
        </is>
      </c>
      <c r="D1198" s="22" t="inlineStr">
        <is>
          <t>2115</t>
        </is>
      </c>
      <c r="E1198" s="21" t="inlineStr">
        <is>
          <t>Акарицид Сінтак 1 л Alfa Smart Agro Альфа Смарт Агро Україна</t>
        </is>
      </c>
      <c r="F1198" s="21" t="inlineStr">
        <is>
          <t>Гортензія великолисткова Ендлесс Саммер Блум Стар Блау-Ліла C5 / H20-30</t>
        </is>
      </c>
      <c r="G1198" s="23" t="n">
        <v>3248</v>
      </c>
      <c r="H1198" s="23" t="n">
        <v>720</v>
      </c>
      <c r="I1198" s="21" t="inlineStr">
        <is>
          <t>ID постачальника збігся, але назви різні</t>
        </is>
      </c>
    </row>
    <row r="1199">
      <c r="A1199" s="22" t="n">
        <v>32.8</v>
      </c>
      <c r="B1199" s="22" t="inlineStr">
        <is>
          <t>Клуб Рослин</t>
        </is>
      </c>
      <c r="C1199" s="22" t="inlineStr">
        <is>
          <t>2090</t>
        </is>
      </c>
      <c r="D1199" s="22" t="inlineStr">
        <is>
          <t>2090</t>
        </is>
      </c>
      <c r="E1199" s="21" t="inlineStr">
        <is>
          <t>Інсектицид Міральд 5 л Дефенда / Defenda</t>
        </is>
      </c>
      <c r="F1199" s="21" t="inlineStr">
        <is>
          <t>Гіацинт Дельф Блю 15\16</t>
        </is>
      </c>
      <c r="G1199" s="23" t="n">
        <v>2248</v>
      </c>
      <c r="H1199" s="23" t="n">
        <v>25</v>
      </c>
      <c r="I1199" s="21" t="inlineStr">
        <is>
          <t>ID постачальника збігся, але назви різні</t>
        </is>
      </c>
    </row>
    <row r="1200">
      <c r="A1200" s="22" t="n">
        <v>32.8</v>
      </c>
      <c r="B1200" s="22" t="inlineStr">
        <is>
          <t>Клуб Рослин</t>
        </is>
      </c>
      <c r="C1200" s="22" t="inlineStr">
        <is>
          <t>2173</t>
        </is>
      </c>
      <c r="D1200" s="22" t="inlineStr">
        <is>
          <t>2173</t>
        </is>
      </c>
      <c r="E1200" s="21" t="inlineStr">
        <is>
          <t>Інсектицид Супер Бізон 1 л Alfa Smart Agro Альфа Смарт Агро Україна</t>
        </is>
      </c>
      <c r="F1200" s="21" t="inlineStr">
        <is>
          <t>Гортензія великолисткова Пінк Б'юті Штамб PC19 C10 / Pa100</t>
        </is>
      </c>
      <c r="G1200" s="23" t="n">
        <v>676</v>
      </c>
      <c r="H1200" s="23" t="n">
        <v>1080</v>
      </c>
      <c r="I1200" s="21" t="inlineStr">
        <is>
          <t>ID постачальника збігся, але назви різні</t>
        </is>
      </c>
    </row>
    <row r="1201">
      <c r="A1201" s="22" t="n">
        <v>32.8</v>
      </c>
      <c r="B1201" s="22" t="inlineStr">
        <is>
          <t>Клуб Рослин</t>
        </is>
      </c>
      <c r="C1201" s="22" t="inlineStr">
        <is>
          <t>3323</t>
        </is>
      </c>
      <c r="D1201" s="22" t="inlineStr">
        <is>
          <t>3323</t>
        </is>
      </c>
      <c r="E1201" s="21" t="inlineStr">
        <is>
          <t>Фунгіцид Амур ЗП 1 кг Дар Агро</t>
        </is>
      </c>
      <c r="F1201" s="21" t="inlineStr">
        <is>
          <t>Магнолія гола Юлан C110 / H175-200</t>
        </is>
      </c>
      <c r="G1201" s="23" t="n">
        <v>548</v>
      </c>
      <c r="H1201" s="23" t="n">
        <v>10764</v>
      </c>
      <c r="I1201" s="21" t="inlineStr">
        <is>
          <t>ID постачальника збігся, але назви різні</t>
        </is>
      </c>
    </row>
    <row r="1202">
      <c r="A1202" s="22" t="n">
        <v>32.8</v>
      </c>
      <c r="B1202" s="22" t="inlineStr">
        <is>
          <t>Клуб Рослин</t>
        </is>
      </c>
      <c r="C1202" s="22" t="inlineStr">
        <is>
          <t>1113</t>
        </is>
      </c>
      <c r="D1202" s="22" t="inlineStr">
        <is>
          <t>1113</t>
        </is>
      </c>
      <c r="E1202" s="21" t="inlineStr">
        <is>
          <t>Гербіцид Топметрин КС 1 л Нопосон</t>
        </is>
      </c>
      <c r="F1202" s="21" t="inlineStr">
        <is>
          <t>Самшит вічнозенений Конус C110 / H80</t>
        </is>
      </c>
      <c r="G1202" s="23" t="n">
        <v>325</v>
      </c>
      <c r="H1202" s="23" t="n">
        <v>3600</v>
      </c>
      <c r="I1202" s="21" t="inlineStr">
        <is>
          <t>ID постачальника збігся, але назви різні</t>
        </is>
      </c>
    </row>
    <row r="1203">
      <c r="A1203" s="22" t="n">
        <v>32.8</v>
      </c>
      <c r="B1203" s="22" t="inlineStr">
        <is>
          <t>Клуб Рослин</t>
        </is>
      </c>
      <c r="C1203" s="22" t="inlineStr">
        <is>
          <t>7354</t>
        </is>
      </c>
      <c r="D1203" s="22" t="inlineStr">
        <is>
          <t>7354</t>
        </is>
      </c>
      <c r="E1203" s="21" t="inlineStr">
        <is>
          <t>Добриво Плантатор 30+10+10 1 кг Кіссон Україна</t>
        </is>
      </c>
      <c r="F1203" s="21" t="inlineStr">
        <is>
          <t>Спірея японська Голден Прінцес C1,5 / H20-25</t>
        </is>
      </c>
      <c r="G1203" s="23" t="n">
        <v>236</v>
      </c>
      <c r="H1203" s="23" t="n">
        <v>90</v>
      </c>
      <c r="I1203" s="21" t="inlineStr">
        <is>
          <t>ID постачальника збігся, але назви різні</t>
        </is>
      </c>
    </row>
    <row r="1204">
      <c r="A1204" s="22" t="n">
        <v>32.7</v>
      </c>
      <c r="B1204" s="22" t="inlineStr">
        <is>
          <t>Клуб Рослин</t>
        </is>
      </c>
      <c r="C1204" s="22" t="inlineStr">
        <is>
          <t>9046</t>
        </is>
      </c>
      <c r="D1204" s="22" t="inlineStr">
        <is>
          <t>9046</t>
        </is>
      </c>
      <c r="E1204" s="21" t="inlineStr">
        <is>
          <t>Регулятор кислотності (адювант) Технофіт pH+/ Tecnophyt pH+ 5 л AgriTecno Іспанія</t>
        </is>
      </c>
      <c r="F1204" s="21" t="inlineStr">
        <is>
          <t>Держак для комбі-інструменту Штокер Комбі 0,8 м Stocker 2018</t>
        </is>
      </c>
      <c r="G1204" s="23" t="n">
        <v>3798</v>
      </c>
      <c r="H1204" s="23" t="n">
        <v>400</v>
      </c>
      <c r="I1204" s="21" t="inlineStr">
        <is>
          <t>ID постачальника збігся, але різні об'єми або розміри</t>
        </is>
      </c>
    </row>
    <row r="1205">
      <c r="A1205" s="22" t="n">
        <v>32.7</v>
      </c>
      <c r="B1205" s="22" t="inlineStr">
        <is>
          <t>Клуб Рослин</t>
        </is>
      </c>
      <c r="C1205" s="22" t="inlineStr">
        <is>
          <t>7510</t>
        </is>
      </c>
      <c r="D1205" s="22" t="inlineStr">
        <is>
          <t>7510</t>
        </is>
      </c>
      <c r="E1205" s="21" t="inlineStr">
        <is>
          <t>Добриво YaraTera Kristalon ЯраТера Кристалон 13-5-26 25 кг Нідерланди</t>
        </is>
      </c>
      <c r="F1205" s="21" t="inlineStr">
        <is>
          <t>Тис ягідний (а) Девід Extra C35 / H100-120</t>
        </is>
      </c>
      <c r="G1205" s="23" t="n">
        <v>3648</v>
      </c>
      <c r="H1205" s="23" t="n">
        <v>5299</v>
      </c>
      <c r="I1205" s="21" t="inlineStr">
        <is>
          <t>ID постачальника збігся, але різні бренди</t>
        </is>
      </c>
    </row>
    <row r="1206">
      <c r="A1206" s="22" t="n">
        <v>32.7</v>
      </c>
      <c r="B1206" s="22" t="inlineStr">
        <is>
          <t>Клуб Рослин</t>
        </is>
      </c>
      <c r="C1206" s="22" t="inlineStr">
        <is>
          <t>3257</t>
        </is>
      </c>
      <c r="D1206" s="22" t="inlineStr">
        <is>
          <t>3257</t>
        </is>
      </c>
      <c r="E1206" s="21" t="inlineStr">
        <is>
          <t>Фунгіцид Джерело 5 л Presence / Презенс</t>
        </is>
      </c>
      <c r="F1206" s="21" t="inlineStr">
        <is>
          <t>Ліріодендрон (Тюльпанове дерево) тюльпановий Глобозум Штамб C35 / Pa140</t>
        </is>
      </c>
      <c r="G1206" s="23" t="n">
        <v>3475</v>
      </c>
      <c r="H1206" s="23" t="n">
        <v>6624</v>
      </c>
      <c r="I1206" s="21" t="inlineStr">
        <is>
          <t>ID постачальника збігся, але назви різні</t>
        </is>
      </c>
    </row>
    <row r="1207">
      <c r="A1207" s="22" t="n">
        <v>32.7</v>
      </c>
      <c r="B1207" s="22" t="inlineStr">
        <is>
          <t>Клуб Рослин</t>
        </is>
      </c>
      <c r="C1207" s="22" t="inlineStr">
        <is>
          <t>3064</t>
        </is>
      </c>
      <c r="D1207" s="22" t="inlineStr">
        <is>
          <t>3064</t>
        </is>
      </c>
      <c r="E1207" s="21" t="inlineStr">
        <is>
          <t>Фунгіцид Фенікс Дуо 5 л ALFA Smart Agro Альфа Смарт Агро Україна</t>
        </is>
      </c>
      <c r="F1207" s="21" t="inlineStr">
        <is>
          <t>Ялівець середній Пфітзеріана Бонсай C45 / H80-100</t>
        </is>
      </c>
      <c r="G1207" s="23" t="n">
        <v>3475</v>
      </c>
      <c r="H1207" s="23" t="n">
        <v>14904</v>
      </c>
      <c r="I1207" s="21" t="inlineStr">
        <is>
          <t>ID постачальника збігся, але назви різні</t>
        </is>
      </c>
    </row>
    <row r="1208">
      <c r="A1208" s="22" t="n">
        <v>32.7</v>
      </c>
      <c r="B1208" s="22" t="inlineStr">
        <is>
          <t>Клуб Рослин</t>
        </is>
      </c>
      <c r="C1208" s="22" t="inlineStr">
        <is>
          <t>7795</t>
        </is>
      </c>
      <c r="D1208" s="22" t="inlineStr">
        <is>
          <t>7795</t>
        </is>
      </c>
      <c r="E1208" s="21" t="inlineStr">
        <is>
          <t>Добриво Ікар Інтенс Олійний Універсал / Ikar Intense Oil 5 л Литва</t>
        </is>
      </c>
      <c r="F1208" s="21" t="inlineStr">
        <is>
          <t>Туя західна (ий) Смарагд Extra K C25 / H60-80</t>
        </is>
      </c>
      <c r="G1208" s="23" t="n">
        <v>2142</v>
      </c>
      <c r="H1208" s="23" t="n">
        <v>508</v>
      </c>
      <c r="I1208" s="21" t="inlineStr">
        <is>
          <t>ID постачальника збігся, але різні бренди</t>
        </is>
      </c>
    </row>
    <row r="1209">
      <c r="A1209" s="22" t="n">
        <v>32.7</v>
      </c>
      <c r="B1209" s="22" t="inlineStr">
        <is>
          <t>Клуб Рослин</t>
        </is>
      </c>
      <c r="C1209" s="22" t="inlineStr">
        <is>
          <t>8122</t>
        </is>
      </c>
      <c r="D1209" s="22" t="inlineStr">
        <is>
          <t>8122</t>
        </is>
      </c>
      <c r="E1209" s="21" t="inlineStr">
        <is>
          <t>Добриво-стимулятор росту Глеон Зерива​​​​​​​ / Zeryva 5 л Україна</t>
        </is>
      </c>
      <c r="F1209" s="21" t="inlineStr">
        <is>
          <t>Чорниця висока (Голубика, Лохина) Патріот PC20 C30 / H80-100</t>
        </is>
      </c>
      <c r="G1209" s="23" t="n">
        <v>2000</v>
      </c>
      <c r="H1209" s="23" t="n">
        <v>1200</v>
      </c>
      <c r="I1209" s="21" t="inlineStr">
        <is>
          <t>ID постачальника збігся, але назви різні</t>
        </is>
      </c>
    </row>
    <row r="1210">
      <c r="A1210" s="22" t="n">
        <v>32.7</v>
      </c>
      <c r="B1210" s="22" t="inlineStr">
        <is>
          <t>Клуб Рослин</t>
        </is>
      </c>
      <c r="C1210" s="22" t="inlineStr">
        <is>
          <t>8121</t>
        </is>
      </c>
      <c r="D1210" s="22" t="inlineStr">
        <is>
          <t>8121</t>
        </is>
      </c>
      <c r="E1210" s="21" t="inlineStr">
        <is>
          <t>Добриво Зерива Молібден + Кобальт / Zeryva Mo+Co 5 л Україна</t>
        </is>
      </c>
      <c r="F1210" s="21" t="inlineStr">
        <is>
          <t>Чорниця висока (Голубика, Лохина) Патріот PC20 C25 / H90-100</t>
        </is>
      </c>
      <c r="G1210" s="23" t="n">
        <v>1250</v>
      </c>
      <c r="H1210" s="23" t="n">
        <v>1656</v>
      </c>
      <c r="I1210" s="21" t="inlineStr">
        <is>
          <t>ID постачальника збігся, але назви різні</t>
        </is>
      </c>
    </row>
    <row r="1211">
      <c r="A1211" s="22" t="n">
        <v>32.7</v>
      </c>
      <c r="B1211" s="22" t="inlineStr">
        <is>
          <t>Клуб Рослин</t>
        </is>
      </c>
      <c r="C1211" s="22" t="inlineStr">
        <is>
          <t>2203</t>
        </is>
      </c>
      <c r="D1211" s="22" t="inlineStr">
        <is>
          <t>2203</t>
        </is>
      </c>
      <c r="E1211" s="21" t="inlineStr">
        <is>
          <t>Інсектицид Конфідор 200 РК 500 мл Bayer Байєр Німеччина</t>
        </is>
      </c>
      <c r="F1211" s="21" t="inlineStr">
        <is>
          <t>Гортензія волотиста Кенделайт PC22 C5 / H70-80</t>
        </is>
      </c>
      <c r="G1211" s="23" t="n">
        <v>1227</v>
      </c>
      <c r="H1211" s="23" t="n">
        <v>360</v>
      </c>
      <c r="I1211" s="21" t="inlineStr">
        <is>
          <t>ID постачальника збігся, але назви різні</t>
        </is>
      </c>
    </row>
    <row r="1212">
      <c r="A1212" s="22" t="n">
        <v>32.7</v>
      </c>
      <c r="B1212" s="22" t="inlineStr">
        <is>
          <t>Клуб Рослин</t>
        </is>
      </c>
      <c r="C1212" s="22" t="inlineStr">
        <is>
          <t>2315</t>
        </is>
      </c>
      <c r="D1212" s="22" t="inlineStr">
        <is>
          <t>2315</t>
        </is>
      </c>
      <c r="E1212" s="21" t="inlineStr">
        <is>
          <t>Інсектицид Атрікс Максі 1 л Агрохімічні технології Україна</t>
        </is>
      </c>
      <c r="F1212" s="21" t="inlineStr">
        <is>
          <t>Гортензія волотиста Меджикал Мунлайт ® PC19 C7,5</t>
        </is>
      </c>
      <c r="G1212" s="23" t="n">
        <v>925</v>
      </c>
      <c r="H1212" s="23" t="n">
        <v>420</v>
      </c>
      <c r="I1212" s="21" t="inlineStr">
        <is>
          <t>ID постачальника збігся, але назви різні</t>
        </is>
      </c>
    </row>
    <row r="1213">
      <c r="A1213" s="22" t="n">
        <v>32.7</v>
      </c>
      <c r="B1213" s="22" t="inlineStr">
        <is>
          <t>Клуб Рослин</t>
        </is>
      </c>
      <c r="C1213" s="22" t="inlineStr">
        <is>
          <t>7353</t>
        </is>
      </c>
      <c r="D1213" s="22" t="inlineStr">
        <is>
          <t>7353</t>
        </is>
      </c>
      <c r="E1213" s="21" t="inlineStr">
        <is>
          <t>Добриво Плантатор 30+10+10 5 кг Кіссон Україна</t>
        </is>
      </c>
      <c r="F1213" s="21" t="inlineStr">
        <is>
          <t>Спірея японська Фаєрлайт PC14 C3 / L20-30</t>
        </is>
      </c>
      <c r="G1213" s="23" t="n">
        <v>821</v>
      </c>
      <c r="H1213" s="23" t="n">
        <v>90</v>
      </c>
      <c r="I1213" s="21" t="inlineStr">
        <is>
          <t>ID постачальника збігся, але назви різні</t>
        </is>
      </c>
    </row>
    <row r="1214">
      <c r="A1214" s="22" t="n">
        <v>32.7</v>
      </c>
      <c r="B1214" s="22" t="inlineStr">
        <is>
          <t>Клуб Рослин</t>
        </is>
      </c>
      <c r="C1214" s="22" t="inlineStr">
        <is>
          <t>3053</t>
        </is>
      </c>
      <c r="D1214" s="22" t="inlineStr">
        <is>
          <t>3053</t>
        </is>
      </c>
      <c r="E1214" s="21" t="inlineStr">
        <is>
          <t>Фунгіцид Метеор 1 кг Хімагромаркетинг Україна</t>
        </is>
      </c>
      <c r="F1214" s="21" t="inlineStr">
        <is>
          <t>Ялівець середній Пфітзеріана Ауреа Бонсай C45 / H100-125</t>
        </is>
      </c>
      <c r="G1214" s="23" t="n">
        <v>675</v>
      </c>
      <c r="H1214" s="23" t="n">
        <v>16560</v>
      </c>
      <c r="I1214" s="21" t="inlineStr">
        <is>
          <t>ID постачальника збігся, але назви різні</t>
        </is>
      </c>
    </row>
    <row r="1215">
      <c r="A1215" s="22" t="n">
        <v>32.7</v>
      </c>
      <c r="B1215" s="22" t="inlineStr">
        <is>
          <t>Клуб Рослин</t>
        </is>
      </c>
      <c r="C1215" s="22" t="inlineStr">
        <is>
          <t>2302</t>
        </is>
      </c>
      <c r="D1215" s="22" t="inlineStr">
        <is>
          <t>2302</t>
        </is>
      </c>
      <c r="E1215" s="21" t="inlineStr">
        <is>
          <t>Інсектицид Матч 250 мл (розлив) Syngenta Сингента Швейцарія</t>
        </is>
      </c>
      <c r="F1215" s="21" t="inlineStr">
        <is>
          <t>Гортензія волотиста Меджікал Маттерхорн PC21 C3 / H20-25</t>
        </is>
      </c>
      <c r="G1215" s="23" t="n">
        <v>598</v>
      </c>
      <c r="H1215" s="23" t="n">
        <v>240</v>
      </c>
      <c r="I1215" s="21" t="inlineStr">
        <is>
          <t>ID постачальника збігся, але назви різні</t>
        </is>
      </c>
    </row>
    <row r="1216">
      <c r="A1216" s="22" t="n">
        <v>32.7</v>
      </c>
      <c r="B1216" s="22" t="inlineStr">
        <is>
          <t>Клуб Рослин</t>
        </is>
      </c>
      <c r="C1216" s="22" t="inlineStr">
        <is>
          <t>2330</t>
        </is>
      </c>
      <c r="D1216" s="22" t="inlineStr">
        <is>
          <t>2330</t>
        </is>
      </c>
      <c r="E1216" s="21" t="inlineStr">
        <is>
          <t>Грунтовий інсектицид Нематоцид 1 кг Імекс Агро Україна</t>
        </is>
      </c>
      <c r="F1216" s="21" t="inlineStr">
        <is>
          <t>Гортензія волотиста Меджікел Везувіо PC18 C5</t>
        </is>
      </c>
      <c r="G1216" s="23" t="n">
        <v>575</v>
      </c>
      <c r="H1216" s="23" t="n">
        <v>420</v>
      </c>
      <c r="I1216" s="21" t="inlineStr">
        <is>
          <t>ID постачальника збігся, але назви різні</t>
        </is>
      </c>
    </row>
    <row r="1217">
      <c r="A1217" s="22" t="n">
        <v>32.7</v>
      </c>
      <c r="B1217" s="22" t="inlineStr">
        <is>
          <t>Клуб Рослин</t>
        </is>
      </c>
      <c r="C1217" s="22" t="inlineStr">
        <is>
          <t>7983</t>
        </is>
      </c>
      <c r="D1217" s="22" t="inlineStr">
        <is>
          <t>7983</t>
        </is>
      </c>
      <c r="E1217" s="21" t="inlineStr">
        <is>
          <t>Добриво Леда Гель Старт / Leda Gel Start 10-40-20+ТЕ 500 мл Велика Британія</t>
        </is>
      </c>
      <c r="F1217" s="21" t="inlineStr">
        <is>
          <t>Липа американська (чорна) K G / o18-20 / Pa175</t>
        </is>
      </c>
      <c r="G1217" s="23" t="n">
        <v>394</v>
      </c>
      <c r="H1217" s="23" t="n">
        <v>6000</v>
      </c>
      <c r="I1217" s="21" t="inlineStr">
        <is>
          <t>ID постачальника збігся, але назви різні</t>
        </is>
      </c>
    </row>
    <row r="1218">
      <c r="A1218" s="22" t="n">
        <v>32.7</v>
      </c>
      <c r="B1218" s="22" t="inlineStr">
        <is>
          <t>Клуб Рослин</t>
        </is>
      </c>
      <c r="C1218" s="22" t="inlineStr">
        <is>
          <t>2138</t>
        </is>
      </c>
      <c r="D1218" s="22" t="inlineStr">
        <is>
          <t>2138</t>
        </is>
      </c>
      <c r="E1218" s="21" t="inlineStr">
        <is>
          <t>Інсектицид Октант ВРГ 500 г Defenda Китай</t>
        </is>
      </c>
      <c r="F1218" s="21" t="inlineStr">
        <is>
          <t>Гортензія великолисткова Меджікал Аллегретто ® 1gr PC22 C10</t>
        </is>
      </c>
      <c r="G1218" s="23" t="n">
        <v>325</v>
      </c>
      <c r="H1218" s="23" t="n">
        <v>720</v>
      </c>
      <c r="I1218" s="21" t="inlineStr">
        <is>
          <t>ID постачальника збігся, але назви різні</t>
        </is>
      </c>
    </row>
    <row r="1219">
      <c r="A1219" s="22" t="n">
        <v>32.6</v>
      </c>
      <c r="B1219" s="22" t="inlineStr">
        <is>
          <t>Клуб Рослин</t>
        </is>
      </c>
      <c r="C1219" s="22" t="inlineStr">
        <is>
          <t>8152</t>
        </is>
      </c>
      <c r="D1219" s="22" t="inlineStr">
        <is>
          <t>8152</t>
        </is>
      </c>
      <c r="E1219" s="21" t="inlineStr">
        <is>
          <t>Укорінювач НеоКор / NeoCore 20 л Neova Фінляндія</t>
        </is>
      </c>
      <c r="F1219" s="21" t="inlineStr">
        <is>
          <t>Виноград культурний Тімур (столовий) NN GK</t>
        </is>
      </c>
      <c r="G1219" s="23" t="n">
        <v>8394</v>
      </c>
      <c r="H1219" s="23" t="n">
        <v>60</v>
      </c>
      <c r="I1219" s="21" t="inlineStr">
        <is>
          <t>ID постачальника збігся, але різні бренди</t>
        </is>
      </c>
    </row>
    <row r="1220">
      <c r="A1220" s="22" t="n">
        <v>32.6</v>
      </c>
      <c r="B1220" s="22" t="inlineStr">
        <is>
          <t>Клуб Рослин</t>
        </is>
      </c>
      <c r="C1220" s="22" t="inlineStr">
        <is>
          <t>3023</t>
        </is>
      </c>
      <c r="D1220" s="22" t="inlineStr">
        <is>
          <t>3023</t>
        </is>
      </c>
      <c r="E1220" s="21" t="inlineStr">
        <is>
          <t>Фунгіцид Луна Сенсейшн 1 л Bayer Байєр Німеччина</t>
        </is>
      </c>
      <c r="F1220" s="21" t="inlineStr">
        <is>
          <t>Ялівець середній Мордіган Голд PC12 C5 / H20-30</t>
        </is>
      </c>
      <c r="G1220" s="23" t="n">
        <v>7648</v>
      </c>
      <c r="H1220" s="23" t="n">
        <v>170</v>
      </c>
      <c r="I1220" s="21" t="inlineStr">
        <is>
          <t>ID постачальника збігся, але назви різні</t>
        </is>
      </c>
    </row>
    <row r="1221">
      <c r="A1221" s="22" t="n">
        <v>32.6</v>
      </c>
      <c r="B1221" s="22" t="inlineStr">
        <is>
          <t>Клуб Рослин</t>
        </is>
      </c>
      <c r="C1221" s="22" t="inlineStr">
        <is>
          <t>7178</t>
        </is>
      </c>
      <c r="D1221" s="22" t="inlineStr">
        <is>
          <t>7178</t>
        </is>
      </c>
      <c r="E1221" s="21" t="inlineStr">
        <is>
          <t>Добриво Нутрівант Дріп 11-8-35+3CaO 25 кг ICL Ізраїль</t>
        </is>
      </c>
      <c r="F1221" s="21" t="inlineStr">
        <is>
          <t>Троянда гібридний(а) Глорія Дей SP G</t>
        </is>
      </c>
      <c r="G1221" s="23" t="n">
        <v>3975</v>
      </c>
      <c r="H1221" s="23" t="n">
        <v>44</v>
      </c>
      <c r="I1221" s="21" t="inlineStr">
        <is>
          <t>ID постачальника збігся, але різні бренди</t>
        </is>
      </c>
    </row>
    <row r="1222">
      <c r="A1222" s="22" t="n">
        <v>32.6</v>
      </c>
      <c r="B1222" s="22" t="inlineStr">
        <is>
          <t>Клуб Рослин</t>
        </is>
      </c>
      <c r="C1222" s="22" t="inlineStr">
        <is>
          <t>1050</t>
        </is>
      </c>
      <c r="D1222" s="22" t="inlineStr">
        <is>
          <t>1050</t>
        </is>
      </c>
      <c r="E1222" s="21" t="inlineStr">
        <is>
          <t>Гербіцид Грінфорт ІГ 480 20 л Green Fort</t>
        </is>
      </c>
      <c r="F1222" s="21" t="inlineStr">
        <is>
          <t>Береза плакуча (ий) Мультиштамб K20 C290 / H300-400 / o20-25</t>
        </is>
      </c>
      <c r="G1222" s="23" t="n">
        <v>2998</v>
      </c>
      <c r="H1222" s="23" t="n">
        <v>9936</v>
      </c>
      <c r="I1222" s="21" t="inlineStr">
        <is>
          <t>ID постачальника збігся, але назви різні</t>
        </is>
      </c>
    </row>
    <row r="1223">
      <c r="A1223" s="22" t="n">
        <v>32.6</v>
      </c>
      <c r="B1223" s="22" t="inlineStr">
        <is>
          <t>Клуб Рослин</t>
        </is>
      </c>
      <c r="C1223" s="22" t="inlineStr">
        <is>
          <t>3207</t>
        </is>
      </c>
      <c r="D1223" s="22" t="inlineStr">
        <is>
          <t>3207</t>
        </is>
      </c>
      <c r="E1223" s="21" t="inlineStr">
        <is>
          <t>Біофунгіцид Бесткур РК 1 л SumiAgro Сумі Агро Японія</t>
        </is>
      </c>
      <c r="F1223" s="21" t="inlineStr">
        <is>
          <t>Лілія ОТ-гібридна Пурпл Леді 12\14</t>
        </is>
      </c>
      <c r="G1223" s="23" t="n">
        <v>2288</v>
      </c>
      <c r="H1223" s="23" t="n">
        <v>50</v>
      </c>
      <c r="I1223" s="21" t="inlineStr">
        <is>
          <t>ID постачальника збігся, але назви різні</t>
        </is>
      </c>
    </row>
    <row r="1224">
      <c r="A1224" s="22" t="n">
        <v>32.6</v>
      </c>
      <c r="B1224" s="22" t="inlineStr">
        <is>
          <t>Клуб Рослин</t>
        </is>
      </c>
      <c r="C1224" s="22" t="inlineStr">
        <is>
          <t>9002</t>
        </is>
      </c>
      <c r="D1224" s="22" t="inlineStr">
        <is>
          <t>9002</t>
        </is>
      </c>
      <c r="E1224" s="21" t="inlineStr">
        <is>
          <t>Прилипач Сільвет Голд ПАР 1 л Arysta Аріста</t>
        </is>
      </c>
      <c r="F1224" s="21" t="inlineStr">
        <is>
          <t>Мармурова крихта Dias White Klviv, фр. 5-10мм, 10кг</t>
        </is>
      </c>
      <c r="G1224" s="23" t="n">
        <v>1998</v>
      </c>
      <c r="H1224" s="23" t="n">
        <v>223.9</v>
      </c>
      <c r="I1224" s="21" t="inlineStr">
        <is>
          <t>ID постачальника збігся, але різні об'єми або розміри</t>
        </is>
      </c>
    </row>
    <row r="1225">
      <c r="A1225" s="22" t="n">
        <v>32.6</v>
      </c>
      <c r="B1225" s="22" t="inlineStr">
        <is>
          <t>Клуб Рослин</t>
        </is>
      </c>
      <c r="C1225" s="22" t="inlineStr">
        <is>
          <t>3420</t>
        </is>
      </c>
      <c r="D1225" s="22" t="inlineStr">
        <is>
          <t>3420</t>
        </is>
      </c>
      <c r="E1225" s="21" t="inlineStr">
        <is>
          <t>Фунгіцид Блу Бордо Дисперс 5 кг UPL Франція</t>
        </is>
      </c>
      <c r="F1225" s="21" t="inlineStr">
        <is>
          <t>Магнолія Лебнера Леонард Мессел Extra C25 / H125-150</t>
        </is>
      </c>
      <c r="G1225" s="23" t="n">
        <v>1898</v>
      </c>
      <c r="H1225" s="23" t="n">
        <v>2595</v>
      </c>
      <c r="I1225" s="21" t="inlineStr">
        <is>
          <t>ID постачальника збігся, але різні бренди</t>
        </is>
      </c>
    </row>
    <row r="1226">
      <c r="A1226" s="22" t="n">
        <v>32.6</v>
      </c>
      <c r="B1226" s="22" t="inlineStr">
        <is>
          <t>Клуб Рослин</t>
        </is>
      </c>
      <c r="C1226" s="22" t="inlineStr">
        <is>
          <t>1231</t>
        </is>
      </c>
      <c r="D1226" s="22" t="inlineStr">
        <is>
          <t>1231</t>
        </is>
      </c>
      <c r="E1226" s="21" t="inlineStr">
        <is>
          <t>Гербіцид Майтус 500 г Нертус Угорщина</t>
        </is>
      </c>
      <c r="F1226" s="21" t="inlineStr">
        <is>
          <t>Катальпа бігнонієвидна Нана Штамб C18 / o10-12 / Pa200</t>
        </is>
      </c>
      <c r="G1226" s="23" t="n">
        <v>1800</v>
      </c>
      <c r="H1226" s="23" t="n">
        <v>2050</v>
      </c>
      <c r="I1226" s="21" t="inlineStr">
        <is>
          <t>ID постачальника збігся, але назви різні</t>
        </is>
      </c>
    </row>
    <row r="1227">
      <c r="A1227" s="22" t="n">
        <v>32.6</v>
      </c>
      <c r="B1227" s="22" t="inlineStr">
        <is>
          <t>Клуб Рослин</t>
        </is>
      </c>
      <c r="C1227" s="22" t="inlineStr">
        <is>
          <t>3371</t>
        </is>
      </c>
      <c r="D1227" s="22" t="inlineStr">
        <is>
          <t>3371</t>
        </is>
      </c>
      <c r="E1227" s="21" t="inlineStr">
        <is>
          <t>Біостимулятор Некі / Nequi 1 л Bioera Іспанія</t>
        </is>
      </c>
      <c r="F1227" s="21" t="inlineStr">
        <is>
          <t>Магнолія гібридний(а) Гелексі C180 / H100-150 / L200-250</t>
        </is>
      </c>
      <c r="G1227" s="23" t="n">
        <v>1664</v>
      </c>
      <c r="H1227" s="23" t="n">
        <v>22356</v>
      </c>
      <c r="I1227" s="21" t="inlineStr">
        <is>
          <t>ID постачальника збігся, але назви різні</t>
        </is>
      </c>
    </row>
    <row r="1228">
      <c r="A1228" s="22" t="n">
        <v>32.6</v>
      </c>
      <c r="B1228" s="22" t="inlineStr">
        <is>
          <t>Клуб Рослин</t>
        </is>
      </c>
      <c r="C1228" s="22" t="inlineStr">
        <is>
          <t>2145</t>
        </is>
      </c>
      <c r="D1228" s="22" t="inlineStr">
        <is>
          <t>2145</t>
        </is>
      </c>
      <c r="E1228" s="21" t="inlineStr">
        <is>
          <t>Інсектицид Дихлор БТ 5 л Океан Інвест</t>
        </is>
      </c>
      <c r="F1228" s="21" t="inlineStr">
        <is>
          <t>Гортензія великолисткова Меджікал Блю Беллс ® 2gr PC21 C5</t>
        </is>
      </c>
      <c r="G1228" s="23" t="n">
        <v>1600</v>
      </c>
      <c r="H1228" s="23" t="n">
        <v>660</v>
      </c>
      <c r="I1228" s="21" t="inlineStr">
        <is>
          <t>ID постачальника збігся, але назви різні</t>
        </is>
      </c>
    </row>
    <row r="1229">
      <c r="A1229" s="22" t="n">
        <v>32.6</v>
      </c>
      <c r="B1229" s="22" t="inlineStr">
        <is>
          <t>Клуб Рослин</t>
        </is>
      </c>
      <c r="C1229" s="22" t="inlineStr">
        <is>
          <t>1180</t>
        </is>
      </c>
      <c r="D1229" s="22" t="inlineStr">
        <is>
          <t>1180</t>
        </is>
      </c>
      <c r="E1229" s="21" t="inlineStr">
        <is>
          <t>Десикант Дикват 10 л Хімагромаркетинг Україна</t>
        </is>
      </c>
      <c r="F1229" s="21" t="inlineStr">
        <is>
          <t>Кампсіс укорінливий Трампет Вайн C12 / o8-10 / Pa100</t>
        </is>
      </c>
      <c r="G1229" s="23" t="n">
        <v>1475</v>
      </c>
      <c r="H1229" s="23" t="n">
        <v>970</v>
      </c>
      <c r="I1229" s="21" t="inlineStr">
        <is>
          <t>ID постачальника збігся, але назви різні</t>
        </is>
      </c>
    </row>
    <row r="1230">
      <c r="A1230" s="22" t="n">
        <v>32.6</v>
      </c>
      <c r="B1230" s="22" t="inlineStr">
        <is>
          <t>Клуб Рослин</t>
        </is>
      </c>
      <c r="C1230" s="22" t="inlineStr">
        <is>
          <t>3238</t>
        </is>
      </c>
      <c r="D1230" s="22" t="inlineStr">
        <is>
          <t>3238</t>
        </is>
      </c>
      <c r="E1230" s="21" t="inlineStr">
        <is>
          <t>Фунгіцид Циделі Топ 140 DC КД 500 мл (розлив) Syngenta Сингента Швейцарія</t>
        </is>
      </c>
      <c r="F1230" s="21" t="inlineStr">
        <is>
          <t>Ліквідамбар (Амброве дерево) смолоносний Воплесдон Штамб C15 / Pa150</t>
        </is>
      </c>
      <c r="G1230" s="23" t="n">
        <v>1298</v>
      </c>
      <c r="H1230" s="23" t="n">
        <v>2484</v>
      </c>
      <c r="I1230" s="21" t="inlineStr">
        <is>
          <t>ID постачальника збігся, але назви різні</t>
        </is>
      </c>
    </row>
    <row r="1231">
      <c r="A1231" s="22" t="n">
        <v>32.6</v>
      </c>
      <c r="B1231" s="22" t="inlineStr">
        <is>
          <t>Клуб Рослин</t>
        </is>
      </c>
      <c r="C1231" s="22" t="inlineStr">
        <is>
          <t>9039</t>
        </is>
      </c>
      <c r="D1231" s="22" t="inlineStr">
        <is>
          <t>9039</t>
        </is>
      </c>
      <c r="E1231" s="21" t="inlineStr">
        <is>
          <t>Регулятор кислотності (рН-коректор) Extra Aqua Soft / Екстра Аква Софт 1 л Легіон Україна</t>
        </is>
      </c>
      <c r="F1231" s="21" t="inlineStr">
        <is>
          <t>Держак Bellota М1-1200 SB.B для мотик (1200 мм)</t>
        </is>
      </c>
      <c r="G1231" s="23" t="n">
        <v>598</v>
      </c>
      <c r="H1231" s="23" t="n">
        <v>313</v>
      </c>
      <c r="I1231" s="21" t="inlineStr">
        <is>
          <t>ID постачальника збігся, але різні об'єми або розміри</t>
        </is>
      </c>
    </row>
    <row r="1232">
      <c r="A1232" s="22" t="n">
        <v>32.6</v>
      </c>
      <c r="B1232" s="22" t="inlineStr">
        <is>
          <t>Клуб Рослин</t>
        </is>
      </c>
      <c r="C1232" s="22" t="inlineStr">
        <is>
          <t>7919</t>
        </is>
      </c>
      <c r="D1232" s="22" t="inlineStr">
        <is>
          <t>7919</t>
        </is>
      </c>
      <c r="E1232" s="21" t="inlineStr">
        <is>
          <t>Добриво Ікар Елайз (Сірка) / Ikar Elais 0.5 л Литва</t>
        </is>
      </c>
      <c r="F1232" s="21" t="inlineStr">
        <is>
          <t>Туя західна (ий) Смарагд Спіраль C60 / H150</t>
        </is>
      </c>
      <c r="G1232" s="23" t="n">
        <v>357</v>
      </c>
      <c r="H1232" s="23" t="n">
        <v>3623</v>
      </c>
      <c r="I1232" s="21" t="inlineStr">
        <is>
          <t>ID постачальника збігся, але назви різні</t>
        </is>
      </c>
    </row>
    <row r="1233">
      <c r="A1233" s="22" t="n">
        <v>32.6</v>
      </c>
      <c r="B1233" s="22" t="inlineStr">
        <is>
          <t>Клуб Рослин</t>
        </is>
      </c>
      <c r="C1233" s="22" t="inlineStr">
        <is>
          <t>8066</t>
        </is>
      </c>
      <c r="D1233" s="22" t="inlineStr">
        <is>
          <t>8066</t>
        </is>
      </c>
      <c r="E1233" s="21" t="inlineStr">
        <is>
          <t>Добриво Молібор / Molibor 500 г Meristem Мерістем Іспанія</t>
        </is>
      </c>
      <c r="F1233" s="21" t="inlineStr">
        <is>
          <t>Тюльпан бахромастий Блек Джевел 11\12</t>
        </is>
      </c>
      <c r="G1233" s="23" t="n"/>
      <c r="H1233" s="23" t="n">
        <v>10</v>
      </c>
      <c r="I1233" s="21" t="inlineStr">
        <is>
          <t>ID постачальника збігся, але назви різні</t>
        </is>
      </c>
    </row>
    <row r="1234">
      <c r="A1234" s="22" t="n">
        <v>32.5</v>
      </c>
      <c r="B1234" s="22" t="inlineStr">
        <is>
          <t>Клуб Рослин</t>
        </is>
      </c>
      <c r="C1234" s="22" t="inlineStr">
        <is>
          <t>3116</t>
        </is>
      </c>
      <c r="D1234" s="22" t="inlineStr">
        <is>
          <t>3116</t>
        </is>
      </c>
      <c r="E1234" s="21" t="inlineStr">
        <is>
          <t>Фунгіцид Фалькон 5 л Bayer Байєр Німеччина</t>
        </is>
      </c>
      <c r="F1234" s="21" t="inlineStr">
        <is>
          <t>Лаванда вузьколиста Хідкот Блю PC17 C2</t>
        </is>
      </c>
      <c r="G1234" s="23" t="n">
        <v>6548</v>
      </c>
      <c r="H1234" s="23" t="n">
        <v>131</v>
      </c>
      <c r="I1234" s="21" t="inlineStr">
        <is>
          <t>ID постачальника збігся, але назви різні</t>
        </is>
      </c>
    </row>
    <row r="1235">
      <c r="A1235" s="22" t="n">
        <v>32.5</v>
      </c>
      <c r="B1235" s="22" t="inlineStr">
        <is>
          <t>Клуб Рослин</t>
        </is>
      </c>
      <c r="C1235" s="22" t="inlineStr">
        <is>
          <t>5025</t>
        </is>
      </c>
      <c r="D1235" s="22" t="inlineStr">
        <is>
          <t>5025</t>
        </is>
      </c>
      <c r="E1235" s="21" t="inlineStr">
        <is>
          <t>Протруйник Максим XL 035 FS 1 л (розлив) Syngenta Сингента Швейцарія</t>
        </is>
      </c>
      <c r="F1235" s="21" t="inlineStr">
        <is>
          <t>Сосна густоквіткова Умбракуліфера PC21 C180 / H80-100 / L80-100</t>
        </is>
      </c>
      <c r="G1235" s="23" t="n">
        <v>1872</v>
      </c>
      <c r="H1235" s="23" t="n">
        <v>7452</v>
      </c>
      <c r="I1235" s="21" t="inlineStr">
        <is>
          <t>ID постачальника збігся, але назви різні</t>
        </is>
      </c>
    </row>
    <row r="1236">
      <c r="A1236" s="22" t="n">
        <v>32.5</v>
      </c>
      <c r="B1236" s="22" t="inlineStr">
        <is>
          <t>Клуб Рослин</t>
        </is>
      </c>
      <c r="C1236" s="22" t="inlineStr">
        <is>
          <t>7719</t>
        </is>
      </c>
      <c r="D1236" s="22" t="inlineStr">
        <is>
          <t>7719</t>
        </is>
      </c>
      <c r="E1236" s="21" t="inlineStr">
        <is>
          <t>Біоукорінювач Кеміра 1 л Organic Planet Україна</t>
        </is>
      </c>
      <c r="F1236" s="21" t="inlineStr">
        <is>
          <t>Туя західна (ий) Ерікоідес G / H80-100</t>
        </is>
      </c>
      <c r="G1236" s="23" t="n">
        <v>798</v>
      </c>
      <c r="H1236" s="23" t="n">
        <v>420</v>
      </c>
      <c r="I1236" s="21" t="inlineStr">
        <is>
          <t>ID постачальника збігся, але назви різні</t>
        </is>
      </c>
    </row>
    <row r="1237">
      <c r="A1237" s="22" t="n">
        <v>32.5</v>
      </c>
      <c r="B1237" s="22" t="inlineStr">
        <is>
          <t>Клуб Рослин</t>
        </is>
      </c>
      <c r="C1237" s="22" t="inlineStr">
        <is>
          <t>7581</t>
        </is>
      </c>
      <c r="D1237" s="22" t="inlineStr">
        <is>
          <t>7581</t>
        </is>
      </c>
      <c r="E1237" s="21" t="inlineStr">
        <is>
          <t>Біодеструктор Комплезім К 1 кг Enzim Biotech Agro / Ензим Біотех Агро Україна</t>
        </is>
      </c>
      <c r="F1237" s="21" t="inlineStr">
        <is>
          <t>Тис ягідний (а) Топіар, Складна Фігура C130 / H200-250</t>
        </is>
      </c>
      <c r="G1237" s="23" t="n">
        <v>525</v>
      </c>
      <c r="H1237" s="23" t="n">
        <v>57960</v>
      </c>
      <c r="I1237" s="21" t="inlineStr">
        <is>
          <t>ID постачальника збігся, але назви різні</t>
        </is>
      </c>
    </row>
    <row r="1238">
      <c r="A1238" s="22" t="n">
        <v>32.5</v>
      </c>
      <c r="B1238" s="22" t="inlineStr">
        <is>
          <t>Клуб Рослин</t>
        </is>
      </c>
      <c r="C1238" s="22" t="inlineStr">
        <is>
          <t>7840</t>
        </is>
      </c>
      <c r="D1238" s="22" t="inlineStr">
        <is>
          <t>7840</t>
        </is>
      </c>
      <c r="E1238" s="21" t="inlineStr">
        <is>
          <t>Інокулянт Біонорма Азот 1 л BioNorma Україна</t>
        </is>
      </c>
      <c r="F1238" s="21" t="inlineStr">
        <is>
          <t>Туя західна (ий) Смарагд K19 C35 / H60-80</t>
        </is>
      </c>
      <c r="G1238" s="23" t="n"/>
      <c r="H1238" s="23" t="n">
        <v>300</v>
      </c>
      <c r="I1238" s="21" t="inlineStr">
        <is>
          <t>ID постачальника збігся, але назви різні</t>
        </is>
      </c>
    </row>
    <row r="1239">
      <c r="A1239" s="22" t="n">
        <v>32.4</v>
      </c>
      <c r="B1239" s="22" t="inlineStr">
        <is>
          <t>Клуб Рослин</t>
        </is>
      </c>
      <c r="C1239" s="22" t="inlineStr">
        <is>
          <t>7201</t>
        </is>
      </c>
      <c r="D1239" s="22" t="inlineStr">
        <is>
          <t>7201</t>
        </is>
      </c>
      <c r="E1239" s="21" t="inlineStr">
        <is>
          <t>Регулятор росту антистресант Гуміфілд ВР-18 20 л Humin Tech Німеччина</t>
        </is>
      </c>
      <c r="F1239" s="21" t="inlineStr">
        <is>
          <t>Троянда гібридний(а) Пінк Інтуішн SP G</t>
        </is>
      </c>
      <c r="G1239" s="23" t="n">
        <v>9398</v>
      </c>
      <c r="H1239" s="23" t="n">
        <v>44</v>
      </c>
      <c r="I1239" s="21" t="inlineStr">
        <is>
          <t>ID постачальника збігся, але різні бренди</t>
        </is>
      </c>
    </row>
    <row r="1240">
      <c r="A1240" s="22" t="n">
        <v>32.4</v>
      </c>
      <c r="B1240" s="22" t="inlineStr">
        <is>
          <t>Клуб Рослин</t>
        </is>
      </c>
      <c r="C1240" s="22" t="inlineStr">
        <is>
          <t>5048</t>
        </is>
      </c>
      <c r="D1240" s="22" t="inlineStr">
        <is>
          <t>5048</t>
        </is>
      </c>
      <c r="E1240" s="21" t="inlineStr">
        <is>
          <t>Протруйник Канонір Ультра 5 л Агрохімічні Технології Україна</t>
        </is>
      </c>
      <c r="F1240" s="21" t="inlineStr">
        <is>
          <t>Сосна гнучка Ван дер Волфс Пірамід C7,5 / H60-80</t>
        </is>
      </c>
      <c r="G1240" s="23" t="n">
        <v>4998</v>
      </c>
      <c r="H1240" s="23" t="n">
        <v>1230</v>
      </c>
      <c r="I1240" s="21" t="inlineStr">
        <is>
          <t>ID постачальника збігся, але назви різні</t>
        </is>
      </c>
    </row>
    <row r="1241">
      <c r="A1241" s="22" t="n">
        <v>32.4</v>
      </c>
      <c r="B1241" s="22" t="inlineStr">
        <is>
          <t>Клуб Рослин</t>
        </is>
      </c>
      <c r="C1241" s="22" t="inlineStr">
        <is>
          <t>3220</t>
        </is>
      </c>
      <c r="D1241" s="22" t="inlineStr">
        <is>
          <t>3220</t>
        </is>
      </c>
      <c r="E1241" s="21" t="inlineStr">
        <is>
          <t>Фунгіцид Тілт Турбо 575 ЕС КЕ 5 л Syngenta Сінгента Швейцарія</t>
        </is>
      </c>
      <c r="F1241" s="21" t="inlineStr">
        <is>
          <t>Ліквідамбар (Амброве дерево) смолоносний C35 / H175-200</t>
        </is>
      </c>
      <c r="G1241" s="23" t="n">
        <v>3998</v>
      </c>
      <c r="H1241" s="23" t="n">
        <v>1906</v>
      </c>
      <c r="I1241" s="21" t="inlineStr">
        <is>
          <t>ID постачальника збігся, але назви різні</t>
        </is>
      </c>
    </row>
    <row r="1242">
      <c r="A1242" s="22" t="n">
        <v>32.4</v>
      </c>
      <c r="B1242" s="22" t="inlineStr">
        <is>
          <t>Клуб Рослин</t>
        </is>
      </c>
      <c r="C1242" s="22" t="inlineStr">
        <is>
          <t>2212</t>
        </is>
      </c>
      <c r="D1242" s="22" t="inlineStr">
        <is>
          <t>2212</t>
        </is>
      </c>
      <c r="E1242" s="21" t="inlineStr">
        <is>
          <t>Інсектицид Святогор 5 л Presence / Презенс</t>
        </is>
      </c>
      <c r="F1242" s="21" t="inlineStr">
        <is>
          <t>Гортензія волотиста Грандіфлора C5</t>
        </is>
      </c>
      <c r="G1242" s="23" t="n">
        <v>1825</v>
      </c>
      <c r="H1242" s="23" t="n">
        <v>302</v>
      </c>
      <c r="I1242" s="21" t="inlineStr">
        <is>
          <t>ID постачальника збігся, але назви різні</t>
        </is>
      </c>
    </row>
    <row r="1243">
      <c r="A1243" s="22" t="n">
        <v>32.4</v>
      </c>
      <c r="B1243" s="22" t="inlineStr">
        <is>
          <t>Клуб Рослин</t>
        </is>
      </c>
      <c r="C1243" s="22" t="inlineStr">
        <is>
          <t>9006</t>
        </is>
      </c>
      <c r="D1243" s="22" t="inlineStr">
        <is>
          <t>9006</t>
        </is>
      </c>
      <c r="E1243" s="21" t="inlineStr">
        <is>
          <t>Ад'ювант Адюмакс 1 л Enzim Biotech Agro / Ензим Біотех Агро Україна</t>
        </is>
      </c>
      <c r="F1243" s="21" t="inlineStr">
        <is>
          <t>Декоративний паркан Eko-Palisada 17 см, 1 м (сірий)</t>
        </is>
      </c>
      <c r="G1243" s="23" t="n">
        <v>1348</v>
      </c>
      <c r="H1243" s="23" t="n">
        <v>220</v>
      </c>
      <c r="I1243" s="21" t="inlineStr">
        <is>
          <t>ID постачальника збігся, але різні об'єми або розміри</t>
        </is>
      </c>
    </row>
    <row r="1244">
      <c r="A1244" s="22" t="n">
        <v>32.4</v>
      </c>
      <c r="B1244" s="22" t="inlineStr">
        <is>
          <t>Клуб Рослин</t>
        </is>
      </c>
      <c r="C1244" s="22" t="inlineStr">
        <is>
          <t>3168</t>
        </is>
      </c>
      <c r="D1244" s="22" t="inlineStr">
        <is>
          <t>3168</t>
        </is>
      </c>
      <c r="E1244" s="21" t="inlineStr">
        <is>
          <t>Фунгіцид Рінкоцеб 1 кг Нертус Угорщина</t>
        </is>
      </c>
      <c r="F1244" s="21" t="inlineStr">
        <is>
          <t>Лілія ЛОО-гібридна Полар 16\18</t>
        </is>
      </c>
      <c r="G1244" s="23" t="n">
        <v>572</v>
      </c>
      <c r="H1244" s="23" t="n">
        <v>50</v>
      </c>
      <c r="I1244" s="21" t="inlineStr">
        <is>
          <t>ID постачальника збігся, але назви різні</t>
        </is>
      </c>
    </row>
    <row r="1245">
      <c r="A1245" s="22" t="n">
        <v>32.4</v>
      </c>
      <c r="B1245" s="22" t="inlineStr">
        <is>
          <t>Клуб Рослин</t>
        </is>
      </c>
      <c r="C1245" s="22" t="inlineStr">
        <is>
          <t>5047</t>
        </is>
      </c>
      <c r="D1245" s="22" t="inlineStr">
        <is>
          <t>5047</t>
        </is>
      </c>
      <c r="E1245" s="21" t="inlineStr">
        <is>
          <t>Протруйник Максим 025 FS 100 мл Syngenta Сингента Швейцарія</t>
        </is>
      </c>
      <c r="F1245" s="21" t="inlineStr">
        <is>
          <t>Сосна гнучка Ван дер Волфс Пірамід C45 / H100-120</t>
        </is>
      </c>
      <c r="G1245" s="23" t="n">
        <v>200</v>
      </c>
      <c r="H1245" s="23" t="n">
        <v>4.8</v>
      </c>
      <c r="I1245" s="21" t="inlineStr">
        <is>
          <t>ID постачальника збігся, але назви різні</t>
        </is>
      </c>
    </row>
    <row r="1246">
      <c r="A1246" s="22" t="n">
        <v>32.3</v>
      </c>
      <c r="B1246" s="22" t="inlineStr">
        <is>
          <t>Клуб Рослин</t>
        </is>
      </c>
      <c r="C1246" s="22" t="inlineStr">
        <is>
          <t>2282</t>
        </is>
      </c>
      <c r="D1246" s="22" t="inlineStr">
        <is>
          <t>2282</t>
        </is>
      </c>
      <c r="E1246" s="21" t="inlineStr">
        <is>
          <t>Інсектицид Спірос 5 л Green Express / Грін Експрес</t>
        </is>
      </c>
      <c r="F1246" s="21" t="inlineStr">
        <is>
          <t>Гортензія волотиста Межджікал Кендл PC22 C7,5</t>
        </is>
      </c>
      <c r="G1246" s="23" t="n">
        <v>9998</v>
      </c>
      <c r="H1246" s="23" t="n">
        <v>420</v>
      </c>
      <c r="I1246" s="21" t="inlineStr">
        <is>
          <t>ID постачальника збігся, але назви різні</t>
        </is>
      </c>
    </row>
    <row r="1247">
      <c r="A1247" s="22" t="n">
        <v>32.3</v>
      </c>
      <c r="B1247" s="22" t="inlineStr">
        <is>
          <t>Клуб Рослин</t>
        </is>
      </c>
      <c r="C1247" s="22" t="inlineStr">
        <is>
          <t>2344</t>
        </is>
      </c>
      <c r="D1247" s="22" t="inlineStr">
        <is>
          <t>2344</t>
        </is>
      </c>
      <c r="E1247" s="21" t="inlineStr">
        <is>
          <t>Інсектицид Scelta / Скельта 1 л Agri Sciences Туреччина</t>
        </is>
      </c>
      <c r="F1247" s="21" t="inlineStr">
        <is>
          <t>Гортензія волотиста Фантом PC21 C3 / H25-30</t>
        </is>
      </c>
      <c r="G1247" s="23" t="n">
        <v>8748</v>
      </c>
      <c r="H1247" s="23" t="n">
        <v>240</v>
      </c>
      <c r="I1247" s="21" t="inlineStr">
        <is>
          <t>ID постачальника збігся, але назви різні</t>
        </is>
      </c>
    </row>
    <row r="1248">
      <c r="A1248" s="22" t="n">
        <v>32.3</v>
      </c>
      <c r="B1248" s="22" t="inlineStr">
        <is>
          <t>Клуб Рослин</t>
        </is>
      </c>
      <c r="C1248" s="22" t="inlineStr">
        <is>
          <t>2269</t>
        </is>
      </c>
      <c r="D1248" s="22" t="inlineStr">
        <is>
          <t>2269</t>
        </is>
      </c>
      <c r="E1248" s="21" t="inlineStr">
        <is>
          <t>Інсектицид Дікарзол / Dicarzol 50 SP 1 кг Gowan Італія</t>
        </is>
      </c>
      <c r="F1248" s="21" t="inlineStr">
        <is>
          <t>Гортензія волотиста Меджікал Андс PC21 C3 / H20-40</t>
        </is>
      </c>
      <c r="G1248" s="23" t="n">
        <v>8448</v>
      </c>
      <c r="H1248" s="23" t="n">
        <v>240</v>
      </c>
      <c r="I1248" s="21" t="inlineStr">
        <is>
          <t>ID постачальника збігся, але назви різні</t>
        </is>
      </c>
    </row>
    <row r="1249">
      <c r="A1249" s="22" t="n">
        <v>32.3</v>
      </c>
      <c r="B1249" s="22" t="inlineStr">
        <is>
          <t>Клуб Рослин</t>
        </is>
      </c>
      <c r="C1249" s="22" t="inlineStr">
        <is>
          <t>1077</t>
        </is>
      </c>
      <c r="D1249" s="22" t="inlineStr">
        <is>
          <t>1077</t>
        </is>
      </c>
      <c r="E1249" s="21" t="inlineStr">
        <is>
          <t>Гербіцид Дуал Голд 960 EC КЕ 5 л Syngenta Сингента Швейцарія</t>
        </is>
      </c>
      <c r="F1249" s="21" t="inlineStr">
        <is>
          <t>Будлея Давіда Адоніс Блю PC14 C10</t>
        </is>
      </c>
      <c r="G1249" s="23" t="n">
        <v>3375</v>
      </c>
      <c r="H1249" s="23" t="n">
        <v>205</v>
      </c>
      <c r="I1249" s="21" t="inlineStr">
        <is>
          <t>ID постачальника збігся, але назви різні</t>
        </is>
      </c>
    </row>
    <row r="1250">
      <c r="A1250" s="22" t="n">
        <v>32.3</v>
      </c>
      <c r="B1250" s="22" t="inlineStr">
        <is>
          <t>Клуб Рослин</t>
        </is>
      </c>
      <c r="C1250" s="22" t="inlineStr">
        <is>
          <t>3055</t>
        </is>
      </c>
      <c r="D1250" s="22" t="inlineStr">
        <is>
          <t>3055</t>
        </is>
      </c>
      <c r="E1250" s="21" t="inlineStr">
        <is>
          <t>Фунгіцид Белліс 1 кг Basf Басф Німеччина</t>
        </is>
      </c>
      <c r="F1250" s="21" t="inlineStr">
        <is>
          <t>Ялівець середній Пфітзеріана Ауреа Бонсай C80 / H100-120</t>
        </is>
      </c>
      <c r="G1250" s="23" t="n">
        <v>3248</v>
      </c>
      <c r="H1250" s="23" t="n">
        <v>16560</v>
      </c>
      <c r="I1250" s="21" t="inlineStr">
        <is>
          <t>ID постачальника збігся, але назви різні</t>
        </is>
      </c>
    </row>
    <row r="1251">
      <c r="A1251" s="22" t="n">
        <v>32.3</v>
      </c>
      <c r="B1251" s="22" t="inlineStr">
        <is>
          <t>Клуб Рослин</t>
        </is>
      </c>
      <c r="C1251" s="22" t="inlineStr">
        <is>
          <t>7946</t>
        </is>
      </c>
      <c r="D1251" s="22" t="inlineStr">
        <is>
          <t>7946</t>
        </is>
      </c>
      <c r="E1251" s="21" t="inlineStr">
        <is>
          <t>Регулятор росту рослин Герамід-Неу / Geramid-Neu 1 л L.Gobbi Італія</t>
        </is>
      </c>
      <c r="F1251" s="21" t="inlineStr">
        <is>
          <t>Туя західна (ий) Єллоу Ріббон PC13 C3</t>
        </is>
      </c>
      <c r="G1251" s="23" t="n">
        <v>2702</v>
      </c>
      <c r="H1251" s="23" t="n">
        <v>90</v>
      </c>
      <c r="I1251" s="21" t="inlineStr">
        <is>
          <t>ID постачальника збігся, але назви різні</t>
        </is>
      </c>
    </row>
    <row r="1252">
      <c r="A1252" s="22" t="n">
        <v>32.3</v>
      </c>
      <c r="B1252" s="22" t="inlineStr">
        <is>
          <t>Клуб Рослин</t>
        </is>
      </c>
      <c r="C1252" s="22" t="inlineStr">
        <is>
          <t>7461</t>
        </is>
      </c>
      <c r="D1252" s="22" t="inlineStr">
        <is>
          <t>7461</t>
        </is>
      </c>
      <c r="E1252" s="21" t="inlineStr">
        <is>
          <t>Добриво GroGreen NPK 3-10-40+TE 10 кг Lima Бельгія</t>
        </is>
      </c>
      <c r="F1252" s="21" t="inlineStr">
        <is>
          <t>Тис ягідний (а) Куля на Штамбі C140 / L60-80 / Pa200</t>
        </is>
      </c>
      <c r="G1252" s="23" t="n">
        <v>2085</v>
      </c>
      <c r="H1252" s="23" t="n">
        <v>16800</v>
      </c>
      <c r="I1252" s="21" t="inlineStr">
        <is>
          <t>ID постачальника збігся, але назви різні</t>
        </is>
      </c>
    </row>
    <row r="1253">
      <c r="A1253" s="22" t="n">
        <v>32.3</v>
      </c>
      <c r="B1253" s="22" t="inlineStr">
        <is>
          <t>Клуб Рослин</t>
        </is>
      </c>
      <c r="C1253" s="22" t="inlineStr">
        <is>
          <t>7276</t>
        </is>
      </c>
      <c r="D1253" s="22" t="inlineStr">
        <is>
          <t>7276</t>
        </is>
      </c>
      <c r="E1253" s="21" t="inlineStr">
        <is>
          <t>Регулятор росту Регаліс Плюс 250 г (розсип) Basf Басф Німеччина</t>
        </is>
      </c>
      <c r="F1253" s="21" t="inlineStr">
        <is>
          <t>Троянда перська Лукінг фор Лав ® PC21 C3</t>
        </is>
      </c>
      <c r="G1253" s="23" t="n">
        <v>1250</v>
      </c>
      <c r="H1253" s="23" t="n">
        <v>232</v>
      </c>
      <c r="I1253" s="21" t="inlineStr">
        <is>
          <t>ID постачальника збігся, але назви різні</t>
        </is>
      </c>
    </row>
    <row r="1254">
      <c r="A1254" s="22" t="n">
        <v>32.3</v>
      </c>
      <c r="B1254" s="22" t="inlineStr">
        <is>
          <t>Клуб Рослин</t>
        </is>
      </c>
      <c r="C1254" s="22" t="inlineStr">
        <is>
          <t>7648</t>
        </is>
      </c>
      <c r="D1254" s="22" t="inlineStr">
        <is>
          <t>7648</t>
        </is>
      </c>
      <c r="E1254" s="21" t="inlineStr">
        <is>
          <t>Регулятор росту Авангард Гроу Аміно 5 л Ukravit Україна</t>
        </is>
      </c>
      <c r="F1254" s="21" t="inlineStr">
        <is>
          <t>Туя (Платікладус) східна Ауреа Нана C7,5 / H40-50</t>
        </is>
      </c>
      <c r="G1254" s="23" t="n">
        <v>1098</v>
      </c>
      <c r="H1254" s="23" t="n">
        <v>1085</v>
      </c>
      <c r="I1254" s="21" t="inlineStr">
        <is>
          <t>ID постачальника збігся, але назви різні</t>
        </is>
      </c>
    </row>
    <row r="1255">
      <c r="A1255" s="22" t="n">
        <v>32.3</v>
      </c>
      <c r="B1255" s="22" t="inlineStr">
        <is>
          <t>Клуб Рослин</t>
        </is>
      </c>
      <c r="C1255" s="22" t="inlineStr">
        <is>
          <t>3349</t>
        </is>
      </c>
      <c r="D1255" s="22" t="inlineStr">
        <is>
          <t>3349</t>
        </is>
      </c>
      <c r="E1255" s="21" t="inlineStr">
        <is>
          <t>Фунгіцид Арія 1 л Зерива / Zeryva Україна</t>
        </is>
      </c>
      <c r="F1255" s="21" t="inlineStr">
        <is>
          <t>Магнолія Хані Туліп C20</t>
        </is>
      </c>
      <c r="G1255" s="23" t="n">
        <v>900</v>
      </c>
      <c r="H1255" s="23" t="n">
        <v>4140</v>
      </c>
      <c r="I1255" s="21" t="inlineStr">
        <is>
          <t>ID постачальника збігся, але назви різні</t>
        </is>
      </c>
    </row>
    <row r="1256">
      <c r="A1256" s="22" t="n">
        <v>32.3</v>
      </c>
      <c r="B1256" s="22" t="inlineStr">
        <is>
          <t>Клуб Рослин</t>
        </is>
      </c>
      <c r="C1256" s="22" t="inlineStr">
        <is>
          <t>5021</t>
        </is>
      </c>
      <c r="D1256" s="22" t="inlineStr">
        <is>
          <t>5021</t>
        </is>
      </c>
      <c r="E1256" s="21" t="inlineStr">
        <is>
          <t>Протруйник Бімакс Bimax 1 л Хімагромаркетинг Україна</t>
        </is>
      </c>
      <c r="F1256" s="21" t="inlineStr">
        <is>
          <t>Сосна густоквіткова Умбракуліфера K20 G / H100-120</t>
        </is>
      </c>
      <c r="G1256" s="23" t="n">
        <v>765</v>
      </c>
      <c r="H1256" s="23" t="n">
        <v>2400</v>
      </c>
      <c r="I1256" s="21" t="inlineStr">
        <is>
          <t>ID постачальника збігся, але різні об'єми або розміри</t>
        </is>
      </c>
    </row>
    <row r="1257">
      <c r="A1257" s="22" t="n">
        <v>32.3</v>
      </c>
      <c r="B1257" s="22" t="inlineStr">
        <is>
          <t>Клуб Рослин</t>
        </is>
      </c>
      <c r="C1257" s="22" t="inlineStr">
        <is>
          <t>3239</t>
        </is>
      </c>
      <c r="D1257" s="22" t="inlineStr">
        <is>
          <t>3239</t>
        </is>
      </c>
      <c r="E1257" s="21" t="inlineStr">
        <is>
          <t>Фунгіцид Діналі 90 DC КД 250 мл (розлив) Syngenta Сингента Швейцарія</t>
        </is>
      </c>
      <c r="F1257" s="21" t="inlineStr">
        <is>
          <t>Ліквідамбар (Амброве дерево) смолоносний Воплесдон Штамб C35 / Pa150</t>
        </is>
      </c>
      <c r="G1257" s="23" t="n">
        <v>624</v>
      </c>
      <c r="H1257" s="23" t="n">
        <v>6000</v>
      </c>
      <c r="I1257" s="21" t="inlineStr">
        <is>
          <t>ID постачальника збігся, але назви різні</t>
        </is>
      </c>
    </row>
    <row r="1258">
      <c r="A1258" s="22" t="n">
        <v>32.3</v>
      </c>
      <c r="B1258" s="22" t="inlineStr">
        <is>
          <t>Клуб Рослин</t>
        </is>
      </c>
      <c r="C1258" s="22" t="inlineStr">
        <is>
          <t>7081</t>
        </is>
      </c>
      <c r="D1258" s="22" t="inlineStr">
        <is>
          <t>7081</t>
        </is>
      </c>
      <c r="E1258" s="21" t="inlineStr">
        <is>
          <t>Біостимулятор Віва Viva 1 л Syngenta (Valagro) Італія</t>
        </is>
      </c>
      <c r="F1258" s="21" t="inlineStr">
        <is>
          <t>Троянда плетиста Бентрі Бей Штамб GK / Pa100</t>
        </is>
      </c>
      <c r="G1258" s="23" t="n">
        <v>565</v>
      </c>
      <c r="H1258" s="23" t="n">
        <v>420</v>
      </c>
      <c r="I1258" s="21" t="inlineStr">
        <is>
          <t>ID постачальника збігся, але різні бренди</t>
        </is>
      </c>
    </row>
    <row r="1259">
      <c r="A1259" s="22" t="n">
        <v>32.3</v>
      </c>
      <c r="B1259" s="22" t="inlineStr">
        <is>
          <t>Клуб Рослин</t>
        </is>
      </c>
      <c r="C1259" s="22" t="inlineStr">
        <is>
          <t>7582</t>
        </is>
      </c>
      <c r="D1259" s="22" t="inlineStr">
        <is>
          <t>7582</t>
        </is>
      </c>
      <c r="E1259" s="21" t="inlineStr">
        <is>
          <t>Біодеструктор Комплезім К 500 г Enzim Biotech Agro / Ензим Біотех Агро Україна</t>
        </is>
      </c>
      <c r="F1259" s="21" t="inlineStr">
        <is>
          <t>Тис ягідний (а) Топіар, Складна Фігура C130 / H225-250</t>
        </is>
      </c>
      <c r="G1259" s="23" t="n">
        <v>275</v>
      </c>
      <c r="H1259" s="23" t="n">
        <v>41400</v>
      </c>
      <c r="I1259" s="21" t="inlineStr">
        <is>
          <t>ID постачальника збігся, але назви різні</t>
        </is>
      </c>
    </row>
    <row r="1260">
      <c r="A1260" s="22" t="n">
        <v>32.3</v>
      </c>
      <c r="B1260" s="22" t="inlineStr">
        <is>
          <t>Клуб Рослин</t>
        </is>
      </c>
      <c r="C1260" s="22" t="inlineStr">
        <is>
          <t>3203</t>
        </is>
      </c>
      <c r="D1260" s="22" t="inlineStr">
        <is>
          <t>3203</t>
        </is>
      </c>
      <c r="E1260" s="21" t="inlineStr">
        <is>
          <t>Фунгіцид Пенкоцеб ЗП 200 г SumiAgro Самміт Агро Японія</t>
        </is>
      </c>
      <c r="F1260" s="21" t="inlineStr">
        <is>
          <t>Лілія ОТ-гібридна Лейксайд Білавд 12\14</t>
        </is>
      </c>
      <c r="G1260" s="23" t="n">
        <v>156</v>
      </c>
      <c r="H1260" s="23" t="n">
        <v>50</v>
      </c>
      <c r="I1260" s="21" t="inlineStr">
        <is>
          <t>ID постачальника збігся, але назви різні</t>
        </is>
      </c>
    </row>
    <row r="1261">
      <c r="A1261" s="22" t="n">
        <v>32.3</v>
      </c>
      <c r="B1261" s="22" t="inlineStr">
        <is>
          <t>Клуб Рослин</t>
        </is>
      </c>
      <c r="C1261" s="22" t="inlineStr">
        <is>
          <t>2168</t>
        </is>
      </c>
      <c r="D1261" s="22" t="inlineStr">
        <is>
          <t>2168</t>
        </is>
      </c>
      <c r="E1261" s="21" t="inlineStr">
        <is>
          <t>Інсектицид Логус 1 л Alfa Smart Agro Альфа Смарт Агро Україна</t>
        </is>
      </c>
      <c r="F1261" s="21" t="inlineStr">
        <is>
          <t>Гортензія великолисткова Меджікал Пінк Рубі ® 1gr PC22 C7,5 / H25-30</t>
        </is>
      </c>
      <c r="G1261" s="23" t="n"/>
      <c r="H1261" s="23" t="n">
        <v>840</v>
      </c>
      <c r="I1261" s="21" t="inlineStr">
        <is>
          <t>ID постачальника збігся, але назви різні</t>
        </is>
      </c>
    </row>
    <row r="1262">
      <c r="A1262" s="22" t="n">
        <v>32.2</v>
      </c>
      <c r="B1262" s="22" t="inlineStr">
        <is>
          <t>Клуб Рослин</t>
        </is>
      </c>
      <c r="C1262" s="22" t="inlineStr">
        <is>
          <t>3270</t>
        </is>
      </c>
      <c r="D1262" s="22" t="inlineStr">
        <is>
          <t>3270</t>
        </is>
      </c>
      <c r="E1262" s="21" t="inlineStr">
        <is>
          <t>Фунгіцид Дезарал Екстра 20 л Ukravit Укравіт Україна</t>
        </is>
      </c>
      <c r="F1262" s="21" t="inlineStr">
        <is>
          <t>Жимолость камчатська (голуба) Дует C2</t>
        </is>
      </c>
      <c r="G1262" s="23" t="n">
        <v>7300</v>
      </c>
      <c r="H1262" s="23" t="n">
        <v>145</v>
      </c>
      <c r="I1262" s="21" t="inlineStr">
        <is>
          <t>ID постачальника збігся, але назви різні</t>
        </is>
      </c>
    </row>
    <row r="1263">
      <c r="A1263" s="22" t="n">
        <v>32.2</v>
      </c>
      <c r="B1263" s="22" t="inlineStr">
        <is>
          <t>Клуб Рослин</t>
        </is>
      </c>
      <c r="C1263" s="22" t="inlineStr">
        <is>
          <t>1001</t>
        </is>
      </c>
      <c r="D1263" s="22" t="inlineStr">
        <is>
          <t>1001</t>
        </is>
      </c>
      <c r="E1263" s="21" t="inlineStr">
        <is>
          <t>Гербіцид Раундап Макс 20 л Monsanto Монсанто Бельгія</t>
        </is>
      </c>
      <c r="F1263" s="21" t="inlineStr">
        <is>
          <t>Барбарис Тунберга Роуз Глоу PC13 C3</t>
        </is>
      </c>
      <c r="G1263" s="23" t="n">
        <v>6998</v>
      </c>
      <c r="H1263" s="23" t="n">
        <v>120</v>
      </c>
      <c r="I1263" s="21" t="inlineStr">
        <is>
          <t>ID постачальника збігся, але назви різні</t>
        </is>
      </c>
    </row>
    <row r="1264">
      <c r="A1264" s="22" t="n">
        <v>32.2</v>
      </c>
      <c r="B1264" s="22" t="inlineStr">
        <is>
          <t>Клуб Рослин</t>
        </is>
      </c>
      <c r="C1264" s="22" t="inlineStr">
        <is>
          <t>7455</t>
        </is>
      </c>
      <c r="D1264" s="22" t="inlineStr">
        <is>
          <t>7455</t>
        </is>
      </c>
      <c r="E1264" s="21" t="inlineStr">
        <is>
          <t>Добриво GroGreen NPK 14-6-28+6СаО+TE 25 кг Lima Бельгія</t>
        </is>
      </c>
      <c r="F1264" s="21" t="inlineStr">
        <is>
          <t>Тис ягідний (а) Куля Extra C45 / H40-45</t>
        </is>
      </c>
      <c r="G1264" s="23" t="n">
        <v>5224</v>
      </c>
      <c r="H1264" s="23" t="n">
        <v>4155</v>
      </c>
      <c r="I1264" s="21" t="inlineStr">
        <is>
          <t>ID постачальника збігся, але різні бренди</t>
        </is>
      </c>
    </row>
    <row r="1265">
      <c r="A1265" s="22" t="n">
        <v>32.2</v>
      </c>
      <c r="B1265" s="22" t="inlineStr">
        <is>
          <t>Клуб Рослин</t>
        </is>
      </c>
      <c r="C1265" s="22" t="inlineStr">
        <is>
          <t>1029</t>
        </is>
      </c>
      <c r="D1265" s="22" t="inlineStr">
        <is>
          <t>1029</t>
        </is>
      </c>
      <c r="E1265" s="21" t="inlineStr">
        <is>
          <t>Десикант Макс 20 л Ukravit Укравіт Україна</t>
        </is>
      </c>
      <c r="F1265" s="21" t="inlineStr">
        <is>
          <t>Барбарис Тунберга Саммер Сансет ® PC22 C5 / H30-35</t>
        </is>
      </c>
      <c r="G1265" s="23" t="n">
        <v>4898</v>
      </c>
      <c r="H1265" s="23" t="n">
        <v>290</v>
      </c>
      <c r="I1265" s="21" t="inlineStr">
        <is>
          <t>ID постачальника збігся, але назви різні</t>
        </is>
      </c>
    </row>
    <row r="1266">
      <c r="A1266" s="22" t="n">
        <v>32.2</v>
      </c>
      <c r="B1266" s="22" t="inlineStr">
        <is>
          <t>Клуб Рослин</t>
        </is>
      </c>
      <c r="C1266" s="22" t="inlineStr">
        <is>
          <t>5033</t>
        </is>
      </c>
      <c r="D1266" s="22" t="inlineStr">
        <is>
          <t>5033</t>
        </is>
      </c>
      <c r="E1266" s="21" t="inlineStr">
        <is>
          <t>Протруйник Ультрасил Дуо 5 л Ukravit Укравіт Україна</t>
        </is>
      </c>
      <c r="F1266" s="21" t="inlineStr">
        <is>
          <t>Сосна гнучка Пігмея Extra C25 / H60-70</t>
        </is>
      </c>
      <c r="G1266" s="23" t="n">
        <v>3536</v>
      </c>
      <c r="H1266" s="23" t="n">
        <v>3809</v>
      </c>
      <c r="I1266" s="21" t="inlineStr">
        <is>
          <t>ID постачальника збігся, але різні бренди</t>
        </is>
      </c>
    </row>
    <row r="1267">
      <c r="A1267" s="22" t="n">
        <v>32.2</v>
      </c>
      <c r="B1267" s="22" t="inlineStr">
        <is>
          <t>Клуб Рослин</t>
        </is>
      </c>
      <c r="C1267" s="22" t="inlineStr">
        <is>
          <t>7751</t>
        </is>
      </c>
      <c r="D1267" s="22" t="inlineStr">
        <is>
          <t>7751</t>
        </is>
      </c>
      <c r="E1267" s="21" t="inlineStr">
        <is>
          <t>Добриво Текнокель Аміно Залізо / Tecnokel Amino Fe 5 л AgriTecno Іспанія</t>
        </is>
      </c>
      <c r="F1267" s="21" t="inlineStr">
        <is>
          <t>Туя західна (ий) Литл Чемпіон PC21 C12 / H45-50 / L30-35</t>
        </is>
      </c>
      <c r="G1267" s="23" t="n">
        <v>1875</v>
      </c>
      <c r="H1267" s="23" t="n">
        <v>480</v>
      </c>
      <c r="I1267" s="21" t="inlineStr">
        <is>
          <t>ID постачальника збігся, але назви різні</t>
        </is>
      </c>
    </row>
    <row r="1268">
      <c r="A1268" s="22" t="n">
        <v>32.2</v>
      </c>
      <c r="B1268" s="22" t="inlineStr">
        <is>
          <t>Клуб Рослин</t>
        </is>
      </c>
      <c r="C1268" s="22" t="inlineStr">
        <is>
          <t>2189</t>
        </is>
      </c>
      <c r="D1268" s="22" t="inlineStr">
        <is>
          <t>2189</t>
        </is>
      </c>
      <c r="E1268" s="21" t="inlineStr">
        <is>
          <t>Інсектицид Актоцид 5 л Кіссон Україна</t>
        </is>
      </c>
      <c r="F1268" s="21" t="inlineStr">
        <is>
          <t>Гортензія великолисткова Вайт Делайт PC20 C5 / H35-40</t>
        </is>
      </c>
      <c r="G1268" s="23" t="n">
        <v>1872</v>
      </c>
      <c r="H1268" s="23" t="n">
        <v>504</v>
      </c>
      <c r="I1268" s="21" t="inlineStr">
        <is>
          <t>ID постачальника збігся, але назви різні</t>
        </is>
      </c>
    </row>
    <row r="1269">
      <c r="A1269" s="22" t="n">
        <v>32.2</v>
      </c>
      <c r="B1269" s="22" t="inlineStr">
        <is>
          <t>Клуб Рослин</t>
        </is>
      </c>
      <c r="C1269" s="22" t="inlineStr">
        <is>
          <t>5019</t>
        </is>
      </c>
      <c r="D1269" s="22" t="inlineStr">
        <is>
          <t>5019</t>
        </is>
      </c>
      <c r="E1269" s="21" t="inlineStr">
        <is>
          <t>Протруйник Магнум Дуо 1 л Bingo Україна</t>
        </is>
      </c>
      <c r="F1269" s="21" t="inlineStr">
        <is>
          <t>Сосна густоквіткова Умбракуліфера K20 C65 / H80-100</t>
        </is>
      </c>
      <c r="G1269" s="23" t="n">
        <v>998</v>
      </c>
      <c r="H1269" s="23" t="n">
        <v>4637</v>
      </c>
      <c r="I1269" s="21" t="inlineStr">
        <is>
          <t>ID постачальника збігся, але назви різні</t>
        </is>
      </c>
    </row>
    <row r="1270">
      <c r="A1270" s="22" t="n">
        <v>32.2</v>
      </c>
      <c r="B1270" s="22" t="inlineStr">
        <is>
          <t>Клуб Рослин</t>
        </is>
      </c>
      <c r="C1270" s="22" t="inlineStr">
        <is>
          <t>7762</t>
        </is>
      </c>
      <c r="D1270" s="22" t="inlineStr">
        <is>
          <t>7762</t>
        </is>
      </c>
      <c r="E1270" s="21" t="inlineStr">
        <is>
          <t>Добриво Ікар Корал (Кальцій) / Ikar Koral 1 л Литва</t>
        </is>
      </c>
      <c r="F1270" s="21" t="inlineStr">
        <is>
          <t>Туя західна (ий) Литл Джаінт PC19 C5 / H25-30</t>
        </is>
      </c>
      <c r="G1270" s="23" t="n">
        <v>475</v>
      </c>
      <c r="H1270" s="23" t="n">
        <v>384</v>
      </c>
      <c r="I1270" s="21" t="inlineStr">
        <is>
          <t>ID постачальника збігся, але назви різні</t>
        </is>
      </c>
    </row>
    <row r="1271">
      <c r="A1271" s="22" t="n">
        <v>32.2</v>
      </c>
      <c r="B1271" s="22" t="inlineStr">
        <is>
          <t>Клуб Рослин</t>
        </is>
      </c>
      <c r="C1271" s="22" t="inlineStr">
        <is>
          <t>7083</t>
        </is>
      </c>
      <c r="D1271" s="22" t="inlineStr">
        <is>
          <t>7083</t>
        </is>
      </c>
      <c r="E1271" s="21" t="inlineStr">
        <is>
          <t>Мікродобриво Бороплюс Boroplus 1 л Syngenta (Valagro) Італія</t>
        </is>
      </c>
      <c r="F1271" s="21" t="inlineStr">
        <is>
          <t>Троянда плетиста Блю Мун DP G</t>
        </is>
      </c>
      <c r="G1271" s="23" t="n">
        <v>475</v>
      </c>
      <c r="H1271" s="23" t="n">
        <v>60</v>
      </c>
      <c r="I1271" s="21" t="inlineStr">
        <is>
          <t>ID постачальника збігся, але різні бренди</t>
        </is>
      </c>
    </row>
    <row r="1272">
      <c r="A1272" s="22" t="n">
        <v>32.2</v>
      </c>
      <c r="B1272" s="22" t="inlineStr">
        <is>
          <t>Клуб Рослин</t>
        </is>
      </c>
      <c r="C1272" s="22" t="inlineStr">
        <is>
          <t>3302</t>
        </is>
      </c>
      <c r="D1272" s="22" t="inlineStr">
        <is>
          <t>3302</t>
        </is>
      </c>
      <c r="E1272" s="21" t="inlineStr">
        <is>
          <t>Фунгіцид Віоліс 500 мл Ukravit Укравіт Україна</t>
        </is>
      </c>
      <c r="F1272" s="21" t="inlineStr">
        <is>
          <t>Жимолость приморська (плетиста) Серотіна C5</t>
        </is>
      </c>
      <c r="G1272" s="23" t="n">
        <v>298</v>
      </c>
      <c r="H1272" s="23" t="n">
        <v>415</v>
      </c>
      <c r="I1272" s="21" t="inlineStr">
        <is>
          <t>ID постачальника збігся, але назви різні</t>
        </is>
      </c>
    </row>
    <row r="1273">
      <c r="A1273" s="22" t="n">
        <v>32.1</v>
      </c>
      <c r="B1273" s="22" t="inlineStr">
        <is>
          <t>Клуб Рослин</t>
        </is>
      </c>
      <c r="C1273" s="22" t="inlineStr">
        <is>
          <t>7322</t>
        </is>
      </c>
      <c r="D1273" s="22" t="inlineStr">
        <is>
          <t>7322</t>
        </is>
      </c>
      <c r="E1273" s="21" t="inlineStr">
        <is>
          <t>Добриво Кафом Магній / Kafom Mg 20 л Meristem Мерістем Іспанія</t>
        </is>
      </c>
      <c r="F1273" s="21" t="inlineStr">
        <is>
          <t>Горобина тюрингська Фастігіата Woodenbox 700 / H200-225</t>
        </is>
      </c>
      <c r="G1273" s="23" t="n">
        <v>15475</v>
      </c>
      <c r="H1273" s="23" t="n">
        <v>7590</v>
      </c>
      <c r="I1273" s="21" t="inlineStr">
        <is>
          <t>ID постачальника збігся, але різні бренди</t>
        </is>
      </c>
    </row>
    <row r="1274">
      <c r="A1274" s="22" t="n">
        <v>32.1</v>
      </c>
      <c r="B1274" s="22" t="inlineStr">
        <is>
          <t>Клуб Рослин</t>
        </is>
      </c>
      <c r="C1274" s="22" t="inlineStr">
        <is>
          <t>7646</t>
        </is>
      </c>
      <c r="D1274" s="22" t="inlineStr">
        <is>
          <t>7646</t>
        </is>
      </c>
      <c r="E1274" s="21" t="inlineStr">
        <is>
          <t>Укорінювач Ризапон AA 0.2% Tablets 200 шт Rhizopon B.V. Нідерланди</t>
        </is>
      </c>
      <c r="F1274" s="21" t="inlineStr">
        <is>
          <t>Туя (Платікладус) східна Ауреа Нана C2 / H25-30</t>
        </is>
      </c>
      <c r="G1274" s="23" t="n">
        <v>9538</v>
      </c>
      <c r="H1274" s="23" t="n">
        <v>185</v>
      </c>
      <c r="I1274" s="21" t="inlineStr">
        <is>
          <t>ID постачальника збігся, але назви різні</t>
        </is>
      </c>
    </row>
    <row r="1275">
      <c r="A1275" s="22" t="n">
        <v>32.1</v>
      </c>
      <c r="B1275" s="22" t="inlineStr">
        <is>
          <t>Клуб Рослин</t>
        </is>
      </c>
      <c r="C1275" s="22" t="inlineStr">
        <is>
          <t>2052</t>
        </is>
      </c>
      <c r="D1275" s="22" t="inlineStr">
        <is>
          <t>2052</t>
        </is>
      </c>
      <c r="E1275" s="21" t="inlineStr">
        <is>
          <t>Інсектицид Белт 1 л Байєр Bayer Німеччина</t>
        </is>
      </c>
      <c r="F1275" s="21" t="inlineStr">
        <is>
          <t>Гібіскус сірійський Пінк Джаінт C4 / H40-60</t>
        </is>
      </c>
      <c r="G1275" s="23" t="n">
        <v>6498</v>
      </c>
      <c r="H1275" s="23" t="n">
        <v>195</v>
      </c>
      <c r="I1275" s="21" t="inlineStr">
        <is>
          <t>ID постачальника збігся, але назви різні</t>
        </is>
      </c>
    </row>
    <row r="1276">
      <c r="A1276" s="22" t="n">
        <v>32.1</v>
      </c>
      <c r="B1276" s="22" t="inlineStr">
        <is>
          <t>Клуб Рослин</t>
        </is>
      </c>
      <c r="C1276" s="22" t="inlineStr">
        <is>
          <t>7074</t>
        </is>
      </c>
      <c r="D1276" s="22" t="inlineStr">
        <is>
          <t>7074</t>
        </is>
      </c>
      <c r="E1276" s="21" t="inlineStr">
        <is>
          <t>Регулятор кислотності Control DMP Контроль ДМП 10 л Valagro Валагро Італія</t>
        </is>
      </c>
      <c r="F1276" s="21" t="inlineStr">
        <is>
          <t>Акація псевдоакація Умбракуліфера Штамб C35 / o8-10 / Pa180-200</t>
        </is>
      </c>
      <c r="G1276" s="23" t="n">
        <v>6198</v>
      </c>
      <c r="H1276" s="23" t="n">
        <v>4140</v>
      </c>
      <c r="I1276" s="21" t="inlineStr">
        <is>
          <t>ID постачальника збігся, але назви різні</t>
        </is>
      </c>
    </row>
    <row r="1277">
      <c r="A1277" s="22" t="n">
        <v>32.1</v>
      </c>
      <c r="B1277" s="22" t="inlineStr">
        <is>
          <t>Клуб Рослин</t>
        </is>
      </c>
      <c r="C1277" s="22" t="inlineStr">
        <is>
          <t>2087</t>
        </is>
      </c>
      <c r="D1277" s="22" t="inlineStr">
        <is>
          <t>2087</t>
        </is>
      </c>
      <c r="E1277" s="21" t="inlineStr">
        <is>
          <t>Інсектицид акарицид Вертимек 1 л Syngenta Сингента Швейцарія</t>
        </is>
      </c>
      <c r="F1277" s="21" t="inlineStr">
        <is>
          <t>Гіацинт Бродвей 15\16</t>
        </is>
      </c>
      <c r="G1277" s="23" t="n">
        <v>3650</v>
      </c>
      <c r="H1277" s="23" t="n">
        <v>25</v>
      </c>
      <c r="I1277" s="21" t="inlineStr">
        <is>
          <t>ID постачальника збігся, але назви різні</t>
        </is>
      </c>
    </row>
    <row r="1278">
      <c r="A1278" s="22" t="n">
        <v>32.1</v>
      </c>
      <c r="B1278" s="22" t="inlineStr">
        <is>
          <t>Клуб Рослин</t>
        </is>
      </c>
      <c r="C1278" s="22" t="inlineStr">
        <is>
          <t>3250</t>
        </is>
      </c>
      <c r="D1278" s="22" t="inlineStr">
        <is>
          <t>3250</t>
        </is>
      </c>
      <c r="E1278" s="21" t="inlineStr">
        <is>
          <t>Фунгіцид Болівар Форте 5 л Alfa Smart Agro Альфа Смарт Агро Україна</t>
        </is>
      </c>
      <c r="F1278" s="21" t="inlineStr">
        <is>
          <t>Ліріодендрон (Тюльпанове дерево) тюльпановий Фастігіатум G / H400-450 / o16-20</t>
        </is>
      </c>
      <c r="G1278" s="23" t="n">
        <v>3998</v>
      </c>
      <c r="H1278" s="23" t="n">
        <v>7220</v>
      </c>
      <c r="I1278" s="21" t="inlineStr">
        <is>
          <t>ID постачальника збігся, але назви різні</t>
        </is>
      </c>
    </row>
    <row r="1279">
      <c r="A1279" s="22" t="n">
        <v>32.1</v>
      </c>
      <c r="B1279" s="22" t="inlineStr">
        <is>
          <t>Клуб Рослин</t>
        </is>
      </c>
      <c r="C1279" s="22" t="inlineStr">
        <is>
          <t>7097</t>
        </is>
      </c>
      <c r="D1279" s="22" t="inlineStr">
        <is>
          <t>7097</t>
        </is>
      </c>
      <c r="E1279" s="21" t="inlineStr">
        <is>
          <t>Добриво Розасоль 18:18:18+МЕ 25 кг Rosier S A Бельгія</t>
        </is>
      </c>
      <c r="F1279" s="21" t="inlineStr">
        <is>
          <t>Троянда плетиста Голд Б'юті SP G</t>
        </is>
      </c>
      <c r="G1279" s="23" t="n">
        <v>3998</v>
      </c>
      <c r="H1279" s="23" t="n">
        <v>44</v>
      </c>
      <c r="I1279" s="21" t="inlineStr">
        <is>
          <t>ID постачальника збігся, але різні бренди</t>
        </is>
      </c>
    </row>
    <row r="1280">
      <c r="A1280" s="22" t="n">
        <v>32.1</v>
      </c>
      <c r="B1280" s="22" t="inlineStr">
        <is>
          <t>Клуб Рослин</t>
        </is>
      </c>
      <c r="C1280" s="22" t="inlineStr">
        <is>
          <t>8115</t>
        </is>
      </c>
      <c r="D1280" s="22" t="inlineStr">
        <is>
          <t>8115</t>
        </is>
      </c>
      <c r="E1280" s="21" t="inlineStr">
        <is>
          <t>Регулятор росту Ферті Ліф / Ferti Leaf 5 л Кіссон Україна</t>
        </is>
      </c>
      <c r="F1280" s="21" t="inlineStr">
        <is>
          <t>Чорниця висока (Голубика, Лохина) Mix (в асортименті) C2 / H30-40</t>
        </is>
      </c>
      <c r="G1280" s="23" t="n">
        <v>3137</v>
      </c>
      <c r="H1280" s="23" t="n">
        <v>240</v>
      </c>
      <c r="I1280" s="21" t="inlineStr">
        <is>
          <t>ID постачальника збігся, але різні бренди</t>
        </is>
      </c>
    </row>
    <row r="1281">
      <c r="A1281" s="22" t="n">
        <v>32.1</v>
      </c>
      <c r="B1281" s="22" t="inlineStr">
        <is>
          <t>Клуб Рослин</t>
        </is>
      </c>
      <c r="C1281" s="22" t="inlineStr">
        <is>
          <t>2252</t>
        </is>
      </c>
      <c r="D1281" s="22" t="inlineStr">
        <is>
          <t>2252</t>
        </is>
      </c>
      <c r="E1281" s="21" t="inlineStr">
        <is>
          <t>Інсектицид Дімілін 480 КС 1 л UPL / ЮПЛ</t>
        </is>
      </c>
      <c r="F1281" s="21" t="inlineStr">
        <is>
          <t>Гортензія волотиста Літтл Альф ® PC21 C3 / H20-30</t>
        </is>
      </c>
      <c r="G1281" s="23" t="n">
        <v>2148</v>
      </c>
      <c r="H1281" s="23" t="n">
        <v>240</v>
      </c>
      <c r="I1281" s="21" t="inlineStr">
        <is>
          <t>ID постачальника збігся, але назви різні</t>
        </is>
      </c>
    </row>
    <row r="1282">
      <c r="A1282" s="22" t="n">
        <v>32.1</v>
      </c>
      <c r="B1282" s="22" t="inlineStr">
        <is>
          <t>Клуб Рослин</t>
        </is>
      </c>
      <c r="C1282" s="22" t="inlineStr">
        <is>
          <t>2158</t>
        </is>
      </c>
      <c r="D1282" s="22" t="inlineStr">
        <is>
          <t>2158</t>
        </is>
      </c>
      <c r="E1282" s="21" t="inlineStr">
        <is>
          <t>Акарицид Піризокс 1 кг Агрохімічні технології Україна</t>
        </is>
      </c>
      <c r="F1282" s="21" t="inlineStr">
        <is>
          <t>Гортензія великолисткова Меджікал Крімсон ® 1gr PC20 C5 / H50-60</t>
        </is>
      </c>
      <c r="G1282" s="23" t="n">
        <v>2148</v>
      </c>
      <c r="H1282" s="23" t="n">
        <v>720</v>
      </c>
      <c r="I1282" s="21" t="inlineStr">
        <is>
          <t>ID постачальника збігся, але назви різні</t>
        </is>
      </c>
    </row>
    <row r="1283">
      <c r="A1283" s="22" t="n">
        <v>32.1</v>
      </c>
      <c r="B1283" s="22" t="inlineStr">
        <is>
          <t>Клуб Рослин</t>
        </is>
      </c>
      <c r="C1283" s="22" t="inlineStr">
        <is>
          <t>5.104</t>
        </is>
      </c>
      <c r="D1283" s="22" t="inlineStr">
        <is>
          <t>5104</t>
        </is>
      </c>
      <c r="E1283" s="21" t="inlineStr">
        <is>
          <t>Секатор із наковаленкою Льове / Lowe Original (5.104) Німеччина</t>
        </is>
      </c>
      <c r="F1283" s="21" t="inlineStr">
        <is>
          <t>Сосна білокора (Гельдрейха) Компакт Джем PC12 C15 / H30-50</t>
        </is>
      </c>
      <c r="G1283" s="23" t="n">
        <v>1900</v>
      </c>
      <c r="H1283" s="23" t="n">
        <v>720</v>
      </c>
      <c r="I1283" s="21" t="inlineStr">
        <is>
          <t>ID постачальника збігся, але назви різні</t>
        </is>
      </c>
    </row>
    <row r="1284">
      <c r="A1284" s="22" t="n">
        <v>32.1</v>
      </c>
      <c r="B1284" s="22" t="inlineStr">
        <is>
          <t>Клуб Рослин</t>
        </is>
      </c>
      <c r="C1284" s="22" t="inlineStr">
        <is>
          <t>3164</t>
        </is>
      </c>
      <c r="D1284" s="22" t="inlineStr">
        <is>
          <t>3164</t>
        </is>
      </c>
      <c r="E1284" s="21" t="inlineStr">
        <is>
          <t>Фунгіцид Джек Пот КЕ 1 л Ukravit Укравіт Україна</t>
        </is>
      </c>
      <c r="F1284" s="21" t="inlineStr">
        <is>
          <t>Лілія ЛА-гібридна Треббіано 12\14</t>
        </is>
      </c>
      <c r="G1284" s="23" t="n">
        <v>1348</v>
      </c>
      <c r="H1284" s="23" t="n">
        <v>50</v>
      </c>
      <c r="I1284" s="21" t="inlineStr">
        <is>
          <t>ID постачальника збігся, але назви різні</t>
        </is>
      </c>
    </row>
    <row r="1285">
      <c r="A1285" s="22" t="n">
        <v>32.1</v>
      </c>
      <c r="B1285" s="22" t="inlineStr">
        <is>
          <t>Клуб Рослин</t>
        </is>
      </c>
      <c r="C1285" s="22" t="inlineStr">
        <is>
          <t>7230</t>
        </is>
      </c>
      <c r="D1285" s="22" t="inlineStr">
        <is>
          <t>7230</t>
        </is>
      </c>
      <c r="E1285" s="21" t="inlineStr">
        <is>
          <t>Добриво Хелатин Зернобобові 10 л Кіссон Україна</t>
        </is>
      </c>
      <c r="F1285" s="21" t="inlineStr">
        <is>
          <t>Троянда Кордеса Сувенір де Баден Баден DP G</t>
        </is>
      </c>
      <c r="G1285" s="23" t="n">
        <v>1334</v>
      </c>
      <c r="H1285" s="23" t="n">
        <v>60</v>
      </c>
      <c r="I1285" s="21" t="inlineStr">
        <is>
          <t>ID постачальника збігся, але назви різні</t>
        </is>
      </c>
    </row>
    <row r="1286">
      <c r="A1286" s="22" t="n">
        <v>32.1</v>
      </c>
      <c r="B1286" s="22" t="inlineStr">
        <is>
          <t>Клуб Рослин</t>
        </is>
      </c>
      <c r="C1286" s="22" t="inlineStr">
        <is>
          <t>3183</t>
        </is>
      </c>
      <c r="D1286" s="22" t="inlineStr">
        <is>
          <t>3183</t>
        </is>
      </c>
      <c r="E1286" s="21" t="inlineStr">
        <is>
          <t>Фунгіцид Луна Кер 1 кг Bayer Байер Німеччина</t>
        </is>
      </c>
      <c r="F1286" s="21" t="inlineStr">
        <is>
          <t>Лілія тигрова Ауратум Голд Бенд 12\14</t>
        </is>
      </c>
      <c r="G1286" s="23" t="n">
        <v>1274</v>
      </c>
      <c r="H1286" s="23" t="n">
        <v>50</v>
      </c>
      <c r="I1286" s="21" t="inlineStr">
        <is>
          <t>ID постачальника збігся, але назви різні</t>
        </is>
      </c>
    </row>
    <row r="1287">
      <c r="A1287" s="22" t="n">
        <v>32.1</v>
      </c>
      <c r="B1287" s="22" t="inlineStr">
        <is>
          <t>Клуб Рослин</t>
        </is>
      </c>
      <c r="C1287" s="22" t="inlineStr">
        <is>
          <t>1266</t>
        </is>
      </c>
      <c r="D1287" s="22" t="inlineStr">
        <is>
          <t>1266</t>
        </is>
      </c>
      <c r="E1287" s="21" t="inlineStr">
        <is>
          <t>Гербіцид Сабер 250 г Нертус Угорщина</t>
        </is>
      </c>
      <c r="F1287" s="21" t="inlineStr">
        <is>
          <t>Кедр гімалайський Філін Блю C30 / L100-125 / Pa100</t>
        </is>
      </c>
      <c r="G1287" s="23" t="n">
        <v>1126</v>
      </c>
      <c r="H1287" s="23" t="n">
        <v>3465</v>
      </c>
      <c r="I1287" s="21" t="inlineStr">
        <is>
          <t>ID постачальника збігся, але назви різні</t>
        </is>
      </c>
    </row>
    <row r="1288">
      <c r="A1288" s="22" t="n">
        <v>32.1</v>
      </c>
      <c r="B1288" s="22" t="inlineStr">
        <is>
          <t>Клуб Рослин</t>
        </is>
      </c>
      <c r="C1288" s="22" t="inlineStr">
        <is>
          <t>7675</t>
        </is>
      </c>
      <c r="D1288" s="22" t="inlineStr">
        <is>
          <t>7675</t>
        </is>
      </c>
      <c r="E1288" s="21" t="inlineStr">
        <is>
          <t>Добриво Ікар Бор-Молібден / Ikar B + Mo (NB 7-17+0.7Mo) 1 л Литва</t>
        </is>
      </c>
      <c r="F1288" s="21" t="inlineStr">
        <is>
          <t>Туя західна (ий) Брабант K14 G / H120-140</t>
        </is>
      </c>
      <c r="G1288" s="23" t="n">
        <v>527</v>
      </c>
      <c r="H1288" s="23" t="n">
        <v>262</v>
      </c>
      <c r="I1288" s="21" t="inlineStr">
        <is>
          <t>ID постачальника збігся, але різні об'єми або розміри</t>
        </is>
      </c>
    </row>
    <row r="1289">
      <c r="A1289" s="22" t="n">
        <v>32.1</v>
      </c>
      <c r="B1289" s="22" t="inlineStr">
        <is>
          <t>Клуб Рослин</t>
        </is>
      </c>
      <c r="C1289" s="22" t="inlineStr">
        <is>
          <t>7016</t>
        </is>
      </c>
      <c r="D1289" s="22" t="inlineStr">
        <is>
          <t>7016</t>
        </is>
      </c>
      <c r="E1289" s="21" t="inlineStr">
        <is>
          <t>Добриво Мастер Master 13+40+13 1 кг Valagro Валагро Італія</t>
        </is>
      </c>
      <c r="F1289" s="21" t="inlineStr">
        <is>
          <t>Рододендрон гібридний Таурус C5 / H30-40</t>
        </is>
      </c>
      <c r="G1289" s="23" t="n">
        <v>398</v>
      </c>
      <c r="H1289" s="23" t="n">
        <v>540</v>
      </c>
      <c r="I1289" s="21" t="inlineStr">
        <is>
          <t>ID постачальника збігся, але назви різні</t>
        </is>
      </c>
    </row>
    <row r="1290">
      <c r="A1290" s="22" t="n">
        <v>32</v>
      </c>
      <c r="B1290" s="22" t="inlineStr">
        <is>
          <t>Клуб Рослин</t>
        </is>
      </c>
      <c r="C1290" s="22" t="inlineStr">
        <is>
          <t>7517</t>
        </is>
      </c>
      <c r="D1290" s="22" t="inlineStr">
        <is>
          <t>7517</t>
        </is>
      </c>
      <c r="E1290" s="21" t="inlineStr">
        <is>
          <t>Регулятор росту Моддус 250 EC КЕ 5 л Syngenta Сингента Швейцарія</t>
        </is>
      </c>
      <c r="F1290" s="21" t="inlineStr">
        <is>
          <t>Тис ягідний (а) Довастоніана Топіар, Складна Фігура C130 / H200-225</t>
        </is>
      </c>
      <c r="G1290" s="23" t="n">
        <v>9998</v>
      </c>
      <c r="H1290" s="23" t="n">
        <v>33120</v>
      </c>
      <c r="I1290" s="21" t="inlineStr">
        <is>
          <t>ID постачальника збігся, але назви різні</t>
        </is>
      </c>
    </row>
    <row r="1291">
      <c r="A1291" s="22" t="n">
        <v>32</v>
      </c>
      <c r="B1291" s="22" t="inlineStr">
        <is>
          <t>Клуб Рослин</t>
        </is>
      </c>
      <c r="C1291" s="22" t="inlineStr">
        <is>
          <t>7446</t>
        </is>
      </c>
      <c r="D1291" s="22" t="inlineStr">
        <is>
          <t>7446</t>
        </is>
      </c>
      <c r="E1291" s="21" t="inlineStr">
        <is>
          <t>Добриво GroGreen NPK 10-52-10+TE 25 кг Lima Бельгія</t>
        </is>
      </c>
      <c r="F1291" s="21" t="inlineStr">
        <is>
          <t>Тис ягідний (а) Куля C15 / L50</t>
        </is>
      </c>
      <c r="G1291" s="23" t="n">
        <v>5605</v>
      </c>
      <c r="H1291" s="23" t="n">
        <v>1320</v>
      </c>
      <c r="I1291" s="21" t="inlineStr">
        <is>
          <t>ID постачальника збігся, але назви різні</t>
        </is>
      </c>
    </row>
    <row r="1292">
      <c r="A1292" s="22" t="n">
        <v>32</v>
      </c>
      <c r="B1292" s="22" t="inlineStr">
        <is>
          <t>Клуб Рослин</t>
        </is>
      </c>
      <c r="C1292" s="22" t="inlineStr">
        <is>
          <t>7526</t>
        </is>
      </c>
      <c r="D1292" s="22" t="inlineStr">
        <is>
          <t>7526</t>
        </is>
      </c>
      <c r="E1292" s="21" t="inlineStr">
        <is>
          <t>Добриво GroGreen Грінта Сола NPK 14-10-26 + 3MgO + 1% FULVK + TE 25 кг Lima Бельгія</t>
        </is>
      </c>
      <c r="F1292" s="21" t="inlineStr">
        <is>
          <t>Тис ягідний (а) Японський стиль Woodenbox 500 / H180-200</t>
        </is>
      </c>
      <c r="G1292" s="23" t="n">
        <v>4525</v>
      </c>
      <c r="H1292" s="23" t="n">
        <v>662400</v>
      </c>
      <c r="I1292" s="21" t="inlineStr">
        <is>
          <t>ID постачальника збігся, але різні бренди</t>
        </is>
      </c>
    </row>
    <row r="1293">
      <c r="A1293" s="22" t="n">
        <v>32</v>
      </c>
      <c r="B1293" s="22" t="inlineStr">
        <is>
          <t>Клуб Рослин</t>
        </is>
      </c>
      <c r="C1293" s="22" t="inlineStr">
        <is>
          <t>8114</t>
        </is>
      </c>
      <c r="D1293" s="22" t="inlineStr">
        <is>
          <t>8114</t>
        </is>
      </c>
      <c r="E1293" s="21" t="inlineStr">
        <is>
          <t>Регулятор росту Ферті Рут / Ferti Root 5 л Кіссон Україна</t>
        </is>
      </c>
      <c r="F1293" s="21" t="inlineStr">
        <is>
          <t>Чорниця висока (Голубика, Лохина) Херма C5 / H50-60</t>
        </is>
      </c>
      <c r="G1293" s="23" t="n">
        <v>4190</v>
      </c>
      <c r="H1293" s="23" t="n">
        <v>630</v>
      </c>
      <c r="I1293" s="21" t="inlineStr">
        <is>
          <t>ID постачальника збігся, але назви різні</t>
        </is>
      </c>
    </row>
    <row r="1294">
      <c r="A1294" s="22" t="n">
        <v>32</v>
      </c>
      <c r="B1294" s="22" t="inlineStr">
        <is>
          <t>Клуб Рослин</t>
        </is>
      </c>
      <c r="C1294" s="22" t="inlineStr">
        <is>
          <t>2185</t>
        </is>
      </c>
      <c r="D1294" s="22" t="inlineStr">
        <is>
          <t>2185</t>
        </is>
      </c>
      <c r="E1294" s="21" t="inlineStr">
        <is>
          <t>Інсектицид Венон 5 л Ukravit Україна</t>
        </is>
      </c>
      <c r="F1294" s="21" t="inlineStr">
        <is>
          <t>Гортензія великолисткова Ваніль Скай C2</t>
        </is>
      </c>
      <c r="G1294" s="23" t="n">
        <v>3354</v>
      </c>
      <c r="H1294" s="23" t="n">
        <v>215</v>
      </c>
      <c r="I1294" s="21" t="inlineStr">
        <is>
          <t>ID постачальника збігся, але назви різні</t>
        </is>
      </c>
    </row>
    <row r="1295">
      <c r="A1295" s="22" t="n">
        <v>32</v>
      </c>
      <c r="B1295" s="22" t="inlineStr">
        <is>
          <t>Клуб Рослин</t>
        </is>
      </c>
      <c r="C1295" s="22" t="inlineStr">
        <is>
          <t>7192</t>
        </is>
      </c>
      <c r="D1295" s="22" t="inlineStr">
        <is>
          <t>7192</t>
        </is>
      </c>
      <c r="E1295" s="21" t="inlineStr">
        <is>
          <t>Добриво Мікрокат Зерновий Старт (Microcat Cereal Start) 5 л Вітера Atlantica Agricola Іспанія</t>
        </is>
      </c>
      <c r="F1295" s="21" t="inlineStr">
        <is>
          <t>Троянда гібридний(а) Луксор PC20 C2</t>
        </is>
      </c>
      <c r="G1295" s="23" t="n">
        <v>2822</v>
      </c>
      <c r="H1295" s="23" t="n">
        <v>174</v>
      </c>
      <c r="I1295" s="21" t="inlineStr">
        <is>
          <t>ID постачальника збігся, але назви різні</t>
        </is>
      </c>
    </row>
    <row r="1296">
      <c r="A1296" s="22" t="n">
        <v>32</v>
      </c>
      <c r="B1296" s="22" t="inlineStr">
        <is>
          <t>Клуб Рослин</t>
        </is>
      </c>
      <c r="C1296" s="22" t="inlineStr">
        <is>
          <t>1084</t>
        </is>
      </c>
      <c r="D1296" s="22" t="inlineStr">
        <is>
          <t>1084</t>
        </is>
      </c>
      <c r="E1296" s="21" t="inlineStr">
        <is>
          <t>Гербіцид Оберіг 5 л Presence / Презенс</t>
        </is>
      </c>
      <c r="F1296" s="21" t="inlineStr">
        <is>
          <t>Будлея Давіда Нанхо Перпл PC15 C2 / H30-40</t>
        </is>
      </c>
      <c r="G1296" s="23" t="n">
        <v>1975</v>
      </c>
      <c r="H1296" s="23" t="n">
        <v>60</v>
      </c>
      <c r="I1296" s="21" t="inlineStr">
        <is>
          <t>ID постачальника збігся, але назви різні</t>
        </is>
      </c>
    </row>
    <row r="1297">
      <c r="A1297" s="22" t="n">
        <v>32</v>
      </c>
      <c r="B1297" s="22" t="inlineStr">
        <is>
          <t>Клуб Рослин</t>
        </is>
      </c>
      <c r="C1297" s="22" t="inlineStr">
        <is>
          <t>7695</t>
        </is>
      </c>
      <c r="D1297" s="22" t="inlineStr">
        <is>
          <t>7695</t>
        </is>
      </c>
      <c r="E1297" s="21" t="inlineStr">
        <is>
          <t>Добриво Хелатин Магній 10 л Кіссон Україна</t>
        </is>
      </c>
      <c r="F1297" s="21" t="inlineStr">
        <is>
          <t>Туя західна (ий) Даніка K17 G / H35-40</t>
        </is>
      </c>
      <c r="G1297" s="23" t="n">
        <v>1261</v>
      </c>
      <c r="H1297" s="23" t="n">
        <v>405</v>
      </c>
      <c r="I1297" s="21" t="inlineStr">
        <is>
          <t>ID постачальника збігся, але різні об'єми або розміри</t>
        </is>
      </c>
    </row>
    <row r="1298">
      <c r="A1298" s="22" t="n">
        <v>32</v>
      </c>
      <c r="B1298" s="22" t="inlineStr">
        <is>
          <t>Клуб Рослин</t>
        </is>
      </c>
      <c r="C1298" s="22" t="inlineStr">
        <is>
          <t>2125</t>
        </is>
      </c>
      <c r="D1298" s="22" t="inlineStr">
        <is>
          <t>2125</t>
        </is>
      </c>
      <c r="E1298" s="21" t="inlineStr">
        <is>
          <t>Біоинсектицид Актоверм 0.2 % КЕ 1 л БТУ Центр Україна</t>
        </is>
      </c>
      <c r="F1298" s="21" t="inlineStr">
        <is>
          <t>Гортензія великолисткова Форевер &amp; Евер Блю ® PC19 C5</t>
        </is>
      </c>
      <c r="G1298" s="23" t="n">
        <v>498</v>
      </c>
      <c r="H1298" s="23" t="n">
        <v>600</v>
      </c>
      <c r="I1298" s="21" t="inlineStr">
        <is>
          <t>ID постачальника збігся, але назви різні</t>
        </is>
      </c>
    </row>
    <row r="1299">
      <c r="A1299" s="22" t="n">
        <v>32</v>
      </c>
      <c r="B1299" s="22" t="inlineStr">
        <is>
          <t>Клуб Рослин</t>
        </is>
      </c>
      <c r="C1299" s="22" t="inlineStr">
        <is>
          <t>3327</t>
        </is>
      </c>
      <c r="D1299" s="22" t="inlineStr">
        <is>
          <t>3327</t>
        </is>
      </c>
      <c r="E1299" s="21" t="inlineStr">
        <is>
          <t>Біофунгіцид Ізокур 250 мл Агро-Захист Україна</t>
        </is>
      </c>
      <c r="F1299" s="21" t="inlineStr">
        <is>
          <t>Магнолія гола Юлан C60 / H150-175</t>
        </is>
      </c>
      <c r="G1299" s="23" t="n">
        <v>148</v>
      </c>
      <c r="H1299" s="23" t="n">
        <v>6001</v>
      </c>
      <c r="I1299" s="21" t="inlineStr">
        <is>
          <t>ID постачальника збігся, але назви різні</t>
        </is>
      </c>
    </row>
    <row r="1300">
      <c r="A1300" s="22" t="n">
        <v>31.9</v>
      </c>
      <c r="B1300" s="22" t="inlineStr">
        <is>
          <t>Клуб Рослин</t>
        </is>
      </c>
      <c r="C1300" s="22" t="inlineStr">
        <is>
          <t>7066</t>
        </is>
      </c>
      <c r="D1300" s="22" t="inlineStr">
        <is>
          <t>7066</t>
        </is>
      </c>
      <c r="E1300" s="21" t="inlineStr">
        <is>
          <t>Біостимулятор Віва Viva 20 л Valagro Валагро Італія</t>
        </is>
      </c>
      <c r="F1300" s="21" t="inlineStr">
        <is>
          <t>Акація псевдоакація Умбракуліфера C30 / o10-12</t>
        </is>
      </c>
      <c r="G1300" s="23" t="n">
        <v>9825</v>
      </c>
      <c r="H1300" s="23" t="n">
        <v>5760</v>
      </c>
      <c r="I1300" s="21" t="inlineStr">
        <is>
          <t>ID постачальника збігся, але назви різні</t>
        </is>
      </c>
    </row>
    <row r="1301">
      <c r="A1301" s="22" t="n">
        <v>31.9</v>
      </c>
      <c r="B1301" s="22" t="inlineStr">
        <is>
          <t>Клуб Рослин</t>
        </is>
      </c>
      <c r="C1301" s="22" t="inlineStr">
        <is>
          <t>7059</t>
        </is>
      </c>
      <c r="D1301" s="22" t="inlineStr">
        <is>
          <t>7059</t>
        </is>
      </c>
      <c r="E1301" s="21" t="inlineStr">
        <is>
          <t>Стимулятор росту Активейв Actiwave 10 л Valagro Валагро Італія</t>
        </is>
      </c>
      <c r="F1301" s="21" t="inlineStr">
        <is>
          <t>Смородина червона (-ий) Вердавіа Штамб C3 / H125-150 / Pa80</t>
        </is>
      </c>
      <c r="G1301" s="23" t="n">
        <v>7325</v>
      </c>
      <c r="H1301" s="23" t="n">
        <v>525</v>
      </c>
      <c r="I1301" s="21" t="inlineStr">
        <is>
          <t>ID постачальника збігся, але назви різні</t>
        </is>
      </c>
    </row>
    <row r="1302">
      <c r="A1302" s="22" t="n">
        <v>31.9</v>
      </c>
      <c r="B1302" s="22" t="inlineStr">
        <is>
          <t>Клуб Рослин</t>
        </is>
      </c>
      <c r="C1302" s="22" t="inlineStr">
        <is>
          <t>3215</t>
        </is>
      </c>
      <c r="D1302" s="22" t="inlineStr">
        <is>
          <t>3215</t>
        </is>
      </c>
      <c r="E1302" s="21" t="inlineStr">
        <is>
          <t>Фунгіцид Альфа-Мідь ЗП 10 кг Alfa Smart Agro Альфа Смарт Агро Україна</t>
        </is>
      </c>
      <c r="F1302" s="21" t="inlineStr">
        <is>
          <t>Ліквідамбар (Амброве дерево) смолоносний C15 / H175-200</t>
        </is>
      </c>
      <c r="G1302" s="23" t="n">
        <v>5200</v>
      </c>
      <c r="H1302" s="23" t="n">
        <v>1159</v>
      </c>
      <c r="I1302" s="21" t="inlineStr">
        <is>
          <t>ID постачальника збігся, але назви різні</t>
        </is>
      </c>
    </row>
    <row r="1303">
      <c r="A1303" s="22" t="n">
        <v>31.9</v>
      </c>
      <c r="B1303" s="22" t="inlineStr">
        <is>
          <t>Клуб Рослин</t>
        </is>
      </c>
      <c r="C1303" s="22" t="inlineStr">
        <is>
          <t>7460</t>
        </is>
      </c>
      <c r="D1303" s="22" t="inlineStr">
        <is>
          <t>7460</t>
        </is>
      </c>
      <c r="E1303" s="21" t="inlineStr">
        <is>
          <t>Добриво GroGreen NPK 11-9-34+3MgO+TE 25 кг Lima Бельгія</t>
        </is>
      </c>
      <c r="F1303" s="21" t="inlineStr">
        <is>
          <t>Тис ягідний (а) Куля на Штамбі C130 / H200-250</t>
        </is>
      </c>
      <c r="G1303" s="23" t="n">
        <v>4895</v>
      </c>
      <c r="H1303" s="23" t="n">
        <v>23996</v>
      </c>
      <c r="I1303" s="21" t="inlineStr">
        <is>
          <t>ID постачальника збігся, але назви різні</t>
        </is>
      </c>
    </row>
    <row r="1304">
      <c r="A1304" s="22" t="n">
        <v>31.9</v>
      </c>
      <c r="B1304" s="22" t="inlineStr">
        <is>
          <t>Клуб Рослин</t>
        </is>
      </c>
      <c r="C1304" s="22" t="inlineStr">
        <is>
          <t>7524</t>
        </is>
      </c>
      <c r="D1304" s="22" t="inlineStr">
        <is>
          <t>7524</t>
        </is>
      </c>
      <c r="E1304" s="21" t="inlineStr">
        <is>
          <t>Добриво GroGreen Грінта Гроу NPK 15-5-30 + 3MgO + 1% FULVK + TE 25 кг Lima Бельгія</t>
        </is>
      </c>
      <c r="F1304" s="21" t="inlineStr">
        <is>
          <t>Тис ягідний (а) Фастігіата Пон-Пон C100 / H125-150</t>
        </is>
      </c>
      <c r="G1304" s="23" t="n">
        <v>4608</v>
      </c>
      <c r="H1304" s="23" t="n">
        <v>10375</v>
      </c>
      <c r="I1304" s="21" t="inlineStr">
        <is>
          <t>ID постачальника збігся, але назви різні</t>
        </is>
      </c>
    </row>
    <row r="1305">
      <c r="A1305" s="22" t="n">
        <v>31.9</v>
      </c>
      <c r="B1305" s="22" t="inlineStr">
        <is>
          <t>Клуб Рослин</t>
        </is>
      </c>
      <c r="C1305" s="22" t="inlineStr">
        <is>
          <t>3412</t>
        </is>
      </c>
      <c r="D1305" s="22" t="inlineStr">
        <is>
          <t>3412</t>
        </is>
      </c>
      <c r="E1305" s="21" t="inlineStr">
        <is>
          <t>Фунгіцид Метакарб КС 5 л Хімагромаркетинг Україна</t>
        </is>
      </c>
      <c r="F1305" s="21" t="inlineStr">
        <is>
          <t>Магнолія гібридний(а) Єллоу Джой PC21 C5 / H80-90</t>
        </is>
      </c>
      <c r="G1305" s="23" t="n">
        <v>2998</v>
      </c>
      <c r="H1305" s="23" t="n">
        <v>1159</v>
      </c>
      <c r="I1305" s="21" t="inlineStr">
        <is>
          <t>ID постачальника збігся, але назви різні</t>
        </is>
      </c>
    </row>
    <row r="1306">
      <c r="A1306" s="22" t="n">
        <v>31.9</v>
      </c>
      <c r="B1306" s="22" t="inlineStr">
        <is>
          <t>Клуб Рослин</t>
        </is>
      </c>
      <c r="C1306" s="22" t="inlineStr">
        <is>
          <t>2197</t>
        </is>
      </c>
      <c r="D1306" s="22" t="inlineStr">
        <is>
          <t>2197</t>
        </is>
      </c>
      <c r="E1306" s="21" t="inlineStr">
        <is>
          <t>Інсектицид Кіллітоп КЕ 5 л Ifagri Велика Британія</t>
        </is>
      </c>
      <c r="F1306" s="21" t="inlineStr">
        <is>
          <t>Гортензія волотиста Кенделайт ® PC20 C7,5 / H20-30</t>
        </is>
      </c>
      <c r="G1306" s="23" t="n">
        <v>1848</v>
      </c>
      <c r="H1306" s="23" t="n">
        <v>420</v>
      </c>
      <c r="I1306" s="21" t="inlineStr">
        <is>
          <t>ID постачальника збігся, але назви різні</t>
        </is>
      </c>
    </row>
    <row r="1307">
      <c r="A1307" s="22" t="n">
        <v>31.9</v>
      </c>
      <c r="B1307" s="22" t="inlineStr">
        <is>
          <t>Клуб Рослин</t>
        </is>
      </c>
      <c r="C1307" s="22" t="inlineStr">
        <is>
          <t>7054</t>
        </is>
      </c>
      <c r="D1307" s="22" t="inlineStr">
        <is>
          <t>7054</t>
        </is>
      </c>
      <c r="E1307" s="21" t="inlineStr">
        <is>
          <t>Біостимулятор Світ Sweet 1 л Valagro Валагро Італія</t>
        </is>
      </c>
      <c r="F1307" s="21" t="inlineStr">
        <is>
          <t>Смородина біла Алмаз Штамб K17 G / L40-60 / Pa60</t>
        </is>
      </c>
      <c r="G1307" s="23" t="n">
        <v>1585</v>
      </c>
      <c r="H1307" s="23" t="n">
        <v>305</v>
      </c>
      <c r="I1307" s="21" t="inlineStr">
        <is>
          <t>ID постачальника збігся, але різні об'єми або розміри</t>
        </is>
      </c>
    </row>
    <row r="1308">
      <c r="A1308" s="22" t="n">
        <v>31.9</v>
      </c>
      <c r="B1308" s="22" t="inlineStr">
        <is>
          <t>Клуб Рослин</t>
        </is>
      </c>
      <c r="C1308" s="22" t="inlineStr">
        <is>
          <t>7710</t>
        </is>
      </c>
      <c r="D1308" s="22" t="inlineStr">
        <is>
          <t>7710</t>
        </is>
      </c>
      <c r="E1308" s="21" t="inlineStr">
        <is>
          <t>Біостимулятор-Антистресант Аміно Ксеріон 1 кг Adama Адама Ізраїль</t>
        </is>
      </c>
      <c r="F1308" s="21" t="inlineStr">
        <is>
          <t>Туя західна (ий) Даніка PC18 C3</t>
        </is>
      </c>
      <c r="G1308" s="23" t="n">
        <v>1498</v>
      </c>
      <c r="H1308" s="23" t="n">
        <v>215</v>
      </c>
      <c r="I1308" s="21" t="inlineStr">
        <is>
          <t>ID постачальника збігся, але назви різні</t>
        </is>
      </c>
    </row>
    <row r="1309">
      <c r="A1309" s="22" t="n">
        <v>31.9</v>
      </c>
      <c r="B1309" s="22" t="inlineStr">
        <is>
          <t>Клуб Рослин</t>
        </is>
      </c>
      <c r="C1309" s="22" t="inlineStr">
        <is>
          <t>3264</t>
        </is>
      </c>
      <c r="D1309" s="22" t="inlineStr">
        <is>
          <t>3264</t>
        </is>
      </c>
      <c r="E1309" s="21" t="inlineStr">
        <is>
          <t>Фунгіцид Джек Пот КЕ 1 л (розлив) Ukravit Укравіт Україна</t>
        </is>
      </c>
      <c r="F1309" s="21" t="inlineStr">
        <is>
          <t>Ліріодендрон (Тюльпанове дерево) тюльпановий Штамб C50 / Pa220</t>
        </is>
      </c>
      <c r="G1309" s="23" t="n">
        <v>1274</v>
      </c>
      <c r="H1309" s="23" t="n">
        <v>12000</v>
      </c>
      <c r="I1309" s="21" t="inlineStr">
        <is>
          <t>ID постачальника збігся, але назви різні</t>
        </is>
      </c>
    </row>
    <row r="1310">
      <c r="A1310" s="22" t="n">
        <v>31.9</v>
      </c>
      <c r="B1310" s="22" t="inlineStr">
        <is>
          <t>Клуб Рослин</t>
        </is>
      </c>
      <c r="C1310" s="22" t="inlineStr">
        <is>
          <t>1171</t>
        </is>
      </c>
      <c r="D1310" s="22" t="inlineStr">
        <is>
          <t>1171</t>
        </is>
      </c>
      <c r="E1310" s="21" t="inlineStr">
        <is>
          <t>Гербіцид Султан 1 л Adama Адама Ізраїль</t>
        </is>
      </c>
      <c r="F1310" s="21" t="inlineStr">
        <is>
          <t>Кампсіс укорінливий Флоріда C5</t>
        </is>
      </c>
      <c r="G1310" s="23" t="n">
        <v>1175</v>
      </c>
      <c r="H1310" s="23" t="n">
        <v>288</v>
      </c>
      <c r="I1310" s="21" t="inlineStr">
        <is>
          <t>ID постачальника збігся, але назви різні</t>
        </is>
      </c>
    </row>
    <row r="1311">
      <c r="A1311" s="22" t="n">
        <v>31.9</v>
      </c>
      <c r="B1311" s="22" t="inlineStr">
        <is>
          <t>Клуб Рослин</t>
        </is>
      </c>
      <c r="C1311" s="22" t="inlineStr">
        <is>
          <t>7347</t>
        </is>
      </c>
      <c r="D1311" s="22" t="inlineStr">
        <is>
          <t>7347</t>
        </is>
      </c>
      <c r="E1311" s="21" t="inlineStr">
        <is>
          <t>Добриво Нітрат Кальцію Дуканіт / Ducanit 25 кг Duslo Словаччина</t>
        </is>
      </c>
      <c r="F1311" s="21" t="inlineStr">
        <is>
          <t>Спірея японська Дартс Ред PC18 C5</t>
        </is>
      </c>
      <c r="G1311" s="23" t="n">
        <v>1148</v>
      </c>
      <c r="H1311" s="23" t="n">
        <v>155</v>
      </c>
      <c r="I1311" s="21" t="inlineStr">
        <is>
          <t>ID постачальника збігся, але назви різні</t>
        </is>
      </c>
    </row>
    <row r="1312">
      <c r="A1312" s="22" t="n">
        <v>31.9</v>
      </c>
      <c r="B1312" s="22" t="inlineStr">
        <is>
          <t>Клуб Рослин</t>
        </is>
      </c>
      <c r="C1312" s="22" t="inlineStr">
        <is>
          <t>1022</t>
        </is>
      </c>
      <c r="D1312" s="22" t="inlineStr">
        <is>
          <t>1022</t>
        </is>
      </c>
      <c r="E1312" s="21" t="inlineStr">
        <is>
          <t>Гербіцид Антисапа 1 кг Ukravit Укравіт Україна</t>
        </is>
      </c>
      <c r="F1312" s="21" t="inlineStr">
        <is>
          <t>Барбарис Тунберга Спешл Голд PC21 C3 / H15-20 / L20-25</t>
        </is>
      </c>
      <c r="G1312" s="23" t="n">
        <v>1048</v>
      </c>
      <c r="H1312" s="23" t="n">
        <v>216</v>
      </c>
      <c r="I1312" s="21" t="inlineStr">
        <is>
          <t>ID постачальника збігся, але назви різні</t>
        </is>
      </c>
    </row>
    <row r="1313">
      <c r="A1313" s="22" t="n">
        <v>31.9</v>
      </c>
      <c r="B1313" s="22" t="inlineStr">
        <is>
          <t>Клуб Рослин</t>
        </is>
      </c>
      <c r="C1313" s="22" t="inlineStr">
        <is>
          <t>3339</t>
        </is>
      </c>
      <c r="D1313" s="22" t="inlineStr">
        <is>
          <t>3339</t>
        </is>
      </c>
      <c r="E1313" s="21" t="inlineStr">
        <is>
          <t>Фунгіцид Орондіс Ультра 280 SC КС 250 мл (розлив) Syngenta Сингента Швейцарія</t>
        </is>
      </c>
      <c r="F1313" s="21" t="inlineStr">
        <is>
          <t>Магнолія крупноквітковий (-а) C35 / H125-150</t>
        </is>
      </c>
      <c r="G1313" s="23" t="n">
        <v>978</v>
      </c>
      <c r="H1313" s="23" t="n">
        <v>4215</v>
      </c>
      <c r="I1313" s="21" t="inlineStr">
        <is>
          <t>ID постачальника збігся, але назви різні</t>
        </is>
      </c>
    </row>
    <row r="1314">
      <c r="A1314" s="22" t="n">
        <v>31.9</v>
      </c>
      <c r="B1314" s="22" t="inlineStr">
        <is>
          <t>Клуб Рослин</t>
        </is>
      </c>
      <c r="C1314" s="22" t="inlineStr">
        <is>
          <t>2079</t>
        </is>
      </c>
      <c r="D1314" s="22" t="inlineStr">
        <is>
          <t>2079</t>
        </is>
      </c>
      <c r="E1314" s="21" t="inlineStr">
        <is>
          <t>Інсектицид Канонір 500 г Агрохімічні Технології Україна</t>
        </is>
      </c>
      <c r="F1314" s="21" t="inlineStr">
        <is>
          <t>Гібіскус сірійський Уайт Шифон ® C4 / H40-60</t>
        </is>
      </c>
      <c r="G1314" s="23" t="n">
        <v>899</v>
      </c>
      <c r="H1314" s="23" t="n">
        <v>240</v>
      </c>
      <c r="I1314" s="21" t="inlineStr">
        <is>
          <t>ID постачальника збігся, але назви різні</t>
        </is>
      </c>
    </row>
    <row r="1315">
      <c r="A1315" s="22" t="n">
        <v>31.9</v>
      </c>
      <c r="B1315" s="22" t="inlineStr">
        <is>
          <t>Клуб Рослин</t>
        </is>
      </c>
      <c r="C1315" s="22" t="inlineStr">
        <is>
          <t>3138</t>
        </is>
      </c>
      <c r="D1315" s="22" t="inlineStr">
        <is>
          <t>3138</t>
        </is>
      </c>
      <c r="E1315" s="21" t="inlineStr">
        <is>
          <t>Фунгіцид Чарівник 1 кг ПротектОН Україна</t>
        </is>
      </c>
      <c r="F1315" s="21" t="inlineStr">
        <is>
          <t>Бірючина звичайна K16 G / H60-80</t>
        </is>
      </c>
      <c r="G1315" s="23" t="n">
        <v>798</v>
      </c>
      <c r="H1315" s="23" t="n">
        <v>100</v>
      </c>
      <c r="I1315" s="21" t="inlineStr">
        <is>
          <t>ID постачальника збігся, але різні об'єми або розміри</t>
        </is>
      </c>
    </row>
    <row r="1316">
      <c r="A1316" s="22" t="n">
        <v>31.9</v>
      </c>
      <c r="B1316" s="22" t="inlineStr">
        <is>
          <t>Клуб Рослин</t>
        </is>
      </c>
      <c r="C1316" s="22" t="inlineStr">
        <is>
          <t>7251</t>
        </is>
      </c>
      <c r="D1316" s="22" t="inlineStr">
        <is>
          <t>7251</t>
        </is>
      </c>
      <c r="E1316" s="21" t="inlineStr">
        <is>
          <t>Інокулянт Ризовіт - АКС 2 кг Промислова мікробіологія Казахстан</t>
        </is>
      </c>
      <c r="F1316" s="21" t="inlineStr">
        <is>
          <t>Троянда мініатюрна Скарлет Мейландекор PC21 C5 / H30-40</t>
        </is>
      </c>
      <c r="G1316" s="23" t="n">
        <v>700</v>
      </c>
      <c r="H1316" s="23" t="n">
        <v>190</v>
      </c>
      <c r="I1316" s="21" t="inlineStr">
        <is>
          <t>ID постачальника збігся, але назви різні</t>
        </is>
      </c>
    </row>
    <row r="1317">
      <c r="A1317" s="22" t="n">
        <v>31.9</v>
      </c>
      <c r="B1317" s="22" t="inlineStr">
        <is>
          <t>Клуб Рослин</t>
        </is>
      </c>
      <c r="C1317" s="22" t="inlineStr">
        <is>
          <t>3075</t>
        </is>
      </c>
      <c r="D1317" s="22" t="inlineStr">
        <is>
          <t>3075</t>
        </is>
      </c>
      <c r="E1317" s="21" t="inlineStr">
        <is>
          <t>Фунгіцид Енергодар 500 мл Аптека Садівника Україна</t>
        </is>
      </c>
      <c r="F1317" s="21" t="inlineStr">
        <is>
          <t>Келерія валійська Монтеін Бріз PC15 C1 / H10-15</t>
        </is>
      </c>
      <c r="G1317" s="23" t="n">
        <v>548</v>
      </c>
      <c r="H1317" s="23" t="n">
        <v>55</v>
      </c>
      <c r="I1317" s="21" t="inlineStr">
        <is>
          <t>ID постачальника збігся, але назви різні</t>
        </is>
      </c>
    </row>
    <row r="1318">
      <c r="A1318" s="22" t="n">
        <v>31.9</v>
      </c>
      <c r="B1318" s="22" t="inlineStr">
        <is>
          <t>Клуб Рослин</t>
        </is>
      </c>
      <c r="C1318" s="22" t="inlineStr">
        <is>
          <t>2205</t>
        </is>
      </c>
      <c r="D1318" s="22" t="inlineStr">
        <is>
          <t>2205</t>
        </is>
      </c>
      <c r="E1318" s="21" t="inlineStr">
        <is>
          <t>Біоінсектицид Антаут 500 г Enzim Biotech Agro / Ензим Біотех Агро Україна</t>
        </is>
      </c>
      <c r="F1318" s="21" t="inlineStr">
        <is>
          <t>Гортензія волотиста Діамант Руж (Рендіа) C10</t>
        </is>
      </c>
      <c r="G1318" s="23" t="n">
        <v>465</v>
      </c>
      <c r="H1318" s="23" t="n">
        <v>366</v>
      </c>
      <c r="I1318" s="21" t="inlineStr">
        <is>
          <t>ID постачальника збігся, але назви різні</t>
        </is>
      </c>
    </row>
    <row r="1319">
      <c r="A1319" s="22" t="n">
        <v>31.9</v>
      </c>
      <c r="B1319" s="22" t="inlineStr">
        <is>
          <t>Клуб Рослин</t>
        </is>
      </c>
      <c r="C1319" s="22" t="inlineStr">
        <is>
          <t>7147</t>
        </is>
      </c>
      <c r="D1319" s="22" t="inlineStr">
        <is>
          <t>7147</t>
        </is>
      </c>
      <c r="E1319" s="21" t="inlineStr">
        <is>
          <t>Добриво Вуксал Аміноплант рН Wyxal Aminoplant рН 1 л Unifer Уніфер Німеччина</t>
        </is>
      </c>
      <c r="F1319" s="21" t="inlineStr">
        <is>
          <t>Троянда гібридний(а) Авеланш SP G</t>
        </is>
      </c>
      <c r="G1319" s="23" t="n">
        <v>450</v>
      </c>
      <c r="H1319" s="23" t="n">
        <v>44</v>
      </c>
      <c r="I1319" s="21" t="inlineStr">
        <is>
          <t>ID постачальника збігся, але різні бренди</t>
        </is>
      </c>
    </row>
    <row r="1320">
      <c r="A1320" s="22" t="n">
        <v>31.9</v>
      </c>
      <c r="B1320" s="22" t="inlineStr">
        <is>
          <t>Клуб Рослин</t>
        </is>
      </c>
      <c r="C1320" s="22" t="inlineStr">
        <is>
          <t>2191</t>
        </is>
      </c>
      <c r="D1320" s="22" t="inlineStr">
        <is>
          <t>2191</t>
        </is>
      </c>
      <c r="E1320" s="21" t="inlineStr">
        <is>
          <t>Біоінсектицид Актофіт КЕ 900 мл Біоветфарм Україна</t>
        </is>
      </c>
      <c r="F1320" s="21" t="inlineStr">
        <is>
          <t>Гортензія великолисткова Вайт Делайт PC21 C3</t>
        </is>
      </c>
      <c r="G1320" s="23" t="n">
        <v>425</v>
      </c>
      <c r="H1320" s="23" t="n">
        <v>300</v>
      </c>
      <c r="I1320" s="21" t="inlineStr">
        <is>
          <t>ID постачальника збігся, але назви різні</t>
        </is>
      </c>
    </row>
    <row r="1321">
      <c r="A1321" s="22" t="n">
        <v>31.9</v>
      </c>
      <c r="B1321" s="22" t="inlineStr">
        <is>
          <t>Клуб Рослин</t>
        </is>
      </c>
      <c r="C1321" s="22" t="inlineStr">
        <is>
          <t>3144</t>
        </is>
      </c>
      <c r="D1321" s="22" t="inlineStr">
        <is>
          <t>3144</t>
        </is>
      </c>
      <c r="E1321" s="21" t="inlineStr">
        <is>
          <t>Біофунгіцид Ізокур 1 л Агро-Захист Україна</t>
        </is>
      </c>
      <c r="F1321" s="21" t="inlineStr">
        <is>
          <t>Лілія азіатська махрова гібридна Аннамарі Дрім 12\14</t>
        </is>
      </c>
      <c r="G1321" s="23" t="n">
        <v>400</v>
      </c>
      <c r="H1321" s="23" t="n">
        <v>50</v>
      </c>
      <c r="I1321" s="21" t="inlineStr">
        <is>
          <t>ID постачальника збігся, але назви різні</t>
        </is>
      </c>
    </row>
    <row r="1322">
      <c r="A1322" s="22" t="n">
        <v>31.9</v>
      </c>
      <c r="B1322" s="22" t="inlineStr">
        <is>
          <t>Клуб Рослин</t>
        </is>
      </c>
      <c r="C1322" s="22" t="inlineStr">
        <is>
          <t>9007</t>
        </is>
      </c>
      <c r="D1322" s="22" t="inlineStr">
        <is>
          <t>9007</t>
        </is>
      </c>
      <c r="E1322" s="21" t="inlineStr">
        <is>
          <t>Ад'ювант Адюмакс 250 мл (розлив) Enzim Biotech Agro / Ензим Біотех Україна</t>
        </is>
      </c>
      <c r="F1322" s="21" t="inlineStr">
        <is>
          <t>Декоративний паркан Eko-Palisada 17 см, 1 м (теракота)</t>
        </is>
      </c>
      <c r="G1322" s="23" t="n">
        <v>364</v>
      </c>
      <c r="H1322" s="23" t="n">
        <v>220</v>
      </c>
      <c r="I1322" s="21" t="inlineStr">
        <is>
          <t>ID постачальника збігся, але різні об'єми або розміри</t>
        </is>
      </c>
    </row>
    <row r="1323">
      <c r="A1323" s="22" t="n">
        <v>31.9</v>
      </c>
      <c r="B1323" s="22" t="inlineStr">
        <is>
          <t>Клуб Рослин</t>
        </is>
      </c>
      <c r="C1323" s="22" t="inlineStr">
        <is>
          <t>7914</t>
        </is>
      </c>
      <c r="D1323" s="22" t="inlineStr">
        <is>
          <t>7914</t>
        </is>
      </c>
      <c r="E1323" s="21" t="inlineStr">
        <is>
          <t>Добриво Леда Кальцієва селітра / Leda Calanit NPK: 15.5-0-0 + 26.5CaO 1 кг Бельгія</t>
        </is>
      </c>
      <c r="F1323" s="21" t="inlineStr">
        <is>
          <t>Туя західна (ий) Смарагд Спіраль C / H150</t>
        </is>
      </c>
      <c r="G1323" s="23" t="n">
        <v>75</v>
      </c>
      <c r="H1323" s="23" t="n">
        <v>2770</v>
      </c>
      <c r="I1323" s="21" t="inlineStr">
        <is>
          <t>ID постачальника збігся, але назви різні</t>
        </is>
      </c>
    </row>
    <row r="1324">
      <c r="A1324" s="22" t="n">
        <v>31.8</v>
      </c>
      <c r="B1324" s="22" t="inlineStr">
        <is>
          <t>Водоспад</t>
        </is>
      </c>
      <c r="C1324" s="22" t="inlineStr">
        <is>
          <t>40-215</t>
        </is>
      </c>
      <c r="D1324" s="22" t="inlineStr">
        <is>
          <t>40215</t>
        </is>
      </c>
      <c r="E1324" s="21" t="inlineStr">
        <is>
          <t>Лопата штикова Целфаст / Cellfast Ideal Pro 129 см 1.9 кг (40-215) Польща</t>
        </is>
      </c>
      <c r="F1324" s="21" t="inlineStr">
        <is>
          <t>Набір свердел Bosch HSS PointTeQ 7 шт Mini X-Line D2-10 (2608577347)</t>
        </is>
      </c>
      <c r="G1324" s="23" t="n">
        <v>895</v>
      </c>
      <c r="H1324" s="23" t="n">
        <v>458</v>
      </c>
      <c r="I1324" s="21" t="inlineStr">
        <is>
          <t>ID постачальника збігся, але різні об'єми або розміри</t>
        </is>
      </c>
    </row>
    <row r="1325">
      <c r="A1325" s="22" t="n">
        <v>31.8</v>
      </c>
      <c r="B1325" s="22" t="inlineStr">
        <is>
          <t>Клуб Рослин</t>
        </is>
      </c>
      <c r="C1325" s="22" t="inlineStr">
        <is>
          <t>7566</t>
        </is>
      </c>
      <c r="D1325" s="22" t="inlineStr">
        <is>
          <t>7566</t>
        </is>
      </c>
      <c r="E1325" s="21" t="inlineStr">
        <is>
          <t>Рідке добриво Мерістем Купрітем / Meristem Cupritem 20 л Іспанія</t>
        </is>
      </c>
      <c r="F1325" s="21" t="inlineStr">
        <is>
          <t>Тис ягідний (а) Семперауреа Бонсай C250 / H150-175</t>
        </is>
      </c>
      <c r="G1325" s="23" t="n">
        <v>20348</v>
      </c>
      <c r="H1325" s="23" t="n">
        <v>45601</v>
      </c>
      <c r="I1325" s="21" t="inlineStr">
        <is>
          <t>ID постачальника збігся, але назви різні</t>
        </is>
      </c>
    </row>
    <row r="1326">
      <c r="A1326" s="22" t="n">
        <v>31.8</v>
      </c>
      <c r="B1326" s="22" t="inlineStr">
        <is>
          <t>Клуб Рослин</t>
        </is>
      </c>
      <c r="C1326" s="22" t="inlineStr">
        <is>
          <t>7065</t>
        </is>
      </c>
      <c r="D1326" s="22" t="inlineStr">
        <is>
          <t>7065</t>
        </is>
      </c>
      <c r="E1326" s="21" t="inlineStr">
        <is>
          <t>Біостимулятор Світ Sweet 10 л Valagro Валагро Італія</t>
        </is>
      </c>
      <c r="F1326" s="21" t="inlineStr">
        <is>
          <t>Акація псевдоакація Умбракуліфера C180 / o12-14-16 / Pa200-220</t>
        </is>
      </c>
      <c r="G1326" s="23" t="n">
        <v>15025</v>
      </c>
      <c r="H1326" s="23" t="n">
        <v>6624</v>
      </c>
      <c r="I1326" s="21" t="inlineStr">
        <is>
          <t>ID постачальника збігся, але назви різні</t>
        </is>
      </c>
    </row>
    <row r="1327">
      <c r="A1327" s="22" t="n">
        <v>31.8</v>
      </c>
      <c r="B1327" s="22" t="inlineStr">
        <is>
          <t>Клуб Рослин</t>
        </is>
      </c>
      <c r="C1327" s="22" t="inlineStr">
        <is>
          <t>7087</t>
        </is>
      </c>
      <c r="D1327" s="22" t="inlineStr">
        <is>
          <t>7087</t>
        </is>
      </c>
      <c r="E1327" s="21" t="inlineStr">
        <is>
          <t>Регулятор росту AgriFlex Amino Агріфлекс Аміно 20 кг CityMax</t>
        </is>
      </c>
      <c r="F1327" s="21" t="inlineStr">
        <is>
          <t>Троянда плетиста Казіно DP G</t>
        </is>
      </c>
      <c r="G1327" s="23" t="n">
        <v>7998</v>
      </c>
      <c r="H1327" s="23" t="n">
        <v>60</v>
      </c>
      <c r="I1327" s="21" t="inlineStr">
        <is>
          <t>ID постачальника збігся, але різні бренди</t>
        </is>
      </c>
    </row>
    <row r="1328">
      <c r="A1328" s="22" t="n">
        <v>31.8</v>
      </c>
      <c r="B1328" s="22" t="inlineStr">
        <is>
          <t>Клуб Рослин</t>
        </is>
      </c>
      <c r="C1328" s="22" t="inlineStr">
        <is>
          <t>3226</t>
        </is>
      </c>
      <c r="D1328" s="22" t="inlineStr">
        <is>
          <t>3226</t>
        </is>
      </c>
      <c r="E1328" s="21" t="inlineStr">
        <is>
          <t>Фунгіцид Артемікс КС 10 л SumiAgro Сумі Агро Японія</t>
        </is>
      </c>
      <c r="F1328" s="21" t="inlineStr">
        <is>
          <t>Ліквідамбар (Амброве дерево) смолоносний Гумболл C20 / H60-80</t>
        </is>
      </c>
      <c r="G1328" s="23" t="n">
        <v>5998</v>
      </c>
      <c r="H1328" s="23" t="n">
        <v>2981</v>
      </c>
      <c r="I1328" s="21" t="inlineStr">
        <is>
          <t>ID постачальника збігся, але назви різні</t>
        </is>
      </c>
    </row>
    <row r="1329">
      <c r="A1329" s="22" t="n">
        <v>31.8</v>
      </c>
      <c r="B1329" s="22" t="inlineStr">
        <is>
          <t>Клуб Рослин</t>
        </is>
      </c>
      <c r="C1329" s="22" t="inlineStr">
        <is>
          <t>7214</t>
        </is>
      </c>
      <c r="D1329" s="22" t="inlineStr">
        <is>
          <t>7214</t>
        </is>
      </c>
      <c r="E1329" s="21" t="inlineStr">
        <is>
          <t>Стимулятор росту Ізабіон 5 л Syngenta Сингента Швейцарія</t>
        </is>
      </c>
      <c r="F1329" s="21" t="inlineStr">
        <is>
          <t>Троянда гібридний(а) Світнес SP G</t>
        </is>
      </c>
      <c r="G1329" s="23" t="n">
        <v>4627</v>
      </c>
      <c r="H1329" s="23" t="n">
        <v>44</v>
      </c>
      <c r="I1329" s="21" t="inlineStr">
        <is>
          <t>ID постачальника збігся, але різні бренди</t>
        </is>
      </c>
    </row>
    <row r="1330">
      <c r="A1330" s="22" t="n">
        <v>31.8</v>
      </c>
      <c r="B1330" s="22" t="inlineStr">
        <is>
          <t>Клуб Рослин</t>
        </is>
      </c>
      <c r="C1330" s="22" t="inlineStr">
        <is>
          <t>1279</t>
        </is>
      </c>
      <c r="D1330" s="22" t="inlineStr">
        <is>
          <t>1279</t>
        </is>
      </c>
      <c r="E1330" s="21" t="inlineStr">
        <is>
          <t>Десикант Дикват 20 л Хімагромаркетинг Україна</t>
        </is>
      </c>
      <c r="F1330" s="21" t="inlineStr">
        <is>
          <t>Кедр гімалайський Прострата Штамб C20 / Pa100</t>
        </is>
      </c>
      <c r="G1330" s="23" t="n">
        <v>2775</v>
      </c>
      <c r="H1330" s="23" t="n">
        <v>5796</v>
      </c>
      <c r="I1330" s="21" t="inlineStr">
        <is>
          <t>ID постачальника збігся, але назви різні</t>
        </is>
      </c>
    </row>
    <row r="1331">
      <c r="A1331" s="22" t="n">
        <v>31.8</v>
      </c>
      <c r="B1331" s="22" t="inlineStr">
        <is>
          <t>Клуб Рослин</t>
        </is>
      </c>
      <c r="C1331" s="22" t="inlineStr">
        <is>
          <t>7703</t>
        </is>
      </c>
      <c r="D1331" s="22" t="inlineStr">
        <is>
          <t>7703</t>
        </is>
      </c>
      <c r="E1331" s="21" t="inlineStr">
        <is>
          <t>Антистресант Аміно Стар / Amino Star 5 л Кіссон Україна</t>
        </is>
      </c>
      <c r="F1331" s="21" t="inlineStr">
        <is>
          <t>Туя західна (ий) Даніка K20 C45 / H30-40</t>
        </is>
      </c>
      <c r="G1331" s="23" t="n">
        <v>2916</v>
      </c>
      <c r="H1331" s="23" t="n">
        <v>780</v>
      </c>
      <c r="I1331" s="21" t="inlineStr">
        <is>
          <t>ID постачальника збігся, але назви різні</t>
        </is>
      </c>
    </row>
    <row r="1332">
      <c r="A1332" s="22" t="n">
        <v>31.8</v>
      </c>
      <c r="B1332" s="22" t="inlineStr">
        <is>
          <t>Клуб Рослин</t>
        </is>
      </c>
      <c r="C1332" s="22" t="inlineStr">
        <is>
          <t>7779</t>
        </is>
      </c>
      <c r="D1332" s="22" t="inlineStr">
        <is>
          <t>7779</t>
        </is>
      </c>
      <c r="E1332" s="21" t="inlineStr">
        <is>
          <t>Добриво Ікар Калісто (Калій) / Ikar Kalisto 5 л Литва</t>
        </is>
      </c>
      <c r="F1332" s="21" t="inlineStr">
        <is>
          <t>Туя західна (ий) Мірьям ® PC20 C5 / H25 / L20-25</t>
        </is>
      </c>
      <c r="G1332" s="23" t="n">
        <v>2418</v>
      </c>
      <c r="H1332" s="23" t="n">
        <v>290</v>
      </c>
      <c r="I1332" s="21" t="inlineStr">
        <is>
          <t>ID постачальника збігся, але назви різні</t>
        </is>
      </c>
    </row>
    <row r="1333">
      <c r="A1333" s="22" t="n">
        <v>31.8</v>
      </c>
      <c r="B1333" s="22" t="inlineStr">
        <is>
          <t>Клуб Рослин</t>
        </is>
      </c>
      <c r="C1333" s="22" t="inlineStr">
        <is>
          <t>7274</t>
        </is>
      </c>
      <c r="D1333" s="22" t="inlineStr">
        <is>
          <t>7274</t>
        </is>
      </c>
      <c r="E1333" s="21" t="inlineStr">
        <is>
          <t>Добриво YaraMila Complex ЯраМіла Комплекс 12-11-18 25 кг Норвегія</t>
        </is>
      </c>
      <c r="F1333" s="21" t="inlineStr">
        <is>
          <t>Троянда перська Бебілон Айз Глоріус ® PC22 C10</t>
        </is>
      </c>
      <c r="G1333" s="23" t="n">
        <v>2148</v>
      </c>
      <c r="H1333" s="23" t="n">
        <v>348</v>
      </c>
      <c r="I1333" s="21" t="inlineStr">
        <is>
          <t>ID постачальника збігся, але назви різні</t>
        </is>
      </c>
    </row>
    <row r="1334">
      <c r="A1334" s="22" t="n">
        <v>31.8</v>
      </c>
      <c r="B1334" s="22" t="inlineStr">
        <is>
          <t>Клуб Рослин</t>
        </is>
      </c>
      <c r="C1334" s="22" t="inlineStr">
        <is>
          <t>3218</t>
        </is>
      </c>
      <c r="D1334" s="22" t="inlineStr">
        <is>
          <t>3218</t>
        </is>
      </c>
      <c r="E1334" s="21" t="inlineStr">
        <is>
          <t>Фунгіцид Бампер 1 л Adama Адама Ізраїль</t>
        </is>
      </c>
      <c r="F1334" s="21" t="inlineStr">
        <is>
          <t>Ліквідамбар (Амброве дерево) смолоносний C150 / o18-20</t>
        </is>
      </c>
      <c r="G1334" s="23" t="n">
        <v>815</v>
      </c>
      <c r="H1334" s="23" t="n">
        <v>11665</v>
      </c>
      <c r="I1334" s="21" t="inlineStr">
        <is>
          <t>ID постачальника збігся, але назви різні</t>
        </is>
      </c>
    </row>
    <row r="1335">
      <c r="A1335" s="22" t="n">
        <v>31.8</v>
      </c>
      <c r="B1335" s="22" t="inlineStr">
        <is>
          <t>Клуб Рослин</t>
        </is>
      </c>
      <c r="C1335" s="22" t="inlineStr">
        <is>
          <t>7647</t>
        </is>
      </c>
      <c r="D1335" s="22" t="inlineStr">
        <is>
          <t>7647</t>
        </is>
      </c>
      <c r="E1335" s="21" t="inlineStr">
        <is>
          <t>Добриво Авангард Овочеві 5 л Ukravit Україна</t>
        </is>
      </c>
      <c r="F1335" s="21" t="inlineStr">
        <is>
          <t>Туя (Платікладус) східна Ауреа Нана C50 / H80-100</t>
        </is>
      </c>
      <c r="G1335" s="23" t="n">
        <v>775</v>
      </c>
      <c r="H1335" s="23" t="n">
        <v>5378</v>
      </c>
      <c r="I1335" s="21" t="inlineStr">
        <is>
          <t>ID постачальника збігся, але назви різні</t>
        </is>
      </c>
    </row>
    <row r="1336">
      <c r="A1336" s="22" t="n">
        <v>31.8</v>
      </c>
      <c r="B1336" s="22" t="inlineStr">
        <is>
          <t>Клуб Рослин</t>
        </is>
      </c>
      <c r="C1336" s="22" t="inlineStr">
        <is>
          <t>3243</t>
        </is>
      </c>
      <c r="D1336" s="22" t="inlineStr">
        <is>
          <t>3243</t>
        </is>
      </c>
      <c r="E1336" s="21" t="inlineStr">
        <is>
          <t>Фунгіцид Фрегат 500 мл Хімагромаркетинг Україна</t>
        </is>
      </c>
      <c r="F1336" s="21" t="inlineStr">
        <is>
          <t>Ліріодендрон (Тюльпанове дерево) тюльпановий C35 / H350-400 / o12-14</t>
        </is>
      </c>
      <c r="G1336" s="23" t="n">
        <v>650</v>
      </c>
      <c r="H1336" s="23" t="n">
        <v>10800</v>
      </c>
      <c r="I1336" s="21" t="inlineStr">
        <is>
          <t>ID постачальника збігся, але назви різні</t>
        </is>
      </c>
    </row>
    <row r="1337">
      <c r="A1337" s="22" t="n">
        <v>31.8</v>
      </c>
      <c r="B1337" s="22" t="inlineStr">
        <is>
          <t>Клуб Рослин</t>
        </is>
      </c>
      <c r="C1337" s="22" t="inlineStr">
        <is>
          <t>7810</t>
        </is>
      </c>
      <c r="D1337" s="22" t="inlineStr">
        <is>
          <t>7810</t>
        </is>
      </c>
      <c r="E1337" s="21" t="inlineStr">
        <is>
          <t>Біостимулятор Альгефіт / Alghefit 100 г Bioera Іспанія</t>
        </is>
      </c>
      <c r="F1337" s="21" t="inlineStr">
        <is>
          <t>Туя західна (ий) Смарагд K C65 / H140-160</t>
        </is>
      </c>
      <c r="G1337" s="23" t="n">
        <v>443</v>
      </c>
      <c r="H1337" s="23" t="n">
        <v>580</v>
      </c>
      <c r="I1337" s="21" t="inlineStr">
        <is>
          <t>ID постачальника збігся, але назви різні</t>
        </is>
      </c>
    </row>
    <row r="1338">
      <c r="A1338" s="22" t="n">
        <v>31.8</v>
      </c>
      <c r="B1338" s="22" t="inlineStr">
        <is>
          <t>Клуб Рослин</t>
        </is>
      </c>
      <c r="C1338" s="22" t="inlineStr">
        <is>
          <t>8139</t>
        </is>
      </c>
      <c r="D1338" s="22" t="inlineStr">
        <is>
          <t>8139</t>
        </is>
      </c>
      <c r="E1338" s="21" t="inlineStr">
        <is>
          <t>Добриво Nova PeKacid Пекацид 0-60-20 1 кг (розсип) ICL Ізраїль</t>
        </is>
      </c>
      <c r="F1338" s="21" t="inlineStr">
        <is>
          <t>Виноград Бонсай PC19 C60 / H50-60</t>
        </is>
      </c>
      <c r="G1338" s="23" t="n">
        <v>298</v>
      </c>
      <c r="H1338" s="23" t="n">
        <v>6293</v>
      </c>
      <c r="I1338" s="21" t="inlineStr">
        <is>
          <t>ID постачальника збігся, але назви різні</t>
        </is>
      </c>
    </row>
    <row r="1339">
      <c r="A1339" s="22" t="n">
        <v>31.8</v>
      </c>
      <c r="B1339" s="22" t="inlineStr">
        <is>
          <t>Клуб Рослин</t>
        </is>
      </c>
      <c r="C1339" s="22" t="inlineStr">
        <is>
          <t>7609</t>
        </is>
      </c>
      <c r="D1339" s="22" t="inlineStr">
        <is>
          <t>7609</t>
        </is>
      </c>
      <c r="E1339" s="21" t="inlineStr">
        <is>
          <t>Добриво GroGreen Гель Меджик 200 г Lima Бельгія</t>
        </is>
      </c>
      <c r="F1339" s="21" t="inlineStr">
        <is>
          <t>Тис середній Хіксіі Бонсай C230 / H200 / L100</t>
        </is>
      </c>
      <c r="G1339" s="23" t="n">
        <v>260</v>
      </c>
      <c r="H1339" s="23" t="n">
        <v>41400</v>
      </c>
      <c r="I1339" s="21" t="inlineStr">
        <is>
          <t>ID постачальника збігся, але назви різні</t>
        </is>
      </c>
    </row>
    <row r="1340">
      <c r="A1340" s="22" t="n">
        <v>31.8</v>
      </c>
      <c r="B1340" s="22" t="inlineStr">
        <is>
          <t>Клуб Рослин</t>
        </is>
      </c>
      <c r="C1340" s="22" t="inlineStr">
        <is>
          <t>7585</t>
        </is>
      </c>
      <c r="D1340" s="22" t="inlineStr">
        <is>
          <t>7585</t>
        </is>
      </c>
      <c r="E1340" s="21" t="inlineStr">
        <is>
          <t>Регулятор росту Бурштинова кислота 1 кг (розсип) Anhui Sunsing</t>
        </is>
      </c>
      <c r="F1340" s="21" t="inlineStr">
        <is>
          <t>Тис ягідний (а) Топіар, Складна Фігура C80 / H180-200</t>
        </is>
      </c>
      <c r="G1340" s="23" t="n">
        <v>200</v>
      </c>
      <c r="H1340" s="23" t="n">
        <v>10138</v>
      </c>
      <c r="I1340" s="21" t="inlineStr">
        <is>
          <t>ID постачальника збігся, але назви різні</t>
        </is>
      </c>
    </row>
    <row r="1341">
      <c r="A1341" s="22" t="n">
        <v>31.7</v>
      </c>
      <c r="B1341" s="22" t="inlineStr">
        <is>
          <t>Клуб Рослин</t>
        </is>
      </c>
      <c r="C1341" s="22" t="inlineStr">
        <is>
          <t>7293</t>
        </is>
      </c>
      <c r="D1341" s="22" t="inlineStr">
        <is>
          <t>7293</t>
        </is>
      </c>
      <c r="E1341" s="21" t="inlineStr">
        <is>
          <t>Добриво Вігортем-С / Vigortem-S 20 кг Meristem Мерістем Іспанія</t>
        </is>
      </c>
      <c r="F1341" s="21" t="inlineStr">
        <is>
          <t>Троянда Штамб Mix (в асортименті) C12 / Pa100</t>
        </is>
      </c>
      <c r="G1341" s="23" t="n">
        <v>28155</v>
      </c>
      <c r="H1341" s="23" t="n">
        <v>653</v>
      </c>
      <c r="I1341" s="21" t="inlineStr">
        <is>
          <t>ID постачальника збігся, але різні бренди</t>
        </is>
      </c>
    </row>
    <row r="1342">
      <c r="A1342" s="22" t="n">
        <v>31.7</v>
      </c>
      <c r="B1342" s="22" t="inlineStr">
        <is>
          <t>Клуб Рослин</t>
        </is>
      </c>
      <c r="C1342" s="22" t="inlineStr">
        <is>
          <t>1095</t>
        </is>
      </c>
      <c r="D1342" s="22" t="inlineStr">
        <is>
          <t>1095</t>
        </is>
      </c>
      <c r="E1342" s="21" t="inlineStr">
        <is>
          <t>Гербіцид Пендіган 10 л Adama Адама Ізраїль</t>
        </is>
      </c>
      <c r="F1342" s="21" t="inlineStr">
        <is>
          <t>Будлея Давіда Уайт Проф'южн PC14 C3 / H40-60</t>
        </is>
      </c>
      <c r="G1342" s="23" t="n">
        <v>5798</v>
      </c>
      <c r="H1342" s="23" t="n">
        <v>90</v>
      </c>
      <c r="I1342" s="21" t="inlineStr">
        <is>
          <t>ID постачальника збігся, але назви різні</t>
        </is>
      </c>
    </row>
    <row r="1343">
      <c r="A1343" s="22" t="n">
        <v>31.7</v>
      </c>
      <c r="B1343" s="22" t="inlineStr">
        <is>
          <t>Клуб Рослин</t>
        </is>
      </c>
      <c r="C1343" s="22" t="inlineStr">
        <is>
          <t>3340</t>
        </is>
      </c>
      <c r="D1343" s="22" t="inlineStr">
        <is>
          <t>3340</t>
        </is>
      </c>
      <c r="E1343" s="21" t="inlineStr">
        <is>
          <t>Фунгіцид Кустодія КС 5 л Adama Адама Ізраїль</t>
        </is>
      </c>
      <c r="F1343" s="21" t="inlineStr">
        <is>
          <t>Магнолія крупноквітковий (-а) C45 / H150-160</t>
        </is>
      </c>
      <c r="G1343" s="23" t="n">
        <v>5148</v>
      </c>
      <c r="H1343" s="23" t="n">
        <v>5415</v>
      </c>
      <c r="I1343" s="21" t="inlineStr">
        <is>
          <t>ID постачальника збігся, але назви різні</t>
        </is>
      </c>
    </row>
    <row r="1344">
      <c r="A1344" s="22" t="n">
        <v>31.7</v>
      </c>
      <c r="B1344" s="22" t="inlineStr">
        <is>
          <t>Клуб Рослин</t>
        </is>
      </c>
      <c r="C1344" s="22" t="inlineStr">
        <is>
          <t>5032</t>
        </is>
      </c>
      <c r="D1344" s="22" t="inlineStr">
        <is>
          <t>5032</t>
        </is>
      </c>
      <c r="E1344" s="21" t="inlineStr">
        <is>
          <t>Протруйник Каріоліс 5 л Ukravit Укравіт Україна</t>
        </is>
      </c>
      <c r="F1344" s="21" t="inlineStr">
        <is>
          <t>Сосна гнучка Пігмея Extra C12 / H50-60</t>
        </is>
      </c>
      <c r="G1344" s="23" t="n">
        <v>4748</v>
      </c>
      <c r="H1344" s="23" t="n">
        <v>2160</v>
      </c>
      <c r="I1344" s="21" t="inlineStr">
        <is>
          <t>ID постачальника збігся, але різні бренди</t>
        </is>
      </c>
    </row>
    <row r="1345">
      <c r="A1345" s="22" t="n">
        <v>31.7</v>
      </c>
      <c r="B1345" s="22" t="inlineStr">
        <is>
          <t>Клуб Рослин</t>
        </is>
      </c>
      <c r="C1345" s="22" t="inlineStr">
        <is>
          <t>9056</t>
        </is>
      </c>
      <c r="D1345" s="22" t="inlineStr">
        <is>
          <t>9056</t>
        </is>
      </c>
      <c r="E1345" s="21" t="inlineStr">
        <is>
          <t>Технічна хімія Ортофосфорна кислота 85% (H₃PO₄) 20 л Сербія</t>
        </is>
      </c>
      <c r="F1345" s="21" t="inlineStr">
        <is>
          <t>Динамік Гриппл Gripple D6 для натяжіння тросів</t>
        </is>
      </c>
      <c r="G1345" s="23" t="n">
        <v>3500</v>
      </c>
      <c r="H1345" s="23" t="n">
        <v>276</v>
      </c>
      <c r="I1345" s="21" t="inlineStr">
        <is>
          <t>ID постачальника збігся, але різні бренди</t>
        </is>
      </c>
    </row>
    <row r="1346">
      <c r="A1346" s="22" t="n">
        <v>31.7</v>
      </c>
      <c r="B1346" s="22" t="inlineStr">
        <is>
          <t>Клуб Рослин</t>
        </is>
      </c>
      <c r="C1346" s="22" t="inlineStr">
        <is>
          <t>3191</t>
        </is>
      </c>
      <c r="D1346" s="22" t="inlineStr">
        <is>
          <t>3191</t>
        </is>
      </c>
      <c r="E1346" s="21" t="inlineStr">
        <is>
          <t>Фунгіцид Ридоміл Голд R 162 WG ВДГ 5 кг Syngenta Сингента Швейцарія</t>
        </is>
      </c>
      <c r="F1346" s="21" t="inlineStr">
        <is>
          <t>Лілія тигрова Світ Саррендер 12\14</t>
        </is>
      </c>
      <c r="G1346" s="23" t="n">
        <v>2900</v>
      </c>
      <c r="H1346" s="23" t="n">
        <v>50</v>
      </c>
      <c r="I1346" s="21" t="inlineStr">
        <is>
          <t>ID постачальника збігся, але назви різні</t>
        </is>
      </c>
    </row>
    <row r="1347">
      <c r="A1347" s="22" t="n">
        <v>31.7</v>
      </c>
      <c r="B1347" s="22" t="inlineStr">
        <is>
          <t>Клуб Рослин</t>
        </is>
      </c>
      <c r="C1347" s="22" t="inlineStr">
        <is>
          <t>7167</t>
        </is>
      </c>
      <c r="D1347" s="22" t="inlineStr">
        <is>
          <t>7167</t>
        </is>
      </c>
      <c r="E1347" s="21" t="inlineStr">
        <is>
          <t>Біостимулянт Флорон (Florone) 1 л Вітера Atlantica Agricola Іспанія</t>
        </is>
      </c>
      <c r="F1347" s="21" t="inlineStr">
        <is>
          <t>Троянда гібридний(а) Еліна DP PC20 C2</t>
        </is>
      </c>
      <c r="G1347" s="23" t="n">
        <v>1880</v>
      </c>
      <c r="H1347" s="23" t="n">
        <v>174</v>
      </c>
      <c r="I1347" s="21" t="inlineStr">
        <is>
          <t>ID постачальника збігся, але різні бренди</t>
        </is>
      </c>
    </row>
    <row r="1348">
      <c r="A1348" s="22" t="n">
        <v>31.7</v>
      </c>
      <c r="B1348" s="22" t="inlineStr">
        <is>
          <t>Клуб Рослин</t>
        </is>
      </c>
      <c r="C1348" s="22" t="inlineStr">
        <is>
          <t>2176</t>
        </is>
      </c>
      <c r="D1348" s="22" t="inlineStr">
        <is>
          <t>2176</t>
        </is>
      </c>
      <c r="E1348" s="21" t="inlineStr">
        <is>
          <t>Інсектицид Фараон 5 л Хімагромаркетинг Україна</t>
        </is>
      </c>
      <c r="F1348" s="21" t="inlineStr">
        <is>
          <t>Гортензія великолисткова Ред Б'юті C4</t>
        </is>
      </c>
      <c r="G1348" s="23" t="n">
        <v>1848</v>
      </c>
      <c r="H1348" s="23" t="n">
        <v>315</v>
      </c>
      <c r="I1348" s="21" t="inlineStr">
        <is>
          <t>ID постачальника збігся, але назви різні</t>
        </is>
      </c>
    </row>
    <row r="1349">
      <c r="A1349" s="22" t="n">
        <v>31.7</v>
      </c>
      <c r="B1349" s="22" t="inlineStr">
        <is>
          <t>Клуб Рослин</t>
        </is>
      </c>
      <c r="C1349" s="22" t="inlineStr">
        <is>
          <t>5034</t>
        </is>
      </c>
      <c r="D1349" s="22" t="inlineStr">
        <is>
          <t>5034</t>
        </is>
      </c>
      <c r="E1349" s="21" t="inlineStr">
        <is>
          <t>Протруйник Тіабен Т / Tiaben T 1 л Хімагромаркетинг Україна</t>
        </is>
      </c>
      <c r="F1349" s="21" t="inlineStr">
        <is>
          <t>Сосна гнучка Ван дер Волфс Пірамід C10 / H40-60</t>
        </is>
      </c>
      <c r="G1349" s="23" t="n">
        <v>1375</v>
      </c>
      <c r="H1349" s="23" t="n">
        <v>1310</v>
      </c>
      <c r="I1349" s="21" t="inlineStr">
        <is>
          <t>ID постачальника збігся, але назви різні</t>
        </is>
      </c>
    </row>
    <row r="1350">
      <c r="A1350" s="22" t="n">
        <v>31.7</v>
      </c>
      <c r="B1350" s="22" t="inlineStr">
        <is>
          <t>Клуб Рослин</t>
        </is>
      </c>
      <c r="C1350" s="22" t="inlineStr">
        <is>
          <t>2123</t>
        </is>
      </c>
      <c r="D1350" s="22" t="inlineStr">
        <is>
          <t>2123</t>
        </is>
      </c>
      <c r="E1350" s="21" t="inlineStr">
        <is>
          <t>Грунтовий інсектицид Бізар 1 л Агро-Захист Україна</t>
        </is>
      </c>
      <c r="F1350" s="21" t="inlineStr">
        <is>
          <t>Гортензія великолисткова Ендлесс Саммер Зе Брайд ® C5</t>
        </is>
      </c>
      <c r="G1350" s="23" t="n">
        <v>975</v>
      </c>
      <c r="H1350" s="23" t="n">
        <v>840</v>
      </c>
      <c r="I1350" s="21" t="inlineStr">
        <is>
          <t>ID постачальника збігся, але назви різні</t>
        </is>
      </c>
    </row>
    <row r="1351">
      <c r="A1351" s="22" t="n">
        <v>31.7</v>
      </c>
      <c r="B1351" s="22" t="inlineStr">
        <is>
          <t>Клуб Рослин</t>
        </is>
      </c>
      <c r="C1351" s="22" t="inlineStr">
        <is>
          <t>7553</t>
        </is>
      </c>
      <c r="D1351" s="22" t="inlineStr">
        <is>
          <t>7553</t>
        </is>
      </c>
      <c r="E1351" s="21" t="inlineStr">
        <is>
          <t>Добриво Хелатин Залізо 10 л Кіссон Україна</t>
        </is>
      </c>
      <c r="F1351" s="21" t="inlineStr">
        <is>
          <t>Тис ягідний (а) Пон-Пон+Мультиштамб G / H60-100</t>
        </is>
      </c>
      <c r="G1351" s="23" t="n">
        <v>913</v>
      </c>
      <c r="H1351" s="23" t="n">
        <v>8420</v>
      </c>
      <c r="I1351" s="21" t="inlineStr">
        <is>
          <t>ID постачальника збігся, але назви різні</t>
        </is>
      </c>
    </row>
    <row r="1352">
      <c r="A1352" s="22" t="n">
        <v>31.7</v>
      </c>
      <c r="B1352" s="22" t="inlineStr">
        <is>
          <t>Клуб Рослин</t>
        </is>
      </c>
      <c r="C1352" s="22" t="inlineStr">
        <is>
          <t>3434</t>
        </is>
      </c>
      <c r="D1352" s="22" t="inlineStr">
        <is>
          <t>3434</t>
        </is>
      </c>
      <c r="E1352" s="21" t="inlineStr">
        <is>
          <t>Фунгіцид Оріус 250 1 л (розлив) Adama Адама Ізраїль</t>
        </is>
      </c>
      <c r="F1352" s="21" t="inlineStr">
        <is>
          <t>Магнолія Лебнера Вайлдкет Soliter Woodenbox 300 / H250+</t>
        </is>
      </c>
      <c r="G1352" s="23" t="n">
        <v>800</v>
      </c>
      <c r="H1352" s="23" t="n">
        <v>17158</v>
      </c>
      <c r="I1352" s="21" t="inlineStr">
        <is>
          <t>ID постачальника збігся, але різні бренди</t>
        </is>
      </c>
    </row>
    <row r="1353">
      <c r="A1353" s="22" t="n">
        <v>31.7</v>
      </c>
      <c r="B1353" s="22" t="inlineStr">
        <is>
          <t>Клуб Рослин</t>
        </is>
      </c>
      <c r="C1353" s="22" t="inlineStr">
        <is>
          <t>3115</t>
        </is>
      </c>
      <c r="D1353" s="22" t="inlineStr">
        <is>
          <t>3115</t>
        </is>
      </c>
      <c r="E1353" s="21" t="inlineStr">
        <is>
          <t>Фунгіцид Фолікур 1 л (розлив) Bayer Байєр Німеччина</t>
        </is>
      </c>
      <c r="F1353" s="21" t="inlineStr">
        <is>
          <t>Лаванда вузьколиста Хідкот Блю C1</t>
        </is>
      </c>
      <c r="G1353" s="23" t="n">
        <v>700</v>
      </c>
      <c r="H1353" s="23" t="n">
        <v>137</v>
      </c>
      <c r="I1353" s="21" t="inlineStr">
        <is>
          <t>ID постачальника збігся, але назви різні</t>
        </is>
      </c>
    </row>
    <row r="1354">
      <c r="A1354" s="22" t="n">
        <v>31.7</v>
      </c>
      <c r="B1354" s="22" t="inlineStr">
        <is>
          <t>Клуб Рослин</t>
        </is>
      </c>
      <c r="C1354" s="22" t="inlineStr">
        <is>
          <t>2010</t>
        </is>
      </c>
      <c r="D1354" s="22" t="inlineStr">
        <is>
          <t>2010</t>
        </is>
      </c>
      <c r="E1354" s="21" t="inlineStr">
        <is>
          <t>Інсектицид Оперкот Акро 1 л Хімагромаркетинг Україна</t>
        </is>
      </c>
      <c r="F1354" s="21" t="inlineStr">
        <is>
          <t>Гібіскус сірійський Дук де Брабант PC22 C5 / H80-100</t>
        </is>
      </c>
      <c r="G1354" s="23" t="n">
        <v>698</v>
      </c>
      <c r="H1354" s="23" t="n">
        <v>265</v>
      </c>
      <c r="I1354" s="21" t="inlineStr">
        <is>
          <t>ID постачальника збігся, але назви різні</t>
        </is>
      </c>
    </row>
    <row r="1355">
      <c r="A1355" s="22" t="n">
        <v>31.7</v>
      </c>
      <c r="B1355" s="22" t="inlineStr">
        <is>
          <t>Клуб Рослин</t>
        </is>
      </c>
      <c r="C1355" s="22" t="inlineStr">
        <is>
          <t>4014</t>
        </is>
      </c>
      <c r="D1355" s="22" t="inlineStr">
        <is>
          <t>4014</t>
        </is>
      </c>
      <c r="E1355" s="21" t="inlineStr">
        <is>
          <t>Фумігант Селфос 1 кг Ukravit Укравіт Україна</t>
        </is>
      </c>
      <c r="F1355" s="21" t="inlineStr">
        <is>
          <t>Ялина звичайна Віллс Цверг K14 G / H60-80</t>
        </is>
      </c>
      <c r="G1355" s="23" t="n">
        <v>572</v>
      </c>
      <c r="H1355" s="23" t="n">
        <v>922</v>
      </c>
      <c r="I1355" s="21" t="inlineStr">
        <is>
          <t>ID постачальника збігся, але різні об'єми або розміри</t>
        </is>
      </c>
    </row>
    <row r="1356">
      <c r="A1356" s="22" t="n">
        <v>31.7</v>
      </c>
      <c r="B1356" s="22" t="inlineStr">
        <is>
          <t>Клуб Рослин</t>
        </is>
      </c>
      <c r="C1356" s="22" t="inlineStr">
        <is>
          <t>2117</t>
        </is>
      </c>
      <c r="D1356" s="22" t="inlineStr">
        <is>
          <t>2117</t>
        </is>
      </c>
      <c r="E1356" s="21" t="inlineStr">
        <is>
          <t>Інсектицид Прованто Майт 60 мл Bayer Байер Німеччина</t>
        </is>
      </c>
      <c r="F1356" s="21" t="inlineStr">
        <is>
          <t>Гортензія великолисткова Ендлесс Саммер Блум Стар Пінк Роуз C5 / H20-30</t>
        </is>
      </c>
      <c r="G1356" s="23" t="n">
        <v>548</v>
      </c>
      <c r="H1356" s="23" t="n">
        <v>720</v>
      </c>
      <c r="I1356" s="21" t="inlineStr">
        <is>
          <t>ID постачальника збігся, але назви різні</t>
        </is>
      </c>
    </row>
    <row r="1357">
      <c r="A1357" s="22" t="n">
        <v>31.7</v>
      </c>
      <c r="B1357" s="22" t="inlineStr">
        <is>
          <t>Клуб Рослин</t>
        </is>
      </c>
      <c r="C1357" s="22" t="inlineStr">
        <is>
          <t>7231</t>
        </is>
      </c>
      <c r="D1357" s="22" t="inlineStr">
        <is>
          <t>7231</t>
        </is>
      </c>
      <c r="E1357" s="21" t="inlineStr">
        <is>
          <t>Добриво Альгум Плюс Alhum Plus 1 л SmartGrow Україна</t>
        </is>
      </c>
      <c r="F1357" s="21" t="inlineStr">
        <is>
          <t>Троянда Кордеса Сувенір де Баден Баден DP PC19 C5 / H20-30</t>
        </is>
      </c>
      <c r="G1357" s="23" t="n">
        <v>539</v>
      </c>
      <c r="H1357" s="23" t="n">
        <v>183</v>
      </c>
      <c r="I1357" s="21" t="inlineStr">
        <is>
          <t>ID постачальника збігся, але різні бренди</t>
        </is>
      </c>
    </row>
    <row r="1358">
      <c r="A1358" s="22" t="n">
        <v>31.7</v>
      </c>
      <c r="B1358" s="22" t="inlineStr">
        <is>
          <t>Клуб Рослин</t>
        </is>
      </c>
      <c r="C1358" s="22" t="inlineStr">
        <is>
          <t>7551</t>
        </is>
      </c>
      <c r="D1358" s="22" t="inlineStr">
        <is>
          <t>7551</t>
        </is>
      </c>
      <c r="E1358" s="21" t="inlineStr">
        <is>
          <t>Стимулятор росту Склобіцид / Sclobicide 500 мл Долина Україна</t>
        </is>
      </c>
      <c r="F1358" s="21" t="inlineStr">
        <is>
          <t>Тис ягідний (а) Пон-Пон+Мультиштамб C60 / H60-100</t>
        </is>
      </c>
      <c r="G1358" s="23" t="n">
        <v>358</v>
      </c>
      <c r="H1358" s="23" t="n">
        <v>9961</v>
      </c>
      <c r="I1358" s="21" t="inlineStr">
        <is>
          <t>ID постачальника збігся, але назви різні</t>
        </is>
      </c>
    </row>
    <row r="1359">
      <c r="A1359" s="22" t="n">
        <v>31.7</v>
      </c>
      <c r="B1359" s="22" t="inlineStr">
        <is>
          <t>Клуб Рослин</t>
        </is>
      </c>
      <c r="C1359" s="22" t="inlineStr">
        <is>
          <t>2199</t>
        </is>
      </c>
      <c r="D1359" s="22" t="inlineStr">
        <is>
          <t>2199</t>
        </is>
      </c>
      <c r="E1359" s="21" t="inlineStr">
        <is>
          <t>Інсекто-акарицид Препарат 30 В 900 мл Агропромніка Україна</t>
        </is>
      </c>
      <c r="F1359" s="21" t="inlineStr">
        <is>
          <t>Гортензія волотиста Кенделайт PC15 C5 / H60-80</t>
        </is>
      </c>
      <c r="G1359" s="23" t="n">
        <v>175</v>
      </c>
      <c r="H1359" s="23" t="n">
        <v>195</v>
      </c>
      <c r="I1359" s="21" t="inlineStr">
        <is>
          <t>ID постачальника збігся, але назви різні</t>
        </is>
      </c>
    </row>
    <row r="1360">
      <c r="A1360" s="22" t="n">
        <v>31.6</v>
      </c>
      <c r="B1360" s="22" t="inlineStr">
        <is>
          <t>Клуб Рослин</t>
        </is>
      </c>
      <c r="C1360" s="22" t="inlineStr">
        <is>
          <t>2306</t>
        </is>
      </c>
      <c r="D1360" s="22" t="inlineStr">
        <is>
          <t>2306</t>
        </is>
      </c>
      <c r="E1360" s="21" t="inlineStr">
        <is>
          <t>Інсектицид Спатаро КС 5 л Globagem N.V. Бельгія</t>
        </is>
      </c>
      <c r="F1360" s="21" t="inlineStr">
        <is>
          <t>Гортензія волотиста Межджікал Монт Блан PC19 C7,5</t>
        </is>
      </c>
      <c r="G1360" s="23" t="n">
        <v>10298</v>
      </c>
      <c r="H1360" s="23" t="n">
        <v>420</v>
      </c>
      <c r="I1360" s="21" t="inlineStr">
        <is>
          <t>ID постачальника збігся, але назви різні</t>
        </is>
      </c>
    </row>
    <row r="1361">
      <c r="A1361" s="22" t="n">
        <v>31.6</v>
      </c>
      <c r="B1361" s="22" t="inlineStr">
        <is>
          <t>Клуб Рослин</t>
        </is>
      </c>
      <c r="C1361" s="22" t="inlineStr">
        <is>
          <t>8149</t>
        </is>
      </c>
      <c r="D1361" s="22" t="inlineStr">
        <is>
          <t>8149</t>
        </is>
      </c>
      <c r="E1361" s="21" t="inlineStr">
        <is>
          <t>Інокулянт Радісан Хорт / Radisane Hort 1 кг Bioera Іспанія</t>
        </is>
      </c>
      <c r="F1361" s="21" t="inlineStr">
        <is>
          <t>Виноград культурний Новий подарок Запоріжжю (столовий) NN GK</t>
        </is>
      </c>
      <c r="G1361" s="23" t="n">
        <v>7800</v>
      </c>
      <c r="H1361" s="23" t="n">
        <v>80</v>
      </c>
      <c r="I1361" s="21" t="inlineStr">
        <is>
          <t>ID постачальника збігся, але різні бренди</t>
        </is>
      </c>
    </row>
    <row r="1362">
      <c r="A1362" s="22" t="n">
        <v>31.6</v>
      </c>
      <c r="B1362" s="22" t="inlineStr">
        <is>
          <t>Клуб Рослин</t>
        </is>
      </c>
      <c r="C1362" s="22" t="inlineStr">
        <is>
          <t>3123</t>
        </is>
      </c>
      <c r="D1362" s="22" t="inlineStr">
        <is>
          <t>3123</t>
        </is>
      </c>
      <c r="E1362" s="21" t="inlineStr">
        <is>
          <t>Фунгіцид Малвін 10 кг Arysta Аріста</t>
        </is>
      </c>
      <c r="F1362" s="21" t="inlineStr">
        <is>
          <t>Лаванда вузьколиста Платінум ніко PC20 C3</t>
        </is>
      </c>
      <c r="G1362" s="23" t="n">
        <v>6125</v>
      </c>
      <c r="H1362" s="23" t="n">
        <v>240</v>
      </c>
      <c r="I1362" s="21" t="inlineStr">
        <is>
          <t>ID постачальника збігся, але назви різні</t>
        </is>
      </c>
    </row>
    <row r="1363">
      <c r="A1363" s="22" t="n">
        <v>31.6</v>
      </c>
      <c r="B1363" s="22" t="inlineStr">
        <is>
          <t>Клуб Рослин</t>
        </is>
      </c>
      <c r="C1363" s="22" t="inlineStr">
        <is>
          <t>1134</t>
        </is>
      </c>
      <c r="D1363" s="22" t="inlineStr">
        <is>
          <t>1134</t>
        </is>
      </c>
      <c r="E1363" s="21" t="inlineStr">
        <is>
          <t>Гербіцид Опора 5 л Хімагромаркетинг Україна</t>
        </is>
      </c>
      <c r="F1363" s="21" t="inlineStr">
        <is>
          <t>Куничник гостроквітковий Карл Фоерстер PC15 C4 / H40-60</t>
        </is>
      </c>
      <c r="G1363" s="23" t="n">
        <v>2598</v>
      </c>
      <c r="H1363" s="23" t="n">
        <v>130</v>
      </c>
      <c r="I1363" s="21" t="inlineStr">
        <is>
          <t>ID постачальника збігся, але назви різні</t>
        </is>
      </c>
    </row>
    <row r="1364">
      <c r="A1364" s="22" t="n">
        <v>31.6</v>
      </c>
      <c r="B1364" s="22" t="inlineStr">
        <is>
          <t>Клуб Рослин</t>
        </is>
      </c>
      <c r="C1364" s="22" t="inlineStr">
        <is>
          <t>1157</t>
        </is>
      </c>
      <c r="D1364" s="22" t="inlineStr">
        <is>
          <t>1157</t>
        </is>
      </c>
      <c r="E1364" s="21" t="inlineStr">
        <is>
          <t>Гербіцид Триатлон Прайм 500 г Alfa Smart Agro / Альфа Смарт Агро Україна</t>
        </is>
      </c>
      <c r="F1364" s="21" t="inlineStr">
        <is>
          <t>Камелія японська Mix (в асортименті) C10 / H60-80</t>
        </is>
      </c>
      <c r="G1364" s="23" t="n">
        <v>2496</v>
      </c>
      <c r="H1364" s="23" t="n">
        <v>1800</v>
      </c>
      <c r="I1364" s="21" t="inlineStr">
        <is>
          <t>ID постачальника збігся, але різні бренди</t>
        </is>
      </c>
    </row>
    <row r="1365">
      <c r="A1365" s="22" t="n">
        <v>31.6</v>
      </c>
      <c r="B1365" s="22" t="inlineStr">
        <is>
          <t>Клуб Рослин</t>
        </is>
      </c>
      <c r="C1365" s="22" t="inlineStr">
        <is>
          <t>3002</t>
        </is>
      </c>
      <c r="D1365" s="22" t="inlineStr">
        <is>
          <t>3002</t>
        </is>
      </c>
      <c r="E1365" s="21" t="inlineStr">
        <is>
          <t>Фунгіцид Флінт Стар 1 л Bayer Байєр Німеччина</t>
        </is>
      </c>
      <c r="F1365" s="21" t="inlineStr">
        <is>
          <t>Ялівець середній Мінт Джулеп C5</t>
        </is>
      </c>
      <c r="G1365" s="23" t="n">
        <v>2348</v>
      </c>
      <c r="H1365" s="23" t="n">
        <v>290</v>
      </c>
      <c r="I1365" s="21" t="inlineStr">
        <is>
          <t>ID постачальника збігся, але назви різні</t>
        </is>
      </c>
    </row>
    <row r="1366">
      <c r="A1366" s="22" t="n">
        <v>31.6</v>
      </c>
      <c r="B1366" s="22" t="inlineStr">
        <is>
          <t>Клуб Рослин</t>
        </is>
      </c>
      <c r="C1366" s="22" t="inlineStr">
        <is>
          <t>1090</t>
        </is>
      </c>
      <c r="D1366" s="22" t="inlineStr">
        <is>
          <t>1090</t>
        </is>
      </c>
      <c r="E1366" s="21" t="inlineStr">
        <is>
          <t>Гербіцид Чистогран 5 кг Presence / Презенс</t>
        </is>
      </c>
      <c r="F1366" s="21" t="inlineStr">
        <is>
          <t>Будлея Давіда Роял Ред PC14 C3 / H60-80</t>
        </is>
      </c>
      <c r="G1366" s="23" t="n">
        <v>1698</v>
      </c>
      <c r="H1366" s="23" t="n">
        <v>105</v>
      </c>
      <c r="I1366" s="21" t="inlineStr">
        <is>
          <t>ID постачальника збігся, але назви різні</t>
        </is>
      </c>
    </row>
    <row r="1367">
      <c r="A1367" s="22" t="n">
        <v>31.6</v>
      </c>
      <c r="B1367" s="22" t="inlineStr">
        <is>
          <t>Клуб Рослин</t>
        </is>
      </c>
      <c r="C1367" s="22" t="inlineStr">
        <is>
          <t>2033</t>
        </is>
      </c>
      <c r="D1367" s="22" t="inlineStr">
        <is>
          <t>2033</t>
        </is>
      </c>
      <c r="E1367" s="21" t="inlineStr">
        <is>
          <t>Інсектицид акарицид Санмайт ЗП 500 г Sumiagro Самміт Агро Японія</t>
        </is>
      </c>
      <c r="F1367" s="21" t="inlineStr">
        <is>
          <t>Гібіскус сірійський Маджента Шифон Штамб ® C10 / Pa100</t>
        </is>
      </c>
      <c r="G1367" s="23" t="n">
        <v>1425</v>
      </c>
      <c r="H1367" s="23" t="n">
        <v>1884</v>
      </c>
      <c r="I1367" s="21" t="inlineStr">
        <is>
          <t>ID постачальника збігся, але назви різні</t>
        </is>
      </c>
    </row>
    <row r="1368">
      <c r="A1368" s="22" t="n">
        <v>31.6</v>
      </c>
      <c r="B1368" s="22" t="inlineStr">
        <is>
          <t>Клуб Рослин</t>
        </is>
      </c>
      <c r="C1368" s="22" t="inlineStr">
        <is>
          <t>7078</t>
        </is>
      </c>
      <c r="D1368" s="22" t="inlineStr">
        <is>
          <t>7078</t>
        </is>
      </c>
      <c r="E1368" s="21" t="inlineStr">
        <is>
          <t>Біостимулятор Кендал Рут Kendal Root 1 л Valagro Валагро Італія</t>
        </is>
      </c>
      <c r="F1368" s="21" t="inlineStr">
        <is>
          <t>Троянда Арка Mix (в асортименті) C</t>
        </is>
      </c>
      <c r="G1368" s="23" t="n">
        <v>1175</v>
      </c>
      <c r="H1368" s="23" t="n">
        <v>8879</v>
      </c>
      <c r="I1368" s="21" t="inlineStr">
        <is>
          <t>ID постачальника збігся, але різні бренди</t>
        </is>
      </c>
    </row>
    <row r="1369">
      <c r="A1369" s="22" t="n">
        <v>31.6</v>
      </c>
      <c r="B1369" s="22" t="inlineStr">
        <is>
          <t>Клуб Рослин</t>
        </is>
      </c>
      <c r="C1369" s="22" t="inlineStr">
        <is>
          <t>3259</t>
        </is>
      </c>
      <c r="D1369" s="22" t="inlineStr">
        <is>
          <t>3259</t>
        </is>
      </c>
      <c r="E1369" s="21" t="inlineStr">
        <is>
          <t>Фунгіцид Екватор КЕ 1 л Akvarius Акваріус Україна</t>
        </is>
      </c>
      <c r="F1369" s="21" t="inlineStr">
        <is>
          <t>Ліріодендрон (Тюльпанове дерево) тюльпановий K20 C180 / o8-10 / Pa150-200</t>
        </is>
      </c>
      <c r="G1369" s="23" t="n">
        <v>962</v>
      </c>
      <c r="H1369" s="23" t="n">
        <v>6624</v>
      </c>
      <c r="I1369" s="21" t="inlineStr">
        <is>
          <t>ID постачальника збігся, але назви різні</t>
        </is>
      </c>
    </row>
    <row r="1370">
      <c r="A1370" s="22" t="n">
        <v>31.6</v>
      </c>
      <c r="B1370" s="22" t="inlineStr">
        <is>
          <t>Клуб Рослин</t>
        </is>
      </c>
      <c r="C1370" s="22" t="inlineStr">
        <is>
          <t>3225</t>
        </is>
      </c>
      <c r="D1370" s="22" t="inlineStr">
        <is>
          <t>3225</t>
        </is>
      </c>
      <c r="E1370" s="21" t="inlineStr">
        <is>
          <t>Фунгіцид Арева Голд 1 кг Аdama Адама Ізраїль</t>
        </is>
      </c>
      <c r="F1370" s="21" t="inlineStr">
        <is>
          <t>Ліквідамбар (Амброве дерево) смолоносний G+C270 / o20-25</t>
        </is>
      </c>
      <c r="G1370" s="23" t="n">
        <v>754</v>
      </c>
      <c r="H1370" s="23" t="n">
        <v>11325</v>
      </c>
      <c r="I1370" s="21" t="inlineStr">
        <is>
          <t>ID постачальника збігся, але назви різні</t>
        </is>
      </c>
    </row>
    <row r="1371">
      <c r="A1371" s="22" t="n">
        <v>31.6</v>
      </c>
      <c r="B1371" s="22" t="inlineStr">
        <is>
          <t>Клуб Рослин</t>
        </is>
      </c>
      <c r="C1371" s="22" t="inlineStr">
        <is>
          <t>7047</t>
        </is>
      </c>
      <c r="D1371" s="22" t="inlineStr">
        <is>
          <t>7047</t>
        </is>
      </c>
      <c r="E1371" s="21" t="inlineStr">
        <is>
          <t>Добриво Феррілен Ferrilene 4.8 1 кг Valagro Валагро Італія</t>
        </is>
      </c>
      <c r="F1371" s="21" t="inlineStr">
        <is>
          <t>Смородина чорна Ювілейна Копаня BS GK</t>
        </is>
      </c>
      <c r="G1371" s="23" t="n">
        <v>725</v>
      </c>
      <c r="H1371" s="23" t="n">
        <v>30</v>
      </c>
      <c r="I1371" s="21" t="inlineStr">
        <is>
          <t>ID постачальника збігся, але різні бренди</t>
        </is>
      </c>
    </row>
    <row r="1372">
      <c r="A1372" s="22" t="n">
        <v>31.6</v>
      </c>
      <c r="B1372" s="22" t="inlineStr">
        <is>
          <t>Клуб Рослин</t>
        </is>
      </c>
      <c r="C1372" s="22" t="inlineStr">
        <is>
          <t>9010</t>
        </is>
      </c>
      <c r="D1372" s="22" t="inlineStr">
        <is>
          <t>9010</t>
        </is>
      </c>
      <c r="E1372" s="21" t="inlineStr">
        <is>
          <t>Прилипач Добрий Господар 5 л Агро-Захист Україна</t>
        </is>
      </c>
      <c r="F1372" s="21" t="inlineStr">
        <is>
          <t>Декоративний паркан Eko-Palisada 22 см, 1 м (сірий)</t>
        </is>
      </c>
      <c r="G1372" s="23" t="n">
        <v>498</v>
      </c>
      <c r="H1372" s="23" t="n">
        <v>220</v>
      </c>
      <c r="I1372" s="21" t="inlineStr">
        <is>
          <t>ID постачальника збігся, але різні об'єми або розміри</t>
        </is>
      </c>
    </row>
    <row r="1373">
      <c r="A1373" s="22" t="n">
        <v>31.6</v>
      </c>
      <c r="B1373" s="22" t="inlineStr">
        <is>
          <t>Клуб Рослин</t>
        </is>
      </c>
      <c r="C1373" s="22" t="inlineStr">
        <is>
          <t>7769</t>
        </is>
      </c>
      <c r="D1373" s="22" t="inlineStr">
        <is>
          <t>7769</t>
        </is>
      </c>
      <c r="E1373" s="21" t="inlineStr">
        <is>
          <t>Добриво Ікар Елайз (Сірка) / Ikar Elais 1 л Литва</t>
        </is>
      </c>
      <c r="F1373" s="21" t="inlineStr">
        <is>
          <t>Туя західна (ий) Мірьям ® K G / H40-50</t>
        </is>
      </c>
      <c r="G1373" s="23" t="n">
        <v>435</v>
      </c>
      <c r="H1373" s="23" t="n">
        <v>576</v>
      </c>
      <c r="I1373" s="21" t="inlineStr">
        <is>
          <t>ID постачальника збігся, але назви різні</t>
        </is>
      </c>
    </row>
    <row r="1374">
      <c r="A1374" s="22" t="n">
        <v>31.6</v>
      </c>
      <c r="B1374" s="22" t="inlineStr">
        <is>
          <t>Клуб Рослин</t>
        </is>
      </c>
      <c r="C1374" s="22" t="inlineStr">
        <is>
          <t>7996</t>
        </is>
      </c>
      <c r="D1374" s="22" t="inlineStr">
        <is>
          <t>7996</t>
        </is>
      </c>
      <c r="E1374" s="21" t="inlineStr">
        <is>
          <t>Добриво Леда Гель Мікро / Leda Gel Micro 500 мл Велика Британія</t>
        </is>
      </c>
      <c r="F1374" s="21" t="inlineStr">
        <is>
          <t>Липа широколиста Фастігіата Штамб C100 / o18-20 / Pa150-175</t>
        </is>
      </c>
      <c r="G1374" s="23" t="n">
        <v>404</v>
      </c>
      <c r="H1374" s="23" t="n">
        <v>8280</v>
      </c>
      <c r="I1374" s="21" t="inlineStr">
        <is>
          <t>ID постачальника збігся, але назви різні</t>
        </is>
      </c>
    </row>
    <row r="1375">
      <c r="A1375" s="22" t="n">
        <v>31.6</v>
      </c>
      <c r="B1375" s="22" t="inlineStr">
        <is>
          <t>Клуб Рослин</t>
        </is>
      </c>
      <c r="C1375" s="22" t="inlineStr">
        <is>
          <t>8099</t>
        </is>
      </c>
      <c r="D1375" s="22" t="inlineStr">
        <is>
          <t>8099</t>
        </is>
      </c>
      <c r="E1375" s="21" t="inlineStr">
        <is>
          <t>Добриво Osmocote / Хобі Осмокот для плодово-ягідних 16-8-16 (5-6 М) 1 кг ICL Нідерланди</t>
        </is>
      </c>
      <c r="F1375" s="21" t="inlineStr">
        <is>
          <t>Чорниця висока (Голубика, Лохина) Блюкроп PC20 C25 / H80-90</t>
        </is>
      </c>
      <c r="G1375" s="23" t="n">
        <v>397</v>
      </c>
      <c r="H1375" s="23" t="n">
        <v>1080</v>
      </c>
      <c r="I1375" s="21" t="inlineStr">
        <is>
          <t>ID постачальника збігся, але назви різні</t>
        </is>
      </c>
    </row>
    <row r="1376">
      <c r="A1376" s="22" t="n">
        <v>31.6</v>
      </c>
      <c r="B1376" s="22" t="inlineStr">
        <is>
          <t>Клуб Рослин</t>
        </is>
      </c>
      <c r="C1376" s="22" t="inlineStr">
        <is>
          <t>2055</t>
        </is>
      </c>
      <c r="D1376" s="22" t="inlineStr">
        <is>
          <t>2055</t>
        </is>
      </c>
      <c r="E1376" s="21" t="inlineStr">
        <is>
          <t>Інсектицид Жук OFF 0,5 л Ukravit Укравіт Україна</t>
        </is>
      </c>
      <c r="F1376" s="21" t="inlineStr">
        <is>
          <t>Гібіскус сірійський Пінк Джаінт PC21 C3 / H100-120</t>
        </is>
      </c>
      <c r="G1376" s="23" t="n">
        <v>375</v>
      </c>
      <c r="H1376" s="23" t="n">
        <v>203</v>
      </c>
      <c r="I1376" s="21" t="inlineStr">
        <is>
          <t>ID постачальника збігся, але назви різні</t>
        </is>
      </c>
    </row>
    <row r="1377">
      <c r="A1377" s="22" t="n">
        <v>31.5</v>
      </c>
      <c r="B1377" s="22" t="inlineStr">
        <is>
          <t>Водоспад</t>
        </is>
      </c>
      <c r="C1377" s="22" t="inlineStr">
        <is>
          <t>40-227</t>
        </is>
      </c>
      <c r="D1377" s="22" t="inlineStr">
        <is>
          <t>40227</t>
        </is>
      </c>
      <c r="E1377" s="21" t="inlineStr">
        <is>
          <t>Вирівнювач грунту Cellpro 1670 мм Целлфаст / Cellfast (40-227) Польща</t>
        </is>
      </c>
      <c r="F1377" s="21" t="inlineStr">
        <is>
          <t>Свердло Bosch CYL-5 бетон 8x50x100мм (2608588151)</t>
        </is>
      </c>
      <c r="G1377" s="23" t="n">
        <v>1798</v>
      </c>
      <c r="H1377" s="23" t="n">
        <v>235</v>
      </c>
      <c r="I1377" s="21" t="inlineStr">
        <is>
          <t>ID постачальника збігся, але різні об'єми або розміри</t>
        </is>
      </c>
    </row>
    <row r="1378">
      <c r="A1378" s="22" t="n">
        <v>31.5</v>
      </c>
      <c r="B1378" s="22" t="inlineStr">
        <is>
          <t>Клуб Рослин</t>
        </is>
      </c>
      <c r="C1378" s="22" t="inlineStr">
        <is>
          <t>3190</t>
        </is>
      </c>
      <c r="D1378" s="22" t="inlineStr">
        <is>
          <t>3190</t>
        </is>
      </c>
      <c r="E1378" s="21" t="inlineStr">
        <is>
          <t>Фунгіцид Міравіс 200 SC КС 1 л Syngenta Сингента Швейцарія</t>
        </is>
      </c>
      <c r="F1378" s="21" t="inlineStr">
        <is>
          <t>Лілія тигрова Перл Стейсі 12\14</t>
        </is>
      </c>
      <c r="G1378" s="23" t="n">
        <v>5975</v>
      </c>
      <c r="H1378" s="23" t="n">
        <v>50</v>
      </c>
      <c r="I1378" s="21" t="inlineStr">
        <is>
          <t>ID постачальника збігся, але назви різні</t>
        </is>
      </c>
    </row>
    <row r="1379">
      <c r="A1379" s="22" t="n">
        <v>31.5</v>
      </c>
      <c r="B1379" s="22" t="inlineStr">
        <is>
          <t>Клуб Рослин</t>
        </is>
      </c>
      <c r="C1379" s="22" t="inlineStr">
        <is>
          <t>7071</t>
        </is>
      </c>
      <c r="D1379" s="22" t="inlineStr">
        <is>
          <t>7071</t>
        </is>
      </c>
      <c r="E1379" s="21" t="inlineStr">
        <is>
          <t>Добриво ЕДТА мідь EDTA Cu 5 кг Valagro Валагро Італія</t>
        </is>
      </c>
      <c r="F1379" s="21" t="inlineStr">
        <is>
          <t>Акація псевдоакація Умбракуліфера PC21 C230 / o20-30 / Pa200</t>
        </is>
      </c>
      <c r="G1379" s="23" t="n">
        <v>5925</v>
      </c>
      <c r="H1379" s="23" t="n">
        <v>8280</v>
      </c>
      <c r="I1379" s="21" t="inlineStr">
        <is>
          <t>ID постачальника збігся, але назви різні</t>
        </is>
      </c>
    </row>
    <row r="1380">
      <c r="A1380" s="22" t="n">
        <v>31.5</v>
      </c>
      <c r="B1380" s="22" t="inlineStr">
        <is>
          <t>Клуб Рослин</t>
        </is>
      </c>
      <c r="C1380" s="22" t="inlineStr">
        <is>
          <t>2165</t>
        </is>
      </c>
      <c r="D1380" s="22" t="inlineStr">
        <is>
          <t>2165</t>
        </is>
      </c>
      <c r="E1380" s="21" t="inlineStr">
        <is>
          <t>Акарицид Гексоран 1 л Хімагромаркетинг Україна</t>
        </is>
      </c>
      <c r="F1380" s="21" t="inlineStr">
        <is>
          <t>Гортензія великолисткова Меджікал Пінк Клауд ® 1gr PC20 C5 / H50-60</t>
        </is>
      </c>
      <c r="G1380" s="23" t="n">
        <v>4148</v>
      </c>
      <c r="H1380" s="23" t="n">
        <v>720</v>
      </c>
      <c r="I1380" s="21" t="inlineStr">
        <is>
          <t>ID постачальника збігся, але назви різні</t>
        </is>
      </c>
    </row>
    <row r="1381">
      <c r="A1381" s="22" t="n">
        <v>31.5</v>
      </c>
      <c r="B1381" s="22" t="inlineStr">
        <is>
          <t>Клуб Рослин</t>
        </is>
      </c>
      <c r="C1381" s="22" t="inlineStr">
        <is>
          <t>3078</t>
        </is>
      </c>
      <c r="D1381" s="22" t="inlineStr">
        <is>
          <t>3078</t>
        </is>
      </c>
      <c r="E1381" s="21" t="inlineStr">
        <is>
          <t>Фунгіцид Захисник Екстра 5 л Ukravit Україна</t>
        </is>
      </c>
      <c r="F1381" s="21" t="inlineStr">
        <is>
          <t>Бобовник альпійський Санспайє Штамб C15 / Pa130</t>
        </is>
      </c>
      <c r="G1381" s="23" t="n">
        <v>3898</v>
      </c>
      <c r="H1381" s="23" t="n">
        <v>1380</v>
      </c>
      <c r="I1381" s="21" t="inlineStr">
        <is>
          <t>ID постачальника збігся, але назви різні</t>
        </is>
      </c>
    </row>
    <row r="1382">
      <c r="A1382" s="22" t="n">
        <v>31.5</v>
      </c>
      <c r="B1382" s="22" t="inlineStr">
        <is>
          <t>Клуб Рослин</t>
        </is>
      </c>
      <c r="C1382" s="22" t="inlineStr">
        <is>
          <t>3174</t>
        </is>
      </c>
      <c r="D1382" s="22" t="inlineStr">
        <is>
          <t>3174</t>
        </is>
      </c>
      <c r="E1382" s="21" t="inlineStr">
        <is>
          <t>Фунгіцид ІКАРУС ТУРБО 430 SC КС 5 л Самміт-Агро Японія</t>
        </is>
      </c>
      <c r="F1382" s="21" t="inlineStr">
        <is>
          <t>Лілія східна гібридна Сіберія 12\14</t>
        </is>
      </c>
      <c r="G1382" s="23" t="n">
        <v>3698</v>
      </c>
      <c r="H1382" s="23" t="n">
        <v>50</v>
      </c>
      <c r="I1382" s="21" t="inlineStr">
        <is>
          <t>ID постачальника збігся, але назви різні</t>
        </is>
      </c>
    </row>
    <row r="1383">
      <c r="A1383" s="22" t="n">
        <v>31.5</v>
      </c>
      <c r="B1383" s="22" t="inlineStr">
        <is>
          <t>Клуб Рослин</t>
        </is>
      </c>
      <c r="C1383" s="22" t="inlineStr">
        <is>
          <t>7136</t>
        </is>
      </c>
      <c r="D1383" s="22" t="inlineStr">
        <is>
          <t>7136</t>
        </is>
      </c>
      <c r="E1383" s="21" t="inlineStr">
        <is>
          <t>Добриво Гуміголд GumiGold (Гумат калію) 10 кг Кіссон Україна</t>
        </is>
      </c>
      <c r="F1383" s="21" t="inlineStr">
        <is>
          <t>Троянда густоквіткова Майн Мюнхен DP PC19 C5 / H20-30</t>
        </is>
      </c>
      <c r="G1383" s="23" t="n">
        <v>2825</v>
      </c>
      <c r="H1383" s="23" t="n">
        <v>145</v>
      </c>
      <c r="I1383" s="21" t="inlineStr">
        <is>
          <t>ID постачальника збігся, але різні бренди</t>
        </is>
      </c>
    </row>
    <row r="1384">
      <c r="A1384" s="22" t="n">
        <v>31.5</v>
      </c>
      <c r="B1384" s="22" t="inlineStr">
        <is>
          <t>Клуб Рослин</t>
        </is>
      </c>
      <c r="C1384" s="22" t="inlineStr">
        <is>
          <t>1013</t>
        </is>
      </c>
      <c r="D1384" s="22" t="inlineStr">
        <is>
          <t>1013</t>
        </is>
      </c>
      <c r="E1384" s="21" t="inlineStr">
        <is>
          <t>Десикант Регістан РК 20 л Агрохімічні технології Україна</t>
        </is>
      </c>
      <c r="F1384" s="21" t="inlineStr">
        <is>
          <t>Барбарис Тунберга Розетта PC14 P9</t>
        </is>
      </c>
      <c r="G1384" s="23" t="n">
        <v>2750</v>
      </c>
      <c r="H1384" s="23" t="n">
        <v>25</v>
      </c>
      <c r="I1384" s="21" t="inlineStr">
        <is>
          <t>ID постачальника збігся, але назви різні</t>
        </is>
      </c>
    </row>
    <row r="1385">
      <c r="A1385" s="22" t="n">
        <v>31.5</v>
      </c>
      <c r="B1385" s="22" t="inlineStr">
        <is>
          <t>Клуб Рослин</t>
        </is>
      </c>
      <c r="C1385" s="22" t="inlineStr">
        <is>
          <t>3106</t>
        </is>
      </c>
      <c r="D1385" s="22" t="inlineStr">
        <is>
          <t>3106</t>
        </is>
      </c>
      <c r="E1385" s="21" t="inlineStr">
        <is>
          <t>Фунгіцид Превікур Енерджі 1 л Bayer Німеччина</t>
        </is>
      </c>
      <c r="F1385" s="21" t="inlineStr">
        <is>
          <t>Модрина японська Стів Віпер Штамб C7,5 / Pa120</t>
        </is>
      </c>
      <c r="G1385" s="23" t="n">
        <v>1998</v>
      </c>
      <c r="H1385" s="23" t="n">
        <v>1565</v>
      </c>
      <c r="I1385" s="21" t="inlineStr">
        <is>
          <t>ID постачальника збігся, але назви різні</t>
        </is>
      </c>
    </row>
    <row r="1386">
      <c r="A1386" s="22" t="n">
        <v>31.5</v>
      </c>
      <c r="B1386" s="22" t="inlineStr">
        <is>
          <t>Клуб Рослин</t>
        </is>
      </c>
      <c r="C1386" s="22" t="inlineStr">
        <is>
          <t>7121</t>
        </is>
      </c>
      <c r="D1386" s="22" t="inlineStr">
        <is>
          <t>7121</t>
        </is>
      </c>
      <c r="E1386" s="21" t="inlineStr">
        <is>
          <t>Рост-концентрат NPK 5+5+5 Універсальний 10 л Кіссон Україна</t>
        </is>
      </c>
      <c r="F1386" s="21" t="inlineStr">
        <is>
          <t>Троянда плетиста Вайт Бьюти SP G</t>
        </is>
      </c>
      <c r="G1386" s="23" t="n">
        <v>948</v>
      </c>
      <c r="H1386" s="23" t="n">
        <v>44</v>
      </c>
      <c r="I1386" s="21" t="inlineStr">
        <is>
          <t>ID постачальника збігся, але різні бренди</t>
        </is>
      </c>
    </row>
    <row r="1387">
      <c r="A1387" s="22" t="n">
        <v>31.5</v>
      </c>
      <c r="B1387" s="22" t="inlineStr">
        <is>
          <t>Клуб Рослин</t>
        </is>
      </c>
      <c r="C1387" s="22" t="inlineStr">
        <is>
          <t>10-101</t>
        </is>
      </c>
      <c r="D1387" s="22" t="inlineStr">
        <is>
          <t>10101</t>
        </is>
      </c>
      <c r="E1387" s="21" t="inlineStr">
        <is>
          <t>Пила садова вигнута 490 мм Тукан / Toucan (10-101)</t>
        </is>
      </c>
      <c r="F1387" s="21" t="inlineStr">
        <is>
          <t>Кокосовий блок Ceres 5 кг в упакуванні (Церес)</t>
        </is>
      </c>
      <c r="G1387" s="23" t="n">
        <v>298</v>
      </c>
      <c r="H1387" s="23" t="n">
        <v>283.1</v>
      </c>
      <c r="I1387" s="21" t="inlineStr">
        <is>
          <t>ID постачальника збігся, але різні об'єми або розміри</t>
        </is>
      </c>
    </row>
    <row r="1388">
      <c r="A1388" s="22" t="n">
        <v>31.4</v>
      </c>
      <c r="B1388" s="22" t="inlineStr">
        <is>
          <t>Водоспад</t>
        </is>
      </c>
      <c r="C1388" s="22" t="inlineStr">
        <is>
          <t>41-041</t>
        </is>
      </c>
      <c r="D1388" s="22" t="inlineStr">
        <is>
          <t>41041</t>
        </is>
      </c>
      <c r="E1388" s="21" t="inlineStr">
        <is>
          <t>Пила садова складна Целлфаст / Cellfast ERGO 25 см 300 г (41-041) Польща</t>
        </is>
      </c>
      <c r="F1388" s="21" t="inlineStr">
        <is>
          <t>Термочашка Shortstack Matte Black 0.23 л (6939236348201)</t>
        </is>
      </c>
      <c r="G1388" s="23" t="n">
        <v>990</v>
      </c>
      <c r="H1388" s="23" t="n">
        <v>1069</v>
      </c>
      <c r="I1388" s="21" t="inlineStr">
        <is>
          <t>ID постачальника збігся, але різні об'єми або розміри</t>
        </is>
      </c>
    </row>
    <row r="1389">
      <c r="A1389" s="22" t="n">
        <v>31.4</v>
      </c>
      <c r="B1389" s="22" t="inlineStr">
        <is>
          <t>Клуб Рослин</t>
        </is>
      </c>
      <c r="C1389" s="22" t="inlineStr">
        <is>
          <t>7163</t>
        </is>
      </c>
      <c r="D1389" s="22" t="inlineStr">
        <is>
          <t>7163</t>
        </is>
      </c>
      <c r="E1389" s="21" t="inlineStr">
        <is>
          <t>Добриво Атланте Cu Мідь 5 л Вітера Atlantica Agricola Іспанія</t>
        </is>
      </c>
      <c r="F1389" s="21" t="inlineStr">
        <is>
          <t>Троянда гібридний(а) Дам де Кер DP PC20 C2</t>
        </is>
      </c>
      <c r="G1389" s="23" t="n">
        <v>5948</v>
      </c>
      <c r="H1389" s="23" t="n">
        <v>144</v>
      </c>
      <c r="I1389" s="21" t="inlineStr">
        <is>
          <t>ID постачальника збігся, але різні бренди</t>
        </is>
      </c>
    </row>
    <row r="1390">
      <c r="A1390" s="22" t="n">
        <v>31.4</v>
      </c>
      <c r="B1390" s="22" t="inlineStr">
        <is>
          <t>Клуб Рослин</t>
        </is>
      </c>
      <c r="C1390" s="22" t="inlineStr">
        <is>
          <t>7508</t>
        </is>
      </c>
      <c r="D1390" s="22" t="inlineStr">
        <is>
          <t>7508</t>
        </is>
      </c>
      <c r="E1390" s="21" t="inlineStr">
        <is>
          <t>Добриво YaraTera Kristalon ЯраТера Кристалон 12-12-36 25 кг Нідерланди</t>
        </is>
      </c>
      <c r="F1390" s="21" t="inlineStr">
        <is>
          <t>Тис ягідний (а) Куб C250 / H150-160 / L60</t>
        </is>
      </c>
      <c r="G1390" s="23" t="n">
        <v>4398</v>
      </c>
      <c r="H1390" s="23" t="n">
        <v>34776</v>
      </c>
      <c r="I1390" s="21" t="inlineStr">
        <is>
          <t>ID постачальника збігся, але різні коди виробника</t>
        </is>
      </c>
    </row>
    <row r="1391">
      <c r="A1391" s="22" t="n">
        <v>31.4</v>
      </c>
      <c r="B1391" s="22" t="inlineStr">
        <is>
          <t>Клуб Рослин</t>
        </is>
      </c>
      <c r="C1391" s="22" t="inlineStr">
        <is>
          <t>5022</t>
        </is>
      </c>
      <c r="D1391" s="22" t="inlineStr">
        <is>
          <t>5022</t>
        </is>
      </c>
      <c r="E1391" s="21" t="inlineStr">
        <is>
          <t>Протруйник Кватрофорс 5 л Агрохімічні технології Україна</t>
        </is>
      </c>
      <c r="F1391" s="21" t="inlineStr">
        <is>
          <t>Сосна густоквіткова Умбракуліфера K20 G / H80-100</t>
        </is>
      </c>
      <c r="G1391" s="23" t="n">
        <v>4398</v>
      </c>
      <c r="H1391" s="23" t="n">
        <v>1800</v>
      </c>
      <c r="I1391" s="21" t="inlineStr">
        <is>
          <t>ID постачальника збігся, але різні об'єми або розміри</t>
        </is>
      </c>
    </row>
    <row r="1392">
      <c r="A1392" s="22" t="n">
        <v>31.4</v>
      </c>
      <c r="B1392" s="22" t="inlineStr">
        <is>
          <t>Клуб Рослин</t>
        </is>
      </c>
      <c r="C1392" s="22" t="inlineStr">
        <is>
          <t>7256</t>
        </is>
      </c>
      <c r="D1392" s="22" t="inlineStr">
        <is>
          <t>7256</t>
        </is>
      </c>
      <c r="E1392" s="21" t="inlineStr">
        <is>
          <t>Добриво Брендт Конвердж / BRANDT Converge 10 л SRN 28-0-0 Іспанія</t>
        </is>
      </c>
      <c r="F1392" s="21" t="inlineStr">
        <is>
          <t>Троянда мініатюрна Зе Фейрі PC21 C5 / H30-40</t>
        </is>
      </c>
      <c r="G1392" s="23" t="n">
        <v>4156</v>
      </c>
      <c r="H1392" s="23" t="n">
        <v>190</v>
      </c>
      <c r="I1392" s="21" t="inlineStr">
        <is>
          <t>ID постачальника збігся, але назви різні</t>
        </is>
      </c>
    </row>
    <row r="1393">
      <c r="A1393" s="22" t="n">
        <v>31.4</v>
      </c>
      <c r="B1393" s="22" t="inlineStr">
        <is>
          <t>Клуб Рослин</t>
        </is>
      </c>
      <c r="C1393" s="22" t="inlineStr">
        <is>
          <t>7082</t>
        </is>
      </c>
      <c r="D1393" s="22" t="inlineStr">
        <is>
          <t>7082</t>
        </is>
      </c>
      <c r="E1393" s="21" t="inlineStr">
        <is>
          <t>Біостимулятор Максикроп Екстра Maxicrop Extra 1 кг Valagro Валагро Італія</t>
        </is>
      </c>
      <c r="F1393" s="21" t="inlineStr">
        <is>
          <t>Троянда плетиста Белфаст SP G</t>
        </is>
      </c>
      <c r="G1393" s="23" t="n">
        <v>1648</v>
      </c>
      <c r="H1393" s="23" t="n">
        <v>44</v>
      </c>
      <c r="I1393" s="21" t="inlineStr">
        <is>
          <t>ID постачальника збігся, але різні бренди</t>
        </is>
      </c>
    </row>
    <row r="1394">
      <c r="A1394" s="22" t="n">
        <v>31.4</v>
      </c>
      <c r="B1394" s="22" t="inlineStr">
        <is>
          <t>Клуб Рослин</t>
        </is>
      </c>
      <c r="C1394" s="22" t="inlineStr">
        <is>
          <t>3329</t>
        </is>
      </c>
      <c r="D1394" s="22" t="inlineStr">
        <is>
          <t>3329</t>
        </is>
      </c>
      <c r="E1394" s="21" t="inlineStr">
        <is>
          <t>Фунгіцид Флуора 100 мл Rainbow</t>
        </is>
      </c>
      <c r="F1394" s="21" t="inlineStr">
        <is>
          <t>Магнолія гола Юлан Штамб C80 / o10-12 / Pa200</t>
        </is>
      </c>
      <c r="G1394" s="23" t="n">
        <v>375</v>
      </c>
      <c r="H1394" s="23" t="n">
        <v>9025</v>
      </c>
      <c r="I1394" s="21" t="inlineStr">
        <is>
          <t>ID постачальника збігся, але назви різні</t>
        </is>
      </c>
    </row>
    <row r="1395">
      <c r="A1395" s="22" t="n">
        <v>31.3</v>
      </c>
      <c r="B1395" s="22" t="inlineStr">
        <is>
          <t>Клуб Рослин</t>
        </is>
      </c>
      <c r="C1395" s="22" t="inlineStr">
        <is>
          <t>3236</t>
        </is>
      </c>
      <c r="D1395" s="22" t="inlineStr">
        <is>
          <t>3236</t>
        </is>
      </c>
      <c r="E1395" s="21" t="inlineStr">
        <is>
          <t>Фунгіцид Фундазол 20 кг Агро-Кемі Угорщина</t>
        </is>
      </c>
      <c r="F1395" s="21" t="inlineStr">
        <is>
          <t>Ліквідамбар (Амброве дерево) смолоносний Воплесдон Мультиштамб C20 / Pa100-125</t>
        </is>
      </c>
      <c r="G1395" s="23" t="n">
        <v>14000</v>
      </c>
      <c r="H1395" s="23" t="n">
        <v>9000</v>
      </c>
      <c r="I1395" s="21" t="inlineStr">
        <is>
          <t>ID постачальника збігся, але назви різні</t>
        </is>
      </c>
    </row>
    <row r="1396">
      <c r="A1396" s="22" t="n">
        <v>31.3</v>
      </c>
      <c r="B1396" s="22" t="inlineStr">
        <is>
          <t>Клуб Рослин</t>
        </is>
      </c>
      <c r="C1396" s="22" t="inlineStr">
        <is>
          <t>1026</t>
        </is>
      </c>
      <c r="D1396" s="22" t="inlineStr">
        <is>
          <t>1026</t>
        </is>
      </c>
      <c r="E1396" s="21" t="inlineStr">
        <is>
          <t>Гербіцид Клінік 20 л Nufarm Нуфарм Австралія</t>
        </is>
      </c>
      <c r="F1396" s="21" t="inlineStr">
        <is>
          <t>Барбарис Тунберга Саммер Сансет ® PC18 C3</t>
        </is>
      </c>
      <c r="G1396" s="23" t="n">
        <v>6000</v>
      </c>
      <c r="H1396" s="23" t="n">
        <v>205</v>
      </c>
      <c r="I1396" s="21" t="inlineStr">
        <is>
          <t>ID постачальника збігся, але назви різні</t>
        </is>
      </c>
    </row>
    <row r="1397">
      <c r="A1397" s="22" t="n">
        <v>31.3</v>
      </c>
      <c r="B1397" s="22" t="inlineStr">
        <is>
          <t>Клуб Рослин</t>
        </is>
      </c>
      <c r="C1397" s="22" t="inlineStr">
        <is>
          <t>7232</t>
        </is>
      </c>
      <c r="D1397" s="22" t="inlineStr">
        <is>
          <t>7232</t>
        </is>
      </c>
      <c r="E1397" s="21" t="inlineStr">
        <is>
          <t>Добриво Альгум Плюс Alhum Plus 10 л SmartGrow Україна</t>
        </is>
      </c>
      <c r="F1397" s="21" t="inlineStr">
        <is>
          <t>Троянда Кордеса Сувенір де Баден Баден DP PC20 C2</t>
        </is>
      </c>
      <c r="G1397" s="23" t="n">
        <v>4472</v>
      </c>
      <c r="H1397" s="23" t="n">
        <v>144</v>
      </c>
      <c r="I1397" s="21" t="inlineStr">
        <is>
          <t>ID постачальника збігся, але різні бренди</t>
        </is>
      </c>
    </row>
    <row r="1398">
      <c r="A1398" s="22" t="n">
        <v>31.3</v>
      </c>
      <c r="B1398" s="22" t="inlineStr">
        <is>
          <t>Клуб Рослин</t>
        </is>
      </c>
      <c r="C1398" s="22" t="inlineStr">
        <is>
          <t>3402</t>
        </is>
      </c>
      <c r="D1398" s="22" t="inlineStr">
        <is>
          <t>3402</t>
        </is>
      </c>
      <c r="E1398" s="21" t="inlineStr">
        <is>
          <t>Фунгіцид Кіпер 5 л Нертус Угорщина</t>
        </is>
      </c>
      <c r="F1398" s="21" t="inlineStr">
        <is>
          <t>Магнолія гібридний(а) Світ Валентин PC22 C10 / H70-80</t>
        </is>
      </c>
      <c r="G1398" s="23" t="n">
        <v>3998</v>
      </c>
      <c r="H1398" s="23" t="n">
        <v>1872</v>
      </c>
      <c r="I1398" s="21" t="inlineStr">
        <is>
          <t>ID постачальника збігся, але назви різні</t>
        </is>
      </c>
    </row>
    <row r="1399">
      <c r="A1399" s="22" t="n">
        <v>31.3</v>
      </c>
      <c r="B1399" s="22" t="inlineStr">
        <is>
          <t>Клуб Рослин</t>
        </is>
      </c>
      <c r="C1399" s="22" t="inlineStr">
        <is>
          <t>1271</t>
        </is>
      </c>
      <c r="D1399" s="22" t="inlineStr">
        <is>
          <t>1271</t>
        </is>
      </c>
      <c r="E1399" s="21" t="inlineStr">
        <is>
          <t>Гербіцид Рейсер 5 л Adama Адама Ізраїль</t>
        </is>
      </c>
      <c r="F1399" s="21" t="inlineStr">
        <is>
          <t>Кедр гімалайський Пендула Бонсай C80 / H125-150</t>
        </is>
      </c>
      <c r="G1399" s="23" t="n">
        <v>3798</v>
      </c>
      <c r="H1399" s="23" t="n">
        <v>26496</v>
      </c>
      <c r="I1399" s="21" t="inlineStr">
        <is>
          <t>ID постачальника збігся, але назви різні</t>
        </is>
      </c>
    </row>
    <row r="1400">
      <c r="A1400" s="22" t="n">
        <v>31.3</v>
      </c>
      <c r="B1400" s="22" t="inlineStr">
        <is>
          <t>Клуб Рослин</t>
        </is>
      </c>
      <c r="C1400" s="22" t="inlineStr">
        <is>
          <t>3404</t>
        </is>
      </c>
      <c r="D1400" s="22" t="inlineStr">
        <is>
          <t>3404</t>
        </is>
      </c>
      <c r="E1400" s="21" t="inlineStr">
        <is>
          <t>Фунгіцид Віртуоз 5 л Нертус Угорщина</t>
        </is>
      </c>
      <c r="F1400" s="21" t="inlineStr">
        <is>
          <t>Магнолія гібридний(а) Транквіліті PC21 C5 / H90-100</t>
        </is>
      </c>
      <c r="G1400" s="23" t="n">
        <v>3226</v>
      </c>
      <c r="H1400" s="23" t="n">
        <v>1159</v>
      </c>
      <c r="I1400" s="21" t="inlineStr">
        <is>
          <t>ID постачальника збігся, але назви різні</t>
        </is>
      </c>
    </row>
    <row r="1401">
      <c r="A1401" s="22" t="n">
        <v>31.3</v>
      </c>
      <c r="B1401" s="22" t="inlineStr">
        <is>
          <t>Клуб Рослин</t>
        </is>
      </c>
      <c r="C1401" s="22" t="inlineStr">
        <is>
          <t>7936</t>
        </is>
      </c>
      <c r="D1401" s="22" t="inlineStr">
        <is>
          <t>7936</t>
        </is>
      </c>
      <c r="E1401" s="21" t="inlineStr">
        <is>
          <t>Регулятор росту Акура 5 л Хімагромаркетинг Україна</t>
        </is>
      </c>
      <c r="F1401" s="21" t="inlineStr">
        <is>
          <t>Туя західна (ий) Тіні Тім K G / H30-40</t>
        </is>
      </c>
      <c r="G1401" s="23" t="n">
        <v>2748</v>
      </c>
      <c r="H1401" s="23" t="n">
        <v>432</v>
      </c>
      <c r="I1401" s="21" t="inlineStr">
        <is>
          <t>ID постачальника збігся, але назви різні</t>
        </is>
      </c>
    </row>
    <row r="1402">
      <c r="A1402" s="22" t="n">
        <v>31.3</v>
      </c>
      <c r="B1402" s="22" t="inlineStr">
        <is>
          <t>Клуб Рослин</t>
        </is>
      </c>
      <c r="C1402" s="22" t="inlineStr">
        <is>
          <t>7089</t>
        </is>
      </c>
      <c r="D1402" s="22" t="inlineStr">
        <is>
          <t>7089</t>
        </is>
      </c>
      <c r="E1402" s="21" t="inlineStr">
        <is>
          <t>Добриво YaraMila Cropcare ЯраМіла Кропкер 11-11-21 25 кг Фінляндія</t>
        </is>
      </c>
      <c r="F1402" s="21" t="inlineStr">
        <is>
          <t>Троянда плетиста Плетистий Віолет Парфум DP PC18 C2</t>
        </is>
      </c>
      <c r="G1402" s="23" t="n">
        <v>1848</v>
      </c>
      <c r="H1402" s="23" t="n">
        <v>85</v>
      </c>
      <c r="I1402" s="21" t="inlineStr">
        <is>
          <t>ID постачальника збігся, але різні бренди</t>
        </is>
      </c>
    </row>
    <row r="1403">
      <c r="A1403" s="22" t="n">
        <v>31.3</v>
      </c>
      <c r="B1403" s="22" t="inlineStr">
        <is>
          <t>Клуб Рослин</t>
        </is>
      </c>
      <c r="C1403" s="22" t="inlineStr">
        <is>
          <t>2313</t>
        </is>
      </c>
      <c r="D1403" s="22" t="inlineStr">
        <is>
          <t>2313</t>
        </is>
      </c>
      <c r="E1403" s="21" t="inlineStr">
        <is>
          <t>Інсекто-фунгіцид Зимовіт 10 л Кіссон Україна</t>
        </is>
      </c>
      <c r="F1403" s="21" t="inlineStr">
        <is>
          <t>Гортензія волотиста Меджикал Мунлайт ® C3</t>
        </is>
      </c>
      <c r="G1403" s="23" t="n">
        <v>1612</v>
      </c>
      <c r="H1403" s="23" t="n">
        <v>312</v>
      </c>
      <c r="I1403" s="21" t="inlineStr">
        <is>
          <t>ID постачальника збігся, але назви різні</t>
        </is>
      </c>
    </row>
    <row r="1404">
      <c r="A1404" s="22" t="n">
        <v>31.3</v>
      </c>
      <c r="B1404" s="22" t="inlineStr">
        <is>
          <t>Клуб Рослин</t>
        </is>
      </c>
      <c r="C1404" s="22" t="inlineStr">
        <is>
          <t>3209</t>
        </is>
      </c>
      <c r="D1404" s="22" t="inlineStr">
        <is>
          <t>3209</t>
        </is>
      </c>
      <c r="E1404" s="21" t="inlineStr">
        <is>
          <t>Фунгіцид Косайд 2000 1 кг (розсип) DuPont Дюпон США</t>
        </is>
      </c>
      <c r="F1404" s="21" t="inlineStr">
        <is>
          <t>Лілія ОТ-гібридна Ред Монінг 12\14</t>
        </is>
      </c>
      <c r="G1404" s="23" t="n">
        <v>775</v>
      </c>
      <c r="H1404" s="23" t="n">
        <v>50</v>
      </c>
      <c r="I1404" s="21" t="inlineStr">
        <is>
          <t>ID постачальника збігся, але назви різні</t>
        </is>
      </c>
    </row>
    <row r="1405">
      <c r="A1405" s="22" t="n">
        <v>31.3</v>
      </c>
      <c r="B1405" s="22" t="inlineStr">
        <is>
          <t>Клуб Рослин</t>
        </is>
      </c>
      <c r="C1405" s="22" t="inlineStr">
        <is>
          <t>3187</t>
        </is>
      </c>
      <c r="D1405" s="22" t="inlineStr">
        <is>
          <t>3187</t>
        </is>
      </c>
      <c r="E1405" s="21" t="inlineStr">
        <is>
          <t>Фунгіцид Флінт Стар 250 мл (розлив) Bayer Байєр Німеччина</t>
        </is>
      </c>
      <c r="F1405" s="21" t="inlineStr">
        <is>
          <t>Лілія тигрова Ліхтліні 12\14</t>
        </is>
      </c>
      <c r="G1405" s="23" t="n">
        <v>728</v>
      </c>
      <c r="H1405" s="23" t="n">
        <v>50</v>
      </c>
      <c r="I1405" s="21" t="inlineStr">
        <is>
          <t>ID постачальника збігся, але назви різні</t>
        </is>
      </c>
    </row>
    <row r="1406">
      <c r="A1406" s="22" t="n">
        <v>31.3</v>
      </c>
      <c r="B1406" s="22" t="inlineStr">
        <is>
          <t>Клуб Рослин</t>
        </is>
      </c>
      <c r="C1406" s="22" t="inlineStr">
        <is>
          <t>7989</t>
        </is>
      </c>
      <c r="D1406" s="22" t="inlineStr">
        <is>
          <t>7989</t>
        </is>
      </c>
      <c r="E1406" s="21" t="inlineStr">
        <is>
          <t>Добриво Леда Гель Кальцй Плюс / Leda Gel Ca Plus 1 л Велика Британія</t>
        </is>
      </c>
      <c r="F1406" s="21" t="inlineStr">
        <is>
          <t>Липа європейська (-е) Паліда K20 C180 / o20-22 / Pa200-220</t>
        </is>
      </c>
      <c r="G1406" s="23" t="n">
        <v>715</v>
      </c>
      <c r="H1406" s="23" t="n">
        <v>8280</v>
      </c>
      <c r="I1406" s="21" t="inlineStr">
        <is>
          <t>ID постачальника збігся, але назви різні</t>
        </is>
      </c>
    </row>
    <row r="1407">
      <c r="A1407" s="22" t="n">
        <v>31.3</v>
      </c>
      <c r="B1407" s="22" t="inlineStr">
        <is>
          <t>Клуб Рослин</t>
        </is>
      </c>
      <c r="C1407" s="22" t="inlineStr">
        <is>
          <t>7122</t>
        </is>
      </c>
      <c r="D1407" s="22" t="inlineStr">
        <is>
          <t>7122</t>
        </is>
      </c>
      <c r="E1407" s="21" t="inlineStr">
        <is>
          <t>Рост-концентрат PK 5+5+5 Універсальний 4 л Кіссон Украина</t>
        </is>
      </c>
      <c r="F1407" s="21" t="inlineStr">
        <is>
          <t>Троянда англійська Б'янка Арка 180*220 C30</t>
        </is>
      </c>
      <c r="G1407" s="23" t="n">
        <v>396</v>
      </c>
      <c r="H1407" s="23" t="n">
        <v>9380</v>
      </c>
      <c r="I1407" s="21" t="inlineStr">
        <is>
          <t>ID постачальника збігся, але назви різні</t>
        </is>
      </c>
    </row>
    <row r="1408">
      <c r="A1408" s="22" t="n">
        <v>31.2</v>
      </c>
      <c r="B1408" s="22" t="inlineStr">
        <is>
          <t>Клуб Рослин</t>
        </is>
      </c>
      <c r="C1408" s="22" t="inlineStr">
        <is>
          <t>3147</t>
        </is>
      </c>
      <c r="D1408" s="22" t="inlineStr">
        <is>
          <t>3147</t>
        </is>
      </c>
      <c r="E1408" s="21" t="inlineStr">
        <is>
          <t>Фунгіцид Діналі 90 DC КД 5 л Syngenta Сингента Швейцарія</t>
        </is>
      </c>
      <c r="F1408" s="21" t="inlineStr">
        <is>
          <t>Лілія азіатська гібридна Діменшіон 12\14</t>
        </is>
      </c>
      <c r="G1408" s="23" t="n">
        <v>9989</v>
      </c>
      <c r="H1408" s="23" t="n">
        <v>50</v>
      </c>
      <c r="I1408" s="21" t="inlineStr">
        <is>
          <t>ID постачальника збігся, але назви різні</t>
        </is>
      </c>
    </row>
    <row r="1409">
      <c r="A1409" s="22" t="n">
        <v>31.2</v>
      </c>
      <c r="B1409" s="22" t="inlineStr">
        <is>
          <t>Клуб Рослин</t>
        </is>
      </c>
      <c r="C1409" s="22" t="inlineStr">
        <is>
          <t>7193</t>
        </is>
      </c>
      <c r="D1409" s="22" t="inlineStr">
        <is>
          <t>7193</t>
        </is>
      </c>
      <c r="E1409" s="21" t="inlineStr">
        <is>
          <t>Добриво Мікрокат Зерновий Старт (Microcat Cereal Start) 25 л Вітера Atlantica Agricola Іспанія</t>
        </is>
      </c>
      <c r="F1409" s="21" t="inlineStr">
        <is>
          <t>Троянда гібридний(а) Луксор PC20 C7,5</t>
        </is>
      </c>
      <c r="G1409" s="23" t="n">
        <v>12998</v>
      </c>
      <c r="H1409" s="23" t="n">
        <v>290</v>
      </c>
      <c r="I1409" s="21" t="inlineStr">
        <is>
          <t>ID постачальника збігся, але назви різні</t>
        </is>
      </c>
    </row>
    <row r="1410">
      <c r="A1410" s="22" t="n">
        <v>31.2</v>
      </c>
      <c r="B1410" s="22" t="inlineStr">
        <is>
          <t>Клуб Рослин</t>
        </is>
      </c>
      <c r="C1410" s="22" t="inlineStr">
        <is>
          <t>1122</t>
        </is>
      </c>
      <c r="D1410" s="22" t="inlineStr">
        <is>
          <t>1122</t>
        </is>
      </c>
      <c r="E1410" s="21" t="inlineStr">
        <is>
          <t>Гербіцид Тітус 500 г Corteva Кортева США</t>
        </is>
      </c>
      <c r="F1410" s="21" t="inlineStr">
        <is>
          <t>Самшит вічнозенений Конус C80 / H100-125</t>
        </is>
      </c>
      <c r="G1410" s="23" t="n">
        <v>10000</v>
      </c>
      <c r="H1410" s="23" t="n">
        <v>4201</v>
      </c>
      <c r="I1410" s="21" t="inlineStr">
        <is>
          <t>ID постачальника збігся, але назви різні</t>
        </is>
      </c>
    </row>
    <row r="1411">
      <c r="A1411" s="22" t="n">
        <v>31.2</v>
      </c>
      <c r="B1411" s="22" t="inlineStr">
        <is>
          <t>Клуб Рослин</t>
        </is>
      </c>
      <c r="C1411" s="22" t="inlineStr">
        <is>
          <t>3440</t>
        </is>
      </c>
      <c r="D1411" s="22" t="inlineStr">
        <is>
          <t>3440</t>
        </is>
      </c>
      <c r="E1411" s="21" t="inlineStr">
        <is>
          <t>Фунгіцид Максентіс 5 л Adama Адама Ізраїль</t>
        </is>
      </c>
      <c r="F1411" s="21" t="inlineStr">
        <is>
          <t>Магнолія Рікі C5 / H60-80</t>
        </is>
      </c>
      <c r="G1411" s="23" t="n">
        <v>7498</v>
      </c>
      <c r="H1411" s="23" t="n">
        <v>365</v>
      </c>
      <c r="I1411" s="21" t="inlineStr">
        <is>
          <t>ID постачальника збігся, але назви різні</t>
        </is>
      </c>
    </row>
    <row r="1412">
      <c r="A1412" s="22" t="n">
        <v>31.2</v>
      </c>
      <c r="B1412" s="22" t="inlineStr">
        <is>
          <t>Клуб Рослин</t>
        </is>
      </c>
      <c r="C1412" s="22" t="inlineStr">
        <is>
          <t>2156</t>
        </is>
      </c>
      <c r="D1412" s="22" t="inlineStr">
        <is>
          <t>2156</t>
        </is>
      </c>
      <c r="E1412" s="21" t="inlineStr">
        <is>
          <t>Інсектицид Ескаліп 5 л Ukravit Укравіт Україна</t>
        </is>
      </c>
      <c r="F1412" s="21" t="inlineStr">
        <is>
          <t>Гортензія великолисткова Меджікал Колор Дрім ® 1gr PC22 C10 / H50-60</t>
        </is>
      </c>
      <c r="G1412" s="23" t="n">
        <v>4998</v>
      </c>
      <c r="H1412" s="23" t="n">
        <v>720</v>
      </c>
      <c r="I1412" s="21" t="inlineStr">
        <is>
          <t>ID постачальника збігся, але назви різні</t>
        </is>
      </c>
    </row>
    <row r="1413">
      <c r="A1413" s="22" t="n">
        <v>31.2</v>
      </c>
      <c r="B1413" s="22" t="inlineStr">
        <is>
          <t>Клуб Рослин</t>
        </is>
      </c>
      <c r="C1413" s="22" t="inlineStr">
        <is>
          <t>7164</t>
        </is>
      </c>
      <c r="D1413" s="22" t="inlineStr">
        <is>
          <t>7164</t>
        </is>
      </c>
      <c r="E1413" s="21" t="inlineStr">
        <is>
          <t>Добриво Атланте Zn Цинк 5 л Вітера Atlantica Agricola Іспанія</t>
        </is>
      </c>
      <c r="F1413" s="21" t="inlineStr">
        <is>
          <t>Троянда гібридний(а) Дабл Делайт DP PC19 C5 / H20-30</t>
        </is>
      </c>
      <c r="G1413" s="23" t="n">
        <v>3627</v>
      </c>
      <c r="H1413" s="23" t="n">
        <v>144</v>
      </c>
      <c r="I1413" s="21" t="inlineStr">
        <is>
          <t>ID постачальника збігся, але різні бренди</t>
        </is>
      </c>
    </row>
    <row r="1414">
      <c r="A1414" s="22" t="n">
        <v>31.2</v>
      </c>
      <c r="B1414" s="22" t="inlineStr">
        <is>
          <t>Клуб Рослин</t>
        </is>
      </c>
      <c r="C1414" s="22" t="inlineStr">
        <is>
          <t>2153</t>
        </is>
      </c>
      <c r="D1414" s="22" t="inlineStr">
        <is>
          <t>2153</t>
        </is>
      </c>
      <c r="E1414" s="21" t="inlineStr">
        <is>
          <t>Інсектицид Оберон Рапід 1 л Bayer Байєр Німеччина</t>
        </is>
      </c>
      <c r="F1414" s="21" t="inlineStr">
        <is>
          <t>Гортензія великолисткова Меджікал Канзоне ® 1gr PC22 C10 / H50-60</t>
        </is>
      </c>
      <c r="G1414" s="23" t="n">
        <v>3598</v>
      </c>
      <c r="H1414" s="23" t="n">
        <v>720</v>
      </c>
      <c r="I1414" s="21" t="inlineStr">
        <is>
          <t>ID постачальника збігся, але назви різні</t>
        </is>
      </c>
    </row>
    <row r="1415">
      <c r="A1415" s="22" t="n">
        <v>31.2</v>
      </c>
      <c r="B1415" s="22" t="inlineStr">
        <is>
          <t>Клуб Рослин</t>
        </is>
      </c>
      <c r="C1415" s="22" t="inlineStr">
        <is>
          <t>3422</t>
        </is>
      </c>
      <c r="D1415" s="22" t="inlineStr">
        <is>
          <t>3422</t>
        </is>
      </c>
      <c r="E1415" s="21" t="inlineStr">
        <is>
          <t>Біофунгіцид Таегро 370 г Syngenta Сингента Швейцарія</t>
        </is>
      </c>
      <c r="F1415" s="21" t="inlineStr">
        <is>
          <t>Магнолія Лебнера Леонард Мессел Мультиштамб C290 / Pa250-300</t>
        </is>
      </c>
      <c r="G1415" s="23" t="n">
        <v>3398</v>
      </c>
      <c r="H1415" s="23" t="n">
        <v>41400</v>
      </c>
      <c r="I1415" s="21" t="inlineStr">
        <is>
          <t>ID постачальника збігся, але назви різні</t>
        </is>
      </c>
    </row>
    <row r="1416">
      <c r="A1416" s="22" t="n">
        <v>31.2</v>
      </c>
      <c r="B1416" s="22" t="inlineStr">
        <is>
          <t>Клуб Рослин</t>
        </is>
      </c>
      <c r="C1416" s="22" t="inlineStr">
        <is>
          <t>3044</t>
        </is>
      </c>
      <c r="D1416" s="22" t="inlineStr">
        <is>
          <t>3044</t>
        </is>
      </c>
      <c r="E1416" s="21" t="inlineStr">
        <is>
          <t>Фунгіцид Фрегат 5 л Хімагромаркетинг Україна</t>
        </is>
      </c>
      <c r="F1416" s="21" t="inlineStr">
        <is>
          <t>Ялівець середній Олд Голд PC18 C5</t>
        </is>
      </c>
      <c r="G1416" s="23" t="n">
        <v>3248</v>
      </c>
      <c r="H1416" s="23" t="n">
        <v>215</v>
      </c>
      <c r="I1416" s="21" t="inlineStr">
        <is>
          <t>ID постачальника збігся, але назви різні</t>
        </is>
      </c>
    </row>
    <row r="1417">
      <c r="A1417" s="22" t="n">
        <v>31.2</v>
      </c>
      <c r="B1417" s="22" t="inlineStr">
        <is>
          <t>Клуб Рослин</t>
        </is>
      </c>
      <c r="C1417" s="22" t="inlineStr">
        <is>
          <t>2102</t>
        </is>
      </c>
      <c r="D1417" s="22" t="inlineStr">
        <is>
          <t>2102</t>
        </is>
      </c>
      <c r="E1417" s="21" t="inlineStr">
        <is>
          <t>Інсектицид Антиколорад Макс кс 5 л Ukravit Укравіт Україна</t>
        </is>
      </c>
      <c r="F1417" s="21" t="inlineStr">
        <is>
          <t>Гортензія деревовидна Анабелль PC18 C5</t>
        </is>
      </c>
      <c r="G1417" s="23" t="n">
        <v>2998</v>
      </c>
      <c r="H1417" s="23" t="n">
        <v>180</v>
      </c>
      <c r="I1417" s="21" t="inlineStr">
        <is>
          <t>ID постачальника збігся, але назви різні</t>
        </is>
      </c>
    </row>
    <row r="1418">
      <c r="A1418" s="22" t="n">
        <v>31.2</v>
      </c>
      <c r="B1418" s="22" t="inlineStr">
        <is>
          <t>Клуб Рослин</t>
        </is>
      </c>
      <c r="C1418" s="22" t="inlineStr">
        <is>
          <t>5014</t>
        </is>
      </c>
      <c r="D1418" s="22" t="inlineStr">
        <is>
          <t>5014</t>
        </is>
      </c>
      <c r="E1418" s="21" t="inlineStr">
        <is>
          <t>Протруйник Матадор 5 л Ukravit Укравіт Україна</t>
        </is>
      </c>
      <c r="F1418" s="21" t="inlineStr">
        <is>
          <t>Сосна густоквіткова Умбракуліфера K20 C100 / H100-120</t>
        </is>
      </c>
      <c r="G1418" s="23" t="n">
        <v>2756</v>
      </c>
      <c r="H1418" s="23" t="n">
        <v>4968</v>
      </c>
      <c r="I1418" s="21" t="inlineStr">
        <is>
          <t>ID постачальника збігся, але назви різні</t>
        </is>
      </c>
    </row>
    <row r="1419">
      <c r="A1419" s="22" t="n">
        <v>31.2</v>
      </c>
      <c r="B1419" s="22" t="inlineStr">
        <is>
          <t>Клуб Рослин</t>
        </is>
      </c>
      <c r="C1419" s="22" t="inlineStr">
        <is>
          <t>8054</t>
        </is>
      </c>
      <c r="D1419" s="22" t="inlineStr">
        <is>
          <t>8054</t>
        </is>
      </c>
      <c r="E1419" s="21" t="inlineStr">
        <is>
          <t>Добриво Нова Кальціум / Nova Calcium (Нітрат кальцію) 15.5-0-0+26.5CaO 25 кг ICL Ізраїль</t>
        </is>
      </c>
      <c r="F1419" s="21" t="inlineStr">
        <is>
          <t>Тюльпан махровий бахромчастий Ліон Кінг 11\12</t>
        </is>
      </c>
      <c r="G1419" s="23" t="n">
        <v>1398</v>
      </c>
      <c r="H1419" s="23" t="n">
        <v>15</v>
      </c>
      <c r="I1419" s="21" t="inlineStr">
        <is>
          <t>ID постачальника збігся, але назви різні</t>
        </is>
      </c>
    </row>
    <row r="1420">
      <c r="A1420" s="22" t="n">
        <v>31.2</v>
      </c>
      <c r="B1420" s="22" t="inlineStr">
        <is>
          <t>Клуб Рослин</t>
        </is>
      </c>
      <c r="C1420" s="22" t="inlineStr">
        <is>
          <t>7548</t>
        </is>
      </c>
      <c r="D1420" s="22" t="inlineStr">
        <is>
          <t>7548</t>
        </is>
      </c>
      <c r="E1420" s="21" t="inlineStr">
        <is>
          <t>Добриво Ризо Бор+Молібден 5 л Агро Цезар Україна</t>
        </is>
      </c>
      <c r="F1420" s="21" t="inlineStr">
        <is>
          <t>Тис ягідний (а) Пон-Пон C200 / H200-250</t>
        </is>
      </c>
      <c r="G1420" s="23" t="n">
        <v>1250</v>
      </c>
      <c r="H1420" s="23" t="n">
        <v>49680</v>
      </c>
      <c r="I1420" s="21" t="inlineStr">
        <is>
          <t>ID постачальника збігся, але назви різні</t>
        </is>
      </c>
    </row>
    <row r="1421">
      <c r="A1421" s="22" t="n">
        <v>31.2</v>
      </c>
      <c r="B1421" s="22" t="inlineStr">
        <is>
          <t>Клуб Рослин</t>
        </is>
      </c>
      <c r="C1421" s="22" t="inlineStr">
        <is>
          <t>7052</t>
        </is>
      </c>
      <c r="D1421" s="22" t="inlineStr">
        <is>
          <t>7052</t>
        </is>
      </c>
      <c r="E1421" s="21" t="inlineStr">
        <is>
          <t>Добриво Феррілен Тріум Ferrilene Trium 1 кг Valagro Валагро Італія</t>
        </is>
      </c>
      <c r="F1421" s="21" t="inlineStr">
        <is>
          <t>Смородина чорна Тсема Штамб C3 / H125-150 / Pa80</t>
        </is>
      </c>
      <c r="G1421" s="23" t="n">
        <v>1025</v>
      </c>
      <c r="H1421" s="23" t="n">
        <v>525</v>
      </c>
      <c r="I1421" s="21" t="inlineStr">
        <is>
          <t>ID постачальника збігся, але назви різні</t>
        </is>
      </c>
    </row>
    <row r="1422">
      <c r="A1422" s="22" t="n">
        <v>31.2</v>
      </c>
      <c r="B1422" s="22" t="inlineStr">
        <is>
          <t>Клуб Рослин</t>
        </is>
      </c>
      <c r="C1422" s="22" t="inlineStr">
        <is>
          <t>2022</t>
        </is>
      </c>
      <c r="D1422" s="22" t="inlineStr">
        <is>
          <t>2022</t>
        </is>
      </c>
      <c r="E1422" s="21" t="inlineStr">
        <is>
          <t>Інсектицид Фастак 1 л Basf Басф Німеччина</t>
        </is>
      </c>
      <c r="F1422" s="21" t="inlineStr">
        <is>
          <t>Гібіскус сірійський Френч кабарет Пастель PC20 C3 / H20-30</t>
        </is>
      </c>
      <c r="G1422" s="23" t="n">
        <v>825</v>
      </c>
      <c r="H1422" s="23" t="n">
        <v>168</v>
      </c>
      <c r="I1422" s="21" t="inlineStr">
        <is>
          <t>ID постачальника збігся, але назви різні</t>
        </is>
      </c>
    </row>
    <row r="1423">
      <c r="A1423" s="22" t="n">
        <v>31.2</v>
      </c>
      <c r="B1423" s="22" t="inlineStr">
        <is>
          <t>Клуб Рослин</t>
        </is>
      </c>
      <c r="C1423" s="22" t="inlineStr">
        <is>
          <t>2121</t>
        </is>
      </c>
      <c r="D1423" s="22" t="inlineStr">
        <is>
          <t>2121</t>
        </is>
      </c>
      <c r="E1423" s="21" t="inlineStr">
        <is>
          <t>Інсектоакарицид Препарат 30 Д 83% 5 л</t>
        </is>
      </c>
      <c r="F1423" s="21" t="inlineStr">
        <is>
          <t>Гортензія великолисткова Ендлесс Саммер Самер Лав Пінкрот ® C5</t>
        </is>
      </c>
      <c r="G1423" s="23" t="n">
        <v>748</v>
      </c>
      <c r="H1423" s="23" t="n">
        <v>865</v>
      </c>
      <c r="I1423" s="21" t="inlineStr">
        <is>
          <t>ID постачальника збігся, але назви різні</t>
        </is>
      </c>
    </row>
    <row r="1424">
      <c r="A1424" s="22" t="n">
        <v>31.2</v>
      </c>
      <c r="B1424" s="22" t="inlineStr">
        <is>
          <t>Клуб Рослин</t>
        </is>
      </c>
      <c r="C1424" s="22" t="inlineStr">
        <is>
          <t>9041</t>
        </is>
      </c>
      <c r="D1424" s="22" t="inlineStr">
        <is>
          <t>9041</t>
        </is>
      </c>
      <c r="E1424" s="21" t="inlineStr">
        <is>
          <t>Регулятор кислотності Носферату Регул - Еко (NospHeratu Regul – Eco) 1 л Вітера Atlantica Іспанія</t>
        </is>
      </c>
      <c r="F1424" s="21" t="inlineStr">
        <is>
          <t>Держак Bellota М952 LSB для грабель1500 мм, d=28 мм (Беллота)</t>
        </is>
      </c>
      <c r="G1424" s="23" t="n">
        <v>564</v>
      </c>
      <c r="H1424" s="23" t="n">
        <v>265</v>
      </c>
      <c r="I1424" s="21" t="inlineStr">
        <is>
          <t>ID постачальника збігся, але різні об'єми або розміри</t>
        </is>
      </c>
    </row>
    <row r="1425">
      <c r="A1425" s="22" t="n">
        <v>31.2</v>
      </c>
      <c r="B1425" s="22" t="inlineStr">
        <is>
          <t>Клуб Рослин</t>
        </is>
      </c>
      <c r="C1425" s="22" t="inlineStr">
        <is>
          <t>7998</t>
        </is>
      </c>
      <c r="D1425" s="22" t="inlineStr">
        <is>
          <t>7998</t>
        </is>
      </c>
      <c r="E1425" s="21" t="inlineStr">
        <is>
          <t>Добриво Леда Гель Фосфор-Актив / Leda P-Active 4-37.5-14.7 500 мл Велика Британія</t>
        </is>
      </c>
      <c r="F1425" s="21" t="inlineStr">
        <is>
          <t>Липа широколиста Фастігіата Штамб K C230 / o20-25 / Pa175</t>
        </is>
      </c>
      <c r="G1425" s="23" t="n">
        <v>468</v>
      </c>
      <c r="H1425" s="23" t="n">
        <v>9108</v>
      </c>
      <c r="I1425" s="21" t="inlineStr">
        <is>
          <t>ID постачальника збігся, але назви різні</t>
        </is>
      </c>
    </row>
    <row r="1426">
      <c r="A1426" s="22" t="n">
        <v>31.2</v>
      </c>
      <c r="B1426" s="22" t="inlineStr">
        <is>
          <t>Клуб Рослин</t>
        </is>
      </c>
      <c r="C1426" s="22" t="inlineStr">
        <is>
          <t>7272</t>
        </is>
      </c>
      <c r="D1426" s="22" t="inlineStr">
        <is>
          <t>7272</t>
        </is>
      </c>
      <c r="E1426" s="21" t="inlineStr">
        <is>
          <t>Добриво Кеміра Люкс NPK 14-11.4-25 1 кг Yara Яра Норвегія</t>
        </is>
      </c>
      <c r="F1426" s="21" t="inlineStr">
        <is>
          <t>Троянда перська Бебілон Айз Фенсі ® PC21 C5</t>
        </is>
      </c>
      <c r="G1426" s="23" t="n">
        <v>300</v>
      </c>
      <c r="H1426" s="23" t="n">
        <v>232</v>
      </c>
      <c r="I1426" s="21" t="inlineStr">
        <is>
          <t>ID постачальника збігся, але назви різні</t>
        </is>
      </c>
    </row>
    <row r="1427">
      <c r="A1427" s="22" t="n">
        <v>31.2</v>
      </c>
      <c r="B1427" s="22" t="inlineStr">
        <is>
          <t>Клуб Рослин</t>
        </is>
      </c>
      <c r="C1427" s="22" t="inlineStr">
        <is>
          <t>7718</t>
        </is>
      </c>
      <c r="D1427" s="22" t="inlineStr">
        <is>
          <t>7718</t>
        </is>
      </c>
      <c r="E1427" s="21" t="inlineStr">
        <is>
          <t>Біостимулятор Кендал Рут Kendal Root 100 мл Valagro Валагро Італія</t>
        </is>
      </c>
      <c r="F1427" s="21" t="inlineStr">
        <is>
          <t>Туя західна (ий) Даніка Штамб C20 / L30-40 / Pa100</t>
        </is>
      </c>
      <c r="G1427" s="23" t="n">
        <v>225</v>
      </c>
      <c r="H1427" s="23" t="n">
        <v>2770</v>
      </c>
      <c r="I1427" s="21" t="inlineStr">
        <is>
          <t>ID постачальника збігся, але назви різні</t>
        </is>
      </c>
    </row>
    <row r="1428">
      <c r="A1428" s="22" t="n">
        <v>31.2</v>
      </c>
      <c r="B1428" s="22" t="inlineStr">
        <is>
          <t>Клуб Рослин</t>
        </is>
      </c>
      <c r="C1428" s="22" t="inlineStr">
        <is>
          <t>3314</t>
        </is>
      </c>
      <c r="D1428" s="22" t="inlineStr">
        <is>
          <t>3314</t>
        </is>
      </c>
      <c r="E1428" s="21" t="inlineStr">
        <is>
          <t>Фунгіцид Манзат ВГ 200 г Sumi Agro Сумі Агро Японія</t>
        </is>
      </c>
      <c r="F1428" s="21" t="inlineStr">
        <is>
          <t>Магнолія Дафні C80 / H250-300</t>
        </is>
      </c>
      <c r="G1428" s="23" t="n">
        <v>200</v>
      </c>
      <c r="H1428" s="23" t="n">
        <v>12625</v>
      </c>
      <c r="I1428" s="21" t="inlineStr">
        <is>
          <t>ID постачальника збігся, але назви різні</t>
        </is>
      </c>
    </row>
    <row r="1429">
      <c r="A1429" s="22" t="n">
        <v>31.1</v>
      </c>
      <c r="B1429" s="22" t="inlineStr">
        <is>
          <t>Клуб Рослин</t>
        </is>
      </c>
      <c r="C1429" s="22" t="inlineStr">
        <is>
          <t>7194</t>
        </is>
      </c>
      <c r="D1429" s="22" t="inlineStr">
        <is>
          <t>7194</t>
        </is>
      </c>
      <c r="E1429" s="21" t="inlineStr">
        <is>
          <t>Добриво Мікрокат Олійний (Microcat Oil Crops) 25 л Вітера Atlantica Agricola Іспанія</t>
        </is>
      </c>
      <c r="F1429" s="21" t="inlineStr">
        <is>
          <t>Троянда гібридний(а) Маджестік DP PC20 C2</t>
        </is>
      </c>
      <c r="G1429" s="23" t="n">
        <v>13235</v>
      </c>
      <c r="H1429" s="23" t="n">
        <v>174</v>
      </c>
      <c r="I1429" s="21" t="inlineStr">
        <is>
          <t>ID постачальника збігся, але різні бренди</t>
        </is>
      </c>
    </row>
    <row r="1430">
      <c r="A1430" s="22" t="n">
        <v>31.1</v>
      </c>
      <c r="B1430" s="22" t="inlineStr">
        <is>
          <t>Клуб Рослин</t>
        </is>
      </c>
      <c r="C1430" s="22" t="inlineStr">
        <is>
          <t>1076</t>
        </is>
      </c>
      <c r="D1430" s="22" t="inlineStr">
        <is>
          <t>1076</t>
        </is>
      </c>
      <c r="E1430" s="21" t="inlineStr">
        <is>
          <t>Гербіцид Тотал К 20 л Хімагромаркетинг Україна</t>
        </is>
      </c>
      <c r="F1430" s="21" t="inlineStr">
        <is>
          <t>Береза звичайна Мультиштамб C25 / H200-300 / Pa*3</t>
        </is>
      </c>
      <c r="G1430" s="23" t="n">
        <v>4998</v>
      </c>
      <c r="H1430" s="23" t="n">
        <v>3115</v>
      </c>
      <c r="I1430" s="21" t="inlineStr">
        <is>
          <t>ID постачальника збігся, але назви різні</t>
        </is>
      </c>
    </row>
    <row r="1431">
      <c r="A1431" s="22" t="n">
        <v>31.1</v>
      </c>
      <c r="B1431" s="22" t="inlineStr">
        <is>
          <t>Клуб Рослин</t>
        </is>
      </c>
      <c r="C1431" s="22" t="inlineStr">
        <is>
          <t>7965</t>
        </is>
      </c>
      <c r="D1431" s="22" t="inlineStr">
        <is>
          <t>7965</t>
        </is>
      </c>
      <c r="E1431" s="21" t="inlineStr">
        <is>
          <t>Добриво Контролфіт Фосфіт-Калій / Controlphyt PK 5 л AgriTecno Іспанія</t>
        </is>
      </c>
      <c r="F1431" s="21" t="inlineStr">
        <is>
          <t>Туя складчата Віпкорд PC13 C3 / L15-20</t>
        </is>
      </c>
      <c r="G1431" s="23" t="n">
        <v>3498</v>
      </c>
      <c r="H1431" s="23" t="n">
        <v>90</v>
      </c>
      <c r="I1431" s="21" t="inlineStr">
        <is>
          <t>ID постачальника збігся, але назви різні</t>
        </is>
      </c>
    </row>
    <row r="1432">
      <c r="A1432" s="22" t="n">
        <v>31.1</v>
      </c>
      <c r="B1432" s="22" t="inlineStr">
        <is>
          <t>Клуб Рослин</t>
        </is>
      </c>
      <c r="C1432" s="22" t="inlineStr">
        <is>
          <t>2310</t>
        </is>
      </c>
      <c r="D1432" s="22" t="inlineStr">
        <is>
          <t>2310</t>
        </is>
      </c>
      <c r="E1432" s="21" t="inlineStr">
        <is>
          <t>Інсектицид Спікер 5 л Нертус Угорщина</t>
        </is>
      </c>
      <c r="F1432" s="21" t="inlineStr">
        <is>
          <t>Гортензія волотиста Межджікал Монт Блан PC21 C3 / H20-30</t>
        </is>
      </c>
      <c r="G1432" s="23" t="n">
        <v>2276</v>
      </c>
      <c r="H1432" s="23" t="n">
        <v>240</v>
      </c>
      <c r="I1432" s="21" t="inlineStr">
        <is>
          <t>ID постачальника збігся, але назви різні</t>
        </is>
      </c>
    </row>
    <row r="1433">
      <c r="A1433" s="22" t="n">
        <v>31.1</v>
      </c>
      <c r="B1433" s="22" t="inlineStr">
        <is>
          <t>Клуб Рослин</t>
        </is>
      </c>
      <c r="C1433" s="22" t="inlineStr">
        <is>
          <t>2054</t>
        </is>
      </c>
      <c r="D1433" s="22" t="inlineStr">
        <is>
          <t>2054</t>
        </is>
      </c>
      <c r="E1433" s="21" t="inlineStr">
        <is>
          <t>Інсектицид Смерть жукам ВДГ 1 кг Ukravit Укравіт Україна</t>
        </is>
      </c>
      <c r="F1433" s="21" t="inlineStr">
        <is>
          <t>Гібіскус сірійський Пінк Джаінт PC20 C7,5 / H30-40</t>
        </is>
      </c>
      <c r="G1433" s="23" t="n">
        <v>1498</v>
      </c>
      <c r="H1433" s="23" t="n">
        <v>290</v>
      </c>
      <c r="I1433" s="21" t="inlineStr">
        <is>
          <t>ID постачальника збігся, але назви різні</t>
        </is>
      </c>
    </row>
    <row r="1434">
      <c r="A1434" s="22" t="n">
        <v>31.1</v>
      </c>
      <c r="B1434" s="22" t="inlineStr">
        <is>
          <t>Клуб Рослин</t>
        </is>
      </c>
      <c r="C1434" s="22" t="inlineStr">
        <is>
          <t>5001</t>
        </is>
      </c>
      <c r="D1434" s="22" t="inlineStr">
        <is>
          <t>5001</t>
        </is>
      </c>
      <c r="E1434" s="21" t="inlineStr">
        <is>
          <t>Протруйник Матадор 1 л Ukravit Укравіт Україна</t>
        </is>
      </c>
      <c r="F1434" s="21" t="inlineStr">
        <is>
          <t>Сосна густоквіткова Умбракуліфера C30 / H80-100</t>
        </is>
      </c>
      <c r="G1434" s="23" t="n">
        <v>648</v>
      </c>
      <c r="H1434" s="23" t="n">
        <v>2760</v>
      </c>
      <c r="I1434" s="21" t="inlineStr">
        <is>
          <t>ID постачальника збігся, але назви різні</t>
        </is>
      </c>
    </row>
    <row r="1435">
      <c r="A1435" s="22" t="n">
        <v>31.1</v>
      </c>
      <c r="B1435" s="22" t="inlineStr">
        <is>
          <t>Клуб Рослин</t>
        </is>
      </c>
      <c r="C1435" s="22" t="inlineStr">
        <is>
          <t>1121</t>
        </is>
      </c>
      <c r="D1435" s="22" t="inlineStr">
        <is>
          <t>1121</t>
        </is>
      </c>
      <c r="E1435" s="21" t="inlineStr">
        <is>
          <t>Гербицид Квін Стар Макс 500 мл Ukravit Укравіт Україна</t>
        </is>
      </c>
      <c r="F1435" s="21" t="inlineStr">
        <is>
          <t>Самшит вічнозенений Конус C7,5 / H50-60</t>
        </is>
      </c>
      <c r="G1435" s="23" t="n">
        <v>414</v>
      </c>
      <c r="H1435" s="23" t="n">
        <v>840</v>
      </c>
      <c r="I1435" s="21" t="inlineStr">
        <is>
          <t>ID постачальника збігся, але назви різні</t>
        </is>
      </c>
    </row>
    <row r="1436">
      <c r="A1436" s="22" t="n">
        <v>31.1</v>
      </c>
      <c r="B1436" s="22" t="inlineStr">
        <is>
          <t>Клуб Рослин</t>
        </is>
      </c>
      <c r="C1436" s="22" t="inlineStr">
        <is>
          <t>3235</t>
        </is>
      </c>
      <c r="D1436" s="22" t="inlineStr">
        <is>
          <t>3235</t>
        </is>
      </c>
      <c r="E1436" s="21" t="inlineStr">
        <is>
          <t>Фунгіцид Ембрелія 75 мл Adama Адама Ізраїль</t>
        </is>
      </c>
      <c r="F1436" s="21" t="inlineStr">
        <is>
          <t>Ліквідамбар (Амброве дерево) смолоносний Воплесдон C55 / H250-300</t>
        </is>
      </c>
      <c r="G1436" s="23" t="n">
        <v>375</v>
      </c>
      <c r="H1436" s="23" t="n">
        <v>7200</v>
      </c>
      <c r="I1436" s="21" t="inlineStr">
        <is>
          <t>ID постачальника збігся, але назви різні</t>
        </is>
      </c>
    </row>
    <row r="1437">
      <c r="A1437" s="22" t="n">
        <v>31.1</v>
      </c>
      <c r="B1437" s="22" t="inlineStr">
        <is>
          <t>Клуб Рослин</t>
        </is>
      </c>
      <c r="C1437" s="22" t="inlineStr">
        <is>
          <t>1036</t>
        </is>
      </c>
      <c r="D1437" s="22" t="inlineStr">
        <is>
          <t>1036</t>
        </is>
      </c>
      <c r="E1437" s="21" t="inlineStr">
        <is>
          <t>Гербіцид Отаман 1 л Alfa Smart Agro Альфа Смарт Агро Україна</t>
        </is>
      </c>
      <c r="F1437" s="21" t="inlineStr">
        <is>
          <t>Барбарис середній Паркджавел PC14 C10 / H40-50</t>
        </is>
      </c>
      <c r="G1437" s="23" t="n">
        <v>325</v>
      </c>
      <c r="H1437" s="23" t="n">
        <v>170</v>
      </c>
      <c r="I1437" s="21" t="inlineStr">
        <is>
          <t>ID постачальника збігся, але назви різні</t>
        </is>
      </c>
    </row>
    <row r="1438">
      <c r="A1438" s="22" t="n">
        <v>31.1</v>
      </c>
      <c r="B1438" s="22" t="inlineStr">
        <is>
          <t>Клуб Рослин</t>
        </is>
      </c>
      <c r="C1438" s="22" t="inlineStr">
        <is>
          <t>7067</t>
        </is>
      </c>
      <c r="D1438" s="22" t="inlineStr">
        <is>
          <t>7067</t>
        </is>
      </c>
      <c r="E1438" s="21" t="inlineStr">
        <is>
          <t>Біостимулятор Світ Sweet 100 мл Valagro Валагро Італія</t>
        </is>
      </c>
      <c r="F1438" s="21" t="inlineStr">
        <is>
          <t>Акація псевдоакація Умбракуліфера C30 / o10-12 / Pa220</t>
        </is>
      </c>
      <c r="G1438" s="23" t="n">
        <v>298</v>
      </c>
      <c r="H1438" s="23" t="n">
        <v>2595</v>
      </c>
      <c r="I1438" s="21" t="inlineStr">
        <is>
          <t>ID постачальника збігся, але назви різні</t>
        </is>
      </c>
    </row>
    <row r="1439">
      <c r="A1439" s="22" t="n">
        <v>31</v>
      </c>
      <c r="B1439" s="22" t="inlineStr">
        <is>
          <t>Клуб Рослин</t>
        </is>
      </c>
      <c r="C1439" s="22" t="inlineStr">
        <is>
          <t>2177</t>
        </is>
      </c>
      <c r="D1439" s="22" t="inlineStr">
        <is>
          <t>2177</t>
        </is>
      </c>
      <c r="E1439" s="21" t="inlineStr">
        <is>
          <t>Акарицид Резидент 5 л Нертус Угорщина</t>
        </is>
      </c>
      <c r="F1439" s="21" t="inlineStr">
        <is>
          <t>Гортензія великолисткова Ред Б'юті Ліла C2 / H20-30</t>
        </is>
      </c>
      <c r="G1439" s="23" t="n">
        <v>7720</v>
      </c>
      <c r="H1439" s="23" t="n">
        <v>205</v>
      </c>
      <c r="I1439" s="21" t="inlineStr">
        <is>
          <t>ID постачальника збігся, але назви різні</t>
        </is>
      </c>
    </row>
    <row r="1440">
      <c r="A1440" s="22" t="n">
        <v>31</v>
      </c>
      <c r="B1440" s="22" t="inlineStr">
        <is>
          <t>Клуб Рослин</t>
        </is>
      </c>
      <c r="C1440" s="22" t="inlineStr">
        <is>
          <t>3118</t>
        </is>
      </c>
      <c r="D1440" s="22" t="inlineStr">
        <is>
          <t>3118</t>
        </is>
      </c>
      <c r="E1440" s="21" t="inlineStr">
        <is>
          <t>Фунгіцид Світч 1 кг Syngenta / Сингента Швейцарія</t>
        </is>
      </c>
      <c r="F1440" s="21" t="inlineStr">
        <is>
          <t>Лаванда вузьколиста Мунстед P12 / H10-15</t>
        </is>
      </c>
      <c r="G1440" s="23" t="n">
        <v>6898</v>
      </c>
      <c r="H1440" s="23" t="n">
        <v>70</v>
      </c>
      <c r="I1440" s="21" t="inlineStr">
        <is>
          <t>ID постачальника збігся, але назви різні</t>
        </is>
      </c>
    </row>
    <row r="1441">
      <c r="A1441" s="22" t="n">
        <v>31</v>
      </c>
      <c r="B1441" s="22" t="inlineStr">
        <is>
          <t>Клуб Рослин</t>
        </is>
      </c>
      <c r="C1441" s="22" t="inlineStr">
        <is>
          <t>3127</t>
        </is>
      </c>
      <c r="D1441" s="22" t="inlineStr">
        <is>
          <t>3127</t>
        </is>
      </c>
      <c r="E1441" s="21" t="inlineStr">
        <is>
          <t>Фунгіцид Мерпан Платинум 5 кг Adama Адама Ізраїль</t>
        </is>
      </c>
      <c r="F1441" s="21" t="inlineStr">
        <is>
          <t>Лаванда середня Граппенхол C3 / H30-40</t>
        </is>
      </c>
      <c r="G1441" s="23" t="n">
        <v>3248</v>
      </c>
      <c r="H1441" s="23" t="n">
        <v>120</v>
      </c>
      <c r="I1441" s="21" t="inlineStr">
        <is>
          <t>ID постачальника збігся, але назви різні</t>
        </is>
      </c>
    </row>
    <row r="1442">
      <c r="A1442" s="22" t="n">
        <v>31</v>
      </c>
      <c r="B1442" s="22" t="inlineStr">
        <is>
          <t>Клуб Рослин</t>
        </is>
      </c>
      <c r="C1442" s="22" t="inlineStr">
        <is>
          <t>3680</t>
        </is>
      </c>
      <c r="D1442" s="22" t="inlineStr">
        <is>
          <t>3680</t>
        </is>
      </c>
      <c r="E1442" s="21" t="inlineStr">
        <is>
          <t>Фунгіцид Імпакт 500 КС 1 л FMС ФМС США</t>
        </is>
      </c>
      <c r="F1442" s="21" t="inlineStr">
        <is>
          <t>Нарцис Карлтон 14\16</t>
        </is>
      </c>
      <c r="G1442" s="23" t="n">
        <v>1144</v>
      </c>
      <c r="H1442" s="23" t="n">
        <v>15</v>
      </c>
      <c r="I1442" s="21" t="inlineStr">
        <is>
          <t>ID постачальника збігся, але назви різні</t>
        </is>
      </c>
    </row>
    <row r="1443">
      <c r="A1443" s="22" t="n">
        <v>31</v>
      </c>
      <c r="B1443" s="22" t="inlineStr">
        <is>
          <t>Клуб Рослин</t>
        </is>
      </c>
      <c r="C1443" s="22" t="inlineStr">
        <is>
          <t>3565</t>
        </is>
      </c>
      <c r="D1443" s="22" t="inlineStr">
        <is>
          <t>3565</t>
        </is>
      </c>
      <c r="E1443" s="21" t="inlineStr">
        <is>
          <t>Фунгіцид Зорвек Вінабрія 1 л Corteva Кортева США</t>
        </is>
      </c>
      <c r="F1443" s="21" t="inlineStr">
        <is>
          <t>Яблуня домашня однорічна Мутсу BS GK</t>
        </is>
      </c>
      <c r="G1443" s="23" t="n">
        <v>1144</v>
      </c>
      <c r="H1443" s="23" t="n">
        <v>80</v>
      </c>
      <c r="I1443" s="21" t="inlineStr">
        <is>
          <t>ID постачальника збігся, але різні бренди</t>
        </is>
      </c>
    </row>
    <row r="1444">
      <c r="A1444" s="22" t="n">
        <v>31</v>
      </c>
      <c r="B1444" s="22" t="inlineStr">
        <is>
          <t>Клуб Рослин</t>
        </is>
      </c>
      <c r="C1444" s="22" t="inlineStr">
        <is>
          <t>3181</t>
        </is>
      </c>
      <c r="D1444" s="22" t="inlineStr">
        <is>
          <t>3181</t>
        </is>
      </c>
      <c r="E1444" s="21" t="inlineStr">
        <is>
          <t>Фунгіцид Фитал 1 л Кемілайн Агро Україна</t>
        </is>
      </c>
      <c r="F1444" s="21" t="inlineStr">
        <is>
          <t>Лілія ОТ-гібридна Замбезі 14\16</t>
        </is>
      </c>
      <c r="G1444" s="23" t="n">
        <v>975</v>
      </c>
      <c r="H1444" s="23" t="n">
        <v>50</v>
      </c>
      <c r="I1444" s="21" t="inlineStr">
        <is>
          <t>ID постачальника збігся, але назви різні</t>
        </is>
      </c>
    </row>
    <row r="1445">
      <c r="A1445" s="22" t="n">
        <v>31</v>
      </c>
      <c r="B1445" s="22" t="inlineStr">
        <is>
          <t>Клуб Рослин</t>
        </is>
      </c>
      <c r="C1445" s="22" t="inlineStr">
        <is>
          <t>3189</t>
        </is>
      </c>
      <c r="D1445" s="22" t="inlineStr">
        <is>
          <t>3189</t>
        </is>
      </c>
      <c r="E1445" s="21" t="inlineStr">
        <is>
          <t>Фунгіцид Фольпан 1 кг Adama Адама Ізраїль</t>
        </is>
      </c>
      <c r="F1445" s="21" t="inlineStr">
        <is>
          <t>Лілія тигрова Найт Флаєр 12\14</t>
        </is>
      </c>
      <c r="G1445" s="23" t="n">
        <v>744</v>
      </c>
      <c r="H1445" s="23" t="n">
        <v>50</v>
      </c>
      <c r="I1445" s="21" t="inlineStr">
        <is>
          <t>ID постачальника збігся, але назви різні</t>
        </is>
      </c>
    </row>
    <row r="1446">
      <c r="A1446" s="22" t="n">
        <v>30.9</v>
      </c>
      <c r="B1446" s="22" t="inlineStr">
        <is>
          <t>Клуб Рослин</t>
        </is>
      </c>
      <c r="C1446" s="22" t="inlineStr">
        <is>
          <t>2266</t>
        </is>
      </c>
      <c r="D1446" s="22" t="inlineStr">
        <is>
          <t>2266</t>
        </is>
      </c>
      <c r="E1446" s="21" t="inlineStr">
        <is>
          <t>Акарицид Синтак 5 л Alfa Smart Agro / Альфа Смарт Агро Україна</t>
        </is>
      </c>
      <c r="F1446" s="21" t="inlineStr">
        <is>
          <t>Гортензія волотиста Меджікал Андс PC20 C7,5 / H90-100</t>
        </is>
      </c>
      <c r="G1446" s="23" t="n">
        <v>14098</v>
      </c>
      <c r="H1446" s="23" t="n">
        <v>420</v>
      </c>
      <c r="I1446" s="21" t="inlineStr">
        <is>
          <t>ID постачальника збігся, але назви різні</t>
        </is>
      </c>
    </row>
    <row r="1447">
      <c r="A1447" s="22" t="n">
        <v>30.9</v>
      </c>
      <c r="B1447" s="22" t="inlineStr">
        <is>
          <t>Клуб Рослин</t>
        </is>
      </c>
      <c r="C1447" s="22" t="inlineStr">
        <is>
          <t>3364</t>
        </is>
      </c>
      <c r="D1447" s="22" t="inlineStr">
        <is>
          <t>3364</t>
        </is>
      </c>
      <c r="E1447" s="21" t="inlineStr">
        <is>
          <t>Фунгіцид Алкобан / Alcoban 5 кг Globagem N.V. Бельгія</t>
        </is>
      </c>
      <c r="F1447" s="21" t="inlineStr">
        <is>
          <t>Магнолія гібридний(а) Баттерфляй Штамб C20 / Pa180</t>
        </is>
      </c>
      <c r="G1447" s="23" t="n">
        <v>12998</v>
      </c>
      <c r="H1447" s="23" t="n">
        <v>3312</v>
      </c>
      <c r="I1447" s="21" t="inlineStr">
        <is>
          <t>ID постачальника збігся, але назви різні</t>
        </is>
      </c>
    </row>
    <row r="1448">
      <c r="A1448" s="22" t="n">
        <v>30.9</v>
      </c>
      <c r="B1448" s="22" t="inlineStr">
        <is>
          <t>Клуб Рослин</t>
        </is>
      </c>
      <c r="C1448" s="22" t="inlineStr">
        <is>
          <t>2163</t>
        </is>
      </c>
      <c r="D1448" s="22" t="inlineStr">
        <is>
          <t>2163</t>
        </is>
      </c>
      <c r="E1448" s="21" t="inlineStr">
        <is>
          <t>Інсектицид Лонгас 1 л Alfa Smart Agro Альфа Смарт Агро Україна</t>
        </is>
      </c>
      <c r="F1448" s="21" t="inlineStr">
        <is>
          <t>Гортензія великолисткова Меджікал Фо Сізон®Корал Блю C5 / H30-40</t>
        </is>
      </c>
      <c r="G1448" s="23" t="n">
        <v>3898</v>
      </c>
      <c r="H1448" s="23" t="n">
        <v>845</v>
      </c>
      <c r="I1448" s="21" t="inlineStr">
        <is>
          <t>ID постачальника збігся, але назви різні</t>
        </is>
      </c>
    </row>
    <row r="1449">
      <c r="A1449" s="22" t="n">
        <v>30.9</v>
      </c>
      <c r="B1449" s="22" t="inlineStr">
        <is>
          <t>Клуб Рослин</t>
        </is>
      </c>
      <c r="C1449" s="22" t="inlineStr">
        <is>
          <t>7798</t>
        </is>
      </c>
      <c r="D1449" s="22" t="inlineStr">
        <is>
          <t>7798</t>
        </is>
      </c>
      <c r="E1449" s="21" t="inlineStr">
        <is>
          <t>Біостимулятор Ікар Хайго Інфра / Ikar Higo Infra 5 л Литва</t>
        </is>
      </c>
      <c r="F1449" s="21" t="inlineStr">
        <is>
          <t>Туя західна (ий) Смарагд Extra K C35 / H80-100</t>
        </is>
      </c>
      <c r="G1449" s="23" t="n">
        <v>3336</v>
      </c>
      <c r="H1449" s="23" t="n">
        <v>608</v>
      </c>
      <c r="I1449" s="21" t="inlineStr">
        <is>
          <t>ID постачальника збігся, але різні бренди</t>
        </is>
      </c>
    </row>
    <row r="1450">
      <c r="A1450" s="22" t="n">
        <v>30.9</v>
      </c>
      <c r="B1450" s="22" t="inlineStr">
        <is>
          <t>Клуб Рослин</t>
        </is>
      </c>
      <c r="C1450" s="22" t="inlineStr">
        <is>
          <t>3363</t>
        </is>
      </c>
      <c r="D1450" s="22" t="inlineStr">
        <is>
          <t>3363</t>
        </is>
      </c>
      <c r="E1450" s="21" t="inlineStr">
        <is>
          <t>Фунгіцид Алкобан / Alcoban 1 кг Globagem N.V. Бельгія</t>
        </is>
      </c>
      <c r="F1450" s="21" t="inlineStr">
        <is>
          <t>Магнолія гібридний(а) Баттерфляй Штамб C20 / Pa130</t>
        </is>
      </c>
      <c r="G1450" s="23" t="n">
        <v>2798</v>
      </c>
      <c r="H1450" s="23" t="n">
        <v>3065</v>
      </c>
      <c r="I1450" s="21" t="inlineStr">
        <is>
          <t>ID постачальника збігся, але назви різні</t>
        </is>
      </c>
    </row>
    <row r="1451">
      <c r="A1451" s="22" t="n">
        <v>30.9</v>
      </c>
      <c r="B1451" s="22" t="inlineStr">
        <is>
          <t>Клуб Рослин</t>
        </is>
      </c>
      <c r="C1451" s="22" t="inlineStr">
        <is>
          <t>10.107</t>
        </is>
      </c>
      <c r="D1451" s="22" t="inlineStr">
        <is>
          <t>10107</t>
        </is>
      </c>
      <c r="E1451" s="21" t="inlineStr">
        <is>
          <t>LOWE Original 10.107 Секатор з ковадлом Німеччина</t>
        </is>
      </c>
      <c r="F1451" s="21" t="inlineStr">
        <is>
          <t>Кокосовий брикет Grond Meester UNI 615 гр, поштучно в упаковці</t>
        </is>
      </c>
      <c r="G1451" s="23" t="n">
        <v>2450</v>
      </c>
      <c r="H1451" s="23" t="n">
        <v>48</v>
      </c>
      <c r="I1451" s="21" t="inlineStr">
        <is>
          <t>ID постачальника збігся, але різні бренди</t>
        </is>
      </c>
    </row>
    <row r="1452">
      <c r="A1452" s="22" t="n">
        <v>30.9</v>
      </c>
      <c r="B1452" s="22" t="inlineStr">
        <is>
          <t>Клуб Рослин</t>
        </is>
      </c>
      <c r="C1452" s="22" t="inlineStr">
        <is>
          <t>3216</t>
        </is>
      </c>
      <c r="D1452" s="22" t="inlineStr">
        <is>
          <t>3216</t>
        </is>
      </c>
      <c r="E1452" s="21" t="inlineStr">
        <is>
          <t>Фунгіцид Анелас 1 л Alfa Smart Agro Альфа Смарт Агро Украина</t>
        </is>
      </c>
      <c r="F1452" s="21" t="inlineStr">
        <is>
          <t>Ліквідамбар (Амброве дерево) смолоносний C15 / H175-200</t>
        </is>
      </c>
      <c r="G1452" s="23" t="n">
        <v>1925</v>
      </c>
      <c r="H1452" s="23" t="n">
        <v>1500</v>
      </c>
      <c r="I1452" s="21" t="inlineStr">
        <is>
          <t>ID постачальника збігся, але назви різні</t>
        </is>
      </c>
    </row>
    <row r="1453">
      <c r="A1453" s="22" t="n">
        <v>30.9</v>
      </c>
      <c r="B1453" s="22" t="inlineStr">
        <is>
          <t>Клуб Рослин</t>
        </is>
      </c>
      <c r="C1453" s="22" t="inlineStr">
        <is>
          <t>2032</t>
        </is>
      </c>
      <c r="D1453" s="22" t="inlineStr">
        <is>
          <t>2032</t>
        </is>
      </c>
      <c r="E1453" s="21" t="inlineStr">
        <is>
          <t>Акарицид Ніссоран ЗП 500 г Sumiagro Самміт Агро Японія</t>
        </is>
      </c>
      <c r="F1453" s="21" t="inlineStr">
        <is>
          <t>Гібіскус сірійський Лавендер Шифон ® C4 / H40-60</t>
        </is>
      </c>
      <c r="G1453" s="23" t="n">
        <v>1298</v>
      </c>
      <c r="H1453" s="23" t="n">
        <v>240</v>
      </c>
      <c r="I1453" s="21" t="inlineStr">
        <is>
          <t>ID постачальника збігся, але назви різні</t>
        </is>
      </c>
    </row>
    <row r="1454">
      <c r="A1454" s="22" t="n">
        <v>30.9</v>
      </c>
      <c r="B1454" s="22" t="inlineStr">
        <is>
          <t>Клуб Рослин</t>
        </is>
      </c>
      <c r="C1454" s="22" t="inlineStr">
        <is>
          <t>2017</t>
        </is>
      </c>
      <c r="D1454" s="22" t="inlineStr">
        <is>
          <t>2017</t>
        </is>
      </c>
      <c r="E1454" s="21" t="inlineStr">
        <is>
          <t>Інсектицид Моспілан 400 г Sumiаgro Самміт Агро Японія</t>
        </is>
      </c>
      <c r="F1454" s="21" t="inlineStr">
        <is>
          <t>Гібіскус сірійський Френч кабарет Пастель ® PC21 C3 / H100-120</t>
        </is>
      </c>
      <c r="G1454" s="23" t="n">
        <v>1248</v>
      </c>
      <c r="H1454" s="23" t="n">
        <v>190</v>
      </c>
      <c r="I1454" s="21" t="inlineStr">
        <is>
          <t>ID постачальника збігся, але назви різні</t>
        </is>
      </c>
    </row>
    <row r="1455">
      <c r="A1455" s="22" t="n">
        <v>30.9</v>
      </c>
      <c r="B1455" s="22" t="inlineStr">
        <is>
          <t>Клуб Рослин</t>
        </is>
      </c>
      <c r="C1455" s="22" t="inlineStr">
        <is>
          <t>7995</t>
        </is>
      </c>
      <c r="D1455" s="22" t="inlineStr">
        <is>
          <t>7995</t>
        </is>
      </c>
      <c r="E1455" s="21" t="inlineStr">
        <is>
          <t>Добриво Леда Гель Мікро / Leda Gel Micro 1 л Велика Британія</t>
        </is>
      </c>
      <c r="F1455" s="21" t="inlineStr">
        <is>
          <t>Липа широколиста Фастігіата Штамб 180 / o12-14 / Pa150-175</t>
        </is>
      </c>
      <c r="G1455" s="23" t="n">
        <v>785</v>
      </c>
      <c r="H1455" s="23" t="n">
        <v>4968</v>
      </c>
      <c r="I1455" s="21" t="inlineStr">
        <is>
          <t>ID постачальника збігся, але назви різні</t>
        </is>
      </c>
    </row>
    <row r="1456">
      <c r="A1456" s="22" t="n">
        <v>30.9</v>
      </c>
      <c r="B1456" s="22" t="inlineStr">
        <is>
          <t>Клуб Рослин</t>
        </is>
      </c>
      <c r="C1456" s="22" t="inlineStr">
        <is>
          <t>7589</t>
        </is>
      </c>
      <c r="D1456" s="22" t="inlineStr">
        <is>
          <t>7589</t>
        </is>
      </c>
      <c r="E1456" s="21" t="inlineStr">
        <is>
          <t>Стимулятор росту Фульвітал Плюс 1 л Humin Tech Німеччина</t>
        </is>
      </c>
      <c r="F1456" s="21" t="inlineStr">
        <is>
          <t>Тис ягідний (а) Вестерштеде Куля C4,5 / H20-25</t>
        </is>
      </c>
      <c r="G1456" s="23" t="n">
        <v>698</v>
      </c>
      <c r="H1456" s="23" t="n">
        <v>840</v>
      </c>
      <c r="I1456" s="21" t="inlineStr">
        <is>
          <t>ID постачальника збігся, але назви різні</t>
        </is>
      </c>
    </row>
    <row r="1457">
      <c r="A1457" s="22" t="n">
        <v>30.9</v>
      </c>
      <c r="B1457" s="22" t="inlineStr">
        <is>
          <t>Клуб Рослин</t>
        </is>
      </c>
      <c r="C1457" s="22" t="inlineStr">
        <is>
          <t>7923</t>
        </is>
      </c>
      <c r="D1457" s="22" t="inlineStr">
        <is>
          <t>7923</t>
        </is>
      </c>
      <c r="E1457" s="21" t="inlineStr">
        <is>
          <t>Добриво Ікар Хайго Колд / Ikar Higo Cold 0.5 л Литва</t>
        </is>
      </c>
      <c r="F1457" s="21" t="inlineStr">
        <is>
          <t>Туя західна (ий) Смарагд Спіраль K20 C230 / H175-200</t>
        </is>
      </c>
      <c r="G1457" s="23" t="n">
        <v>591</v>
      </c>
      <c r="H1457" s="23" t="n">
        <v>4347</v>
      </c>
      <c r="I1457" s="21" t="inlineStr">
        <is>
          <t>ID постачальника збігся, але назви різні</t>
        </is>
      </c>
    </row>
    <row r="1458">
      <c r="A1458" s="22" t="n">
        <v>30.9</v>
      </c>
      <c r="B1458" s="22" t="inlineStr">
        <is>
          <t>Клуб Рослин</t>
        </is>
      </c>
      <c r="C1458" s="22" t="inlineStr">
        <is>
          <t>3421</t>
        </is>
      </c>
      <c r="D1458" s="22" t="inlineStr">
        <is>
          <t>3421</t>
        </is>
      </c>
      <c r="E1458" s="21" t="inlineStr">
        <is>
          <t>Біофунгіцид Біонорма Триходерма 5 кг (розсип) BioNorma Україна</t>
        </is>
      </c>
      <c r="F1458" s="21" t="inlineStr">
        <is>
          <t>Магнолія Лебнера Леонард Мессел Extra C290 / H300-350</t>
        </is>
      </c>
      <c r="G1458" s="23" t="n">
        <v>498</v>
      </c>
      <c r="H1458" s="23" t="n">
        <v>66240</v>
      </c>
      <c r="I1458" s="21" t="inlineStr">
        <is>
          <t>ID постачальника збігся, але різні бренди</t>
        </is>
      </c>
    </row>
    <row r="1459">
      <c r="A1459" s="22" t="n">
        <v>30.9</v>
      </c>
      <c r="B1459" s="22" t="inlineStr">
        <is>
          <t>Клуб Рослин</t>
        </is>
      </c>
      <c r="C1459" s="22" t="inlineStr">
        <is>
          <t>7534</t>
        </is>
      </c>
      <c r="D1459" s="22" t="inlineStr">
        <is>
          <t>7534</t>
        </is>
      </c>
      <c r="E1459" s="21" t="inlineStr">
        <is>
          <t>Добриво Натурвін / Naturwin 9-45-15 + ТЕ 2 кг Libra agro Туреччина</t>
        </is>
      </c>
      <c r="F1459" s="21" t="inlineStr">
        <is>
          <t>Тис ягідний (а) Оверендері Куля Woodenbox 300 / H90-100</t>
        </is>
      </c>
      <c r="G1459" s="23" t="n">
        <v>475</v>
      </c>
      <c r="H1459" s="23" t="n">
        <v>24840</v>
      </c>
      <c r="I1459" s="21" t="inlineStr">
        <is>
          <t>ID постачальника збігся, але різні бренди</t>
        </is>
      </c>
    </row>
    <row r="1460">
      <c r="A1460" s="22" t="n">
        <v>30.9</v>
      </c>
      <c r="B1460" s="22" t="inlineStr">
        <is>
          <t>Клуб Рослин</t>
        </is>
      </c>
      <c r="C1460" s="22" t="inlineStr">
        <is>
          <t>2142</t>
        </is>
      </c>
      <c r="D1460" s="22" t="inlineStr">
        <is>
          <t>2142</t>
        </is>
      </c>
      <c r="E1460" s="21" t="inlineStr">
        <is>
          <t>Інсектицид ЛОК-5 1 л Хімагромаркетинг Україна</t>
        </is>
      </c>
      <c r="F1460" s="21" t="inlineStr">
        <is>
          <t>Гортензія великолисткова Меджікал Амазон ® 2gr PC22 C10</t>
        </is>
      </c>
      <c r="G1460" s="23" t="n">
        <v>437</v>
      </c>
      <c r="H1460" s="23" t="n">
        <v>720</v>
      </c>
      <c r="I1460" s="21" t="inlineStr">
        <is>
          <t>ID постачальника збігся, але назви різні</t>
        </is>
      </c>
    </row>
    <row r="1461">
      <c r="A1461" s="22" t="n">
        <v>30.9</v>
      </c>
      <c r="B1461" s="22" t="inlineStr">
        <is>
          <t>Клуб Рослин</t>
        </is>
      </c>
      <c r="C1461" s="22" t="inlineStr">
        <is>
          <t>3370</t>
        </is>
      </c>
      <c r="D1461" s="22" t="inlineStr">
        <is>
          <t>3370</t>
        </is>
      </c>
      <c r="E1461" s="21" t="inlineStr">
        <is>
          <t>Фунгіцид Руна 100 мл ProtectON / ПротектОн Україна</t>
        </is>
      </c>
      <c r="F1461" s="21" t="inlineStr">
        <is>
          <t>Магнолія гібридний(а) Гелексі C160 / H100-150 / L200-250</t>
        </is>
      </c>
      <c r="G1461" s="23" t="n">
        <v>333</v>
      </c>
      <c r="H1461" s="23" t="n">
        <v>22356</v>
      </c>
      <c r="I1461" s="21" t="inlineStr">
        <is>
          <t>ID постачальника збігся, але назви різні</t>
        </is>
      </c>
    </row>
    <row r="1462">
      <c r="A1462" s="22" t="n">
        <v>30.9</v>
      </c>
      <c r="B1462" s="22" t="inlineStr">
        <is>
          <t>Клуб Рослин</t>
        </is>
      </c>
      <c r="C1462" s="22" t="inlineStr">
        <is>
          <t>7064</t>
        </is>
      </c>
      <c r="D1462" s="22" t="inlineStr">
        <is>
          <t>7064</t>
        </is>
      </c>
      <c r="E1462" s="21" t="inlineStr">
        <is>
          <t>Біостимулятор Кендал Kendal 100 мл Valagro Валагро Італія</t>
        </is>
      </c>
      <c r="F1462" s="21" t="inlineStr">
        <is>
          <t>Агрус Штамб Mix (в асортименті) K18 G / Pa80</t>
        </is>
      </c>
      <c r="G1462" s="23" t="n">
        <v>190</v>
      </c>
      <c r="H1462" s="23" t="n">
        <v>300</v>
      </c>
      <c r="I1462" s="21" t="inlineStr">
        <is>
          <t>ID постачальника збігся, але різні об'єми або розміри</t>
        </is>
      </c>
    </row>
    <row r="1463">
      <c r="A1463" s="22" t="n">
        <v>30.8</v>
      </c>
      <c r="B1463" s="22" t="inlineStr">
        <is>
          <t>Клуб Рослин</t>
        </is>
      </c>
      <c r="C1463" s="22" t="inlineStr">
        <is>
          <t>2166</t>
        </is>
      </c>
      <c r="D1463" s="22" t="inlineStr">
        <is>
          <t>2166</t>
        </is>
      </c>
      <c r="E1463" s="21" t="inlineStr">
        <is>
          <t>Інсектицид Маврік 5 л Adama Адама Ізраїль</t>
        </is>
      </c>
      <c r="F1463" s="21" t="inlineStr">
        <is>
          <t>Гортензія великолисткова Меджікал Пінк Клауд ® 1gr PC22 C10 / H50-60</t>
        </is>
      </c>
      <c r="G1463" s="23" t="n">
        <v>9998</v>
      </c>
      <c r="H1463" s="23" t="n">
        <v>720</v>
      </c>
      <c r="I1463" s="21" t="inlineStr">
        <is>
          <t>ID постачальника збігся, але назви різні</t>
        </is>
      </c>
    </row>
    <row r="1464">
      <c r="A1464" s="22" t="n">
        <v>30.8</v>
      </c>
      <c r="B1464" s="22" t="inlineStr">
        <is>
          <t>Клуб Рослин</t>
        </is>
      </c>
      <c r="C1464" s="22" t="inlineStr">
        <is>
          <t>2267</t>
        </is>
      </c>
      <c r="D1464" s="22" t="inlineStr">
        <is>
          <t>2267</t>
        </is>
      </c>
      <c r="E1464" s="21" t="inlineStr">
        <is>
          <t>Інсектицид Логус 5 л Alfa Smart Agro Альфа Смарт Агро Україна</t>
        </is>
      </c>
      <c r="F1464" s="21" t="inlineStr">
        <is>
          <t>Гортензія волотиста Меджікал Андс PC20 C7,5 / H90-100 / Pa100</t>
        </is>
      </c>
      <c r="G1464" s="23" t="n">
        <v>7998</v>
      </c>
      <c r="H1464" s="23" t="n">
        <v>1134</v>
      </c>
      <c r="I1464" s="21" t="inlineStr">
        <is>
          <t>ID постачальника збігся, але назви різні</t>
        </is>
      </c>
    </row>
    <row r="1465">
      <c r="A1465" s="22" t="n">
        <v>30.8</v>
      </c>
      <c r="B1465" s="22" t="inlineStr">
        <is>
          <t>Клуб Рослин</t>
        </is>
      </c>
      <c r="C1465" s="22" t="inlineStr">
        <is>
          <t>7111</t>
        </is>
      </c>
      <c r="D1465" s="22" t="inlineStr">
        <is>
          <t>7111</t>
        </is>
      </c>
      <c r="E1465" s="21" t="inlineStr">
        <is>
          <t>Регулятор росту AgriFlex Humic Агріфлекс Гумік 25 кг CityMax СітіМакс</t>
        </is>
      </c>
      <c r="F1465" s="21" t="inlineStr">
        <is>
          <t>Троянда плетиста Пінк Мусімара DP G</t>
        </is>
      </c>
      <c r="G1465" s="23" t="n">
        <v>7998</v>
      </c>
      <c r="H1465" s="23" t="n">
        <v>60</v>
      </c>
      <c r="I1465" s="21" t="inlineStr">
        <is>
          <t>ID постачальника збігся, але різні бренди</t>
        </is>
      </c>
    </row>
    <row r="1466">
      <c r="A1466" s="22" t="n">
        <v>30.8</v>
      </c>
      <c r="B1466" s="22" t="inlineStr">
        <is>
          <t>Клуб Рослин</t>
        </is>
      </c>
      <c r="C1466" s="22" t="inlineStr">
        <is>
          <t>8082</t>
        </is>
      </c>
      <c r="D1466" s="22" t="inlineStr">
        <is>
          <t>8082</t>
        </is>
      </c>
      <c r="E1466" s="21" t="inlineStr">
        <is>
          <t>Добриво Осмокот / Osmocote Pro 19-9-10 (3-4 М) 25 кг ICL Нідерланди</t>
        </is>
      </c>
      <c r="F1466" s="21" t="inlineStr">
        <is>
          <t>Тюльпан тріумф Стронг Голд 11/12</t>
        </is>
      </c>
      <c r="G1466" s="23" t="n">
        <v>6884</v>
      </c>
      <c r="H1466" s="23" t="n">
        <v>10</v>
      </c>
      <c r="I1466" s="21" t="inlineStr">
        <is>
          <t>ID постачальника збігся, але назви різні</t>
        </is>
      </c>
    </row>
    <row r="1467">
      <c r="A1467" s="22" t="n">
        <v>30.8</v>
      </c>
      <c r="B1467" s="22" t="inlineStr">
        <is>
          <t>Клуб Рослин</t>
        </is>
      </c>
      <c r="C1467" s="22" t="inlineStr">
        <is>
          <t>1265</t>
        </is>
      </c>
      <c r="D1467" s="22" t="inlineStr">
        <is>
          <t>1265</t>
        </is>
      </c>
      <c r="E1467" s="21" t="inlineStr">
        <is>
          <t>Гербіцид Аргумент Форте 500 SL 20 л Нертус Угорщина</t>
        </is>
      </c>
      <c r="F1467" s="21" t="inlineStr">
        <is>
          <t>Кедр гімалайський Філін Блю C180 / H200-250</t>
        </is>
      </c>
      <c r="G1467" s="23" t="n">
        <v>4998</v>
      </c>
      <c r="H1467" s="23" t="n">
        <v>21000</v>
      </c>
      <c r="I1467" s="21" t="inlineStr">
        <is>
          <t>ID постачальника збігся, але назви різні</t>
        </is>
      </c>
    </row>
    <row r="1468">
      <c r="A1468" s="22" t="n">
        <v>30.8</v>
      </c>
      <c r="B1468" s="22" t="inlineStr">
        <is>
          <t>Клуб Рослин</t>
        </is>
      </c>
      <c r="C1468" s="22" t="inlineStr">
        <is>
          <t>3253</t>
        </is>
      </c>
      <c r="D1468" s="22" t="inlineStr">
        <is>
          <t>3253</t>
        </is>
      </c>
      <c r="E1468" s="21" t="inlineStr">
        <is>
          <t>Фунгіцид Вівандо 1 л Basf Басф Німеччина</t>
        </is>
      </c>
      <c r="F1468" s="21" t="inlineStr">
        <is>
          <t>Ліріодендрон (Тюльпанове дерево) тюльпановий Фастігіатум Woodenbox 1000 / H500-600</t>
        </is>
      </c>
      <c r="G1468" s="23" t="n">
        <v>4420</v>
      </c>
      <c r="H1468" s="23" t="n">
        <v>48000</v>
      </c>
      <c r="I1468" s="21" t="inlineStr">
        <is>
          <t>ID постачальника збігся, але різні бренди</t>
        </is>
      </c>
    </row>
    <row r="1469">
      <c r="A1469" s="22" t="n">
        <v>30.8</v>
      </c>
      <c r="B1469" s="22" t="inlineStr">
        <is>
          <t>Клуб Рослин</t>
        </is>
      </c>
      <c r="C1469" s="22" t="inlineStr">
        <is>
          <t>7323</t>
        </is>
      </c>
      <c r="D1469" s="22" t="inlineStr">
        <is>
          <t>7323</t>
        </is>
      </c>
      <c r="E1469" s="21" t="inlineStr">
        <is>
          <t>Регулятор росту Вимпел Два 10 л Долина Україна</t>
        </is>
      </c>
      <c r="F1469" s="21" t="inlineStr">
        <is>
          <t>Горобина x проміжний (а) C60 / H200-250 / o8-10 / Pa100</t>
        </is>
      </c>
      <c r="G1469" s="23" t="n">
        <v>3248</v>
      </c>
      <c r="H1469" s="23" t="n">
        <v>2760</v>
      </c>
      <c r="I1469" s="21" t="inlineStr">
        <is>
          <t>ID постачальника збігся, але назви різні</t>
        </is>
      </c>
    </row>
    <row r="1470">
      <c r="A1470" s="22" t="n">
        <v>30.8</v>
      </c>
      <c r="B1470" s="22" t="inlineStr">
        <is>
          <t>Клуб Рослин</t>
        </is>
      </c>
      <c r="C1470" s="22" t="inlineStr">
        <is>
          <t>15-902</t>
        </is>
      </c>
      <c r="D1470" s="22" t="inlineStr">
        <is>
          <t>15902</t>
        </is>
      </c>
      <c r="E1470" s="21" t="inlineStr">
        <is>
          <t>Парник складаний 195х143х73 см ПВХ плівка 4 полиці Neo Tools (15-902)</t>
        </is>
      </c>
      <c r="F1470" s="21" t="inlineStr">
        <is>
          <t>Бамбукова опора 4,0 м, діаметр 28 - 30 мм</t>
        </is>
      </c>
      <c r="G1470" s="23" t="n">
        <v>2585</v>
      </c>
      <c r="H1470" s="23" t="n">
        <v>125</v>
      </c>
      <c r="I1470" s="21" t="inlineStr">
        <is>
          <t>ID постачальника збігся, але різні об'єми або розміри</t>
        </is>
      </c>
    </row>
    <row r="1471">
      <c r="A1471" s="22" t="n">
        <v>30.8</v>
      </c>
      <c r="B1471" s="22" t="inlineStr">
        <is>
          <t>Клуб Рослин</t>
        </is>
      </c>
      <c r="C1471" s="22" t="inlineStr">
        <is>
          <t>3065</t>
        </is>
      </c>
      <c r="D1471" s="22" t="inlineStr">
        <is>
          <t>3065</t>
        </is>
      </c>
      <c r="E1471" s="21" t="inlineStr">
        <is>
          <t>Фунгіцид Ескада 5 л FMC ФМС США</t>
        </is>
      </c>
      <c r="F1471" s="21" t="inlineStr">
        <is>
          <t>Ялівець середній Пфітзеріана Компакта Бонсай C100 / L35-45 / o9-14</t>
        </is>
      </c>
      <c r="G1471" s="23" t="n">
        <v>2028</v>
      </c>
      <c r="H1471" s="23" t="n">
        <v>26397</v>
      </c>
      <c r="I1471" s="21" t="inlineStr">
        <is>
          <t>ID постачальника збігся, але назви різні</t>
        </is>
      </c>
    </row>
    <row r="1472">
      <c r="A1472" s="22" t="n">
        <v>30.8</v>
      </c>
      <c r="B1472" s="22" t="inlineStr">
        <is>
          <t>Клуб Рослин</t>
        </is>
      </c>
      <c r="C1472" s="22" t="inlineStr">
        <is>
          <t>7191</t>
        </is>
      </c>
      <c r="D1472" s="22" t="inlineStr">
        <is>
          <t>7191</t>
        </is>
      </c>
      <c r="E1472" s="21" t="inlineStr">
        <is>
          <t>Добриво Мікрокат Бор 5 л Вітера Atlantica Agricola Іспанія</t>
        </is>
      </c>
      <c r="F1472" s="21" t="inlineStr">
        <is>
          <t>Троянда гібридний(а) Люстиге DP PC20 C7,5 / H20-30</t>
        </is>
      </c>
      <c r="G1472" s="23" t="n">
        <v>1998</v>
      </c>
      <c r="H1472" s="23" t="n">
        <v>290</v>
      </c>
      <c r="I1472" s="21" t="inlineStr">
        <is>
          <t>ID постачальника збігся, але різні бренди</t>
        </is>
      </c>
    </row>
    <row r="1473">
      <c r="A1473" s="22" t="n">
        <v>30.8</v>
      </c>
      <c r="B1473" s="22" t="inlineStr">
        <is>
          <t>Клуб Рослин</t>
        </is>
      </c>
      <c r="C1473" s="22" t="inlineStr">
        <is>
          <t>7696</t>
        </is>
      </c>
      <c r="D1473" s="22" t="inlineStr">
        <is>
          <t>7696</t>
        </is>
      </c>
      <c r="E1473" s="21" t="inlineStr">
        <is>
          <t>Добриво Хелатин Кукурудза 10 л Кіссон Україна</t>
        </is>
      </c>
      <c r="F1473" s="21" t="inlineStr">
        <is>
          <t>Туя західна (ий) Даніка K18 G / H35-40</t>
        </is>
      </c>
      <c r="G1473" s="23" t="n">
        <v>1289</v>
      </c>
      <c r="H1473" s="23" t="n">
        <v>360</v>
      </c>
      <c r="I1473" s="21" t="inlineStr">
        <is>
          <t>ID постачальника збігся, але різні об'єми або розміри</t>
        </is>
      </c>
    </row>
    <row r="1474">
      <c r="A1474" s="22" t="n">
        <v>30.8</v>
      </c>
      <c r="B1474" s="22" t="inlineStr">
        <is>
          <t>Клуб Рослин</t>
        </is>
      </c>
      <c r="C1474" s="22" t="inlineStr">
        <is>
          <t>7702</t>
        </is>
      </c>
      <c r="D1474" s="22" t="inlineStr">
        <is>
          <t>7702</t>
        </is>
      </c>
      <c r="E1474" s="21" t="inlineStr">
        <is>
          <t>Добриво Хелатин Зернові 10 л Кіссон Україна</t>
        </is>
      </c>
      <c r="F1474" s="21" t="inlineStr">
        <is>
          <t>Туя західна (ий) Даніка K20 C40 / H40-50</t>
        </is>
      </c>
      <c r="G1474" s="23" t="n">
        <v>1288</v>
      </c>
      <c r="H1474" s="23" t="n">
        <v>540</v>
      </c>
      <c r="I1474" s="21" t="inlineStr">
        <is>
          <t>ID постачальника збігся, але назви різні</t>
        </is>
      </c>
    </row>
    <row r="1475">
      <c r="A1475" s="22" t="n">
        <v>30.8</v>
      </c>
      <c r="B1475" s="22" t="inlineStr">
        <is>
          <t>Клуб Рослин</t>
        </is>
      </c>
      <c r="C1475" s="22" t="inlineStr">
        <is>
          <t>8150</t>
        </is>
      </c>
      <c r="D1475" s="22" t="inlineStr">
        <is>
          <t>8150</t>
        </is>
      </c>
      <c r="E1475" s="21" t="inlineStr">
        <is>
          <t>Інокулянт Радісан Хорт / Radisane Hort 100 г Bioera Іспанія</t>
        </is>
      </c>
      <c r="F1475" s="21" t="inlineStr">
        <is>
          <t>Виноград культурний Первозванний (столовий) NN GK</t>
        </is>
      </c>
      <c r="G1475" s="23" t="n">
        <v>936</v>
      </c>
      <c r="H1475" s="23" t="n">
        <v>80</v>
      </c>
      <c r="I1475" s="21" t="inlineStr">
        <is>
          <t>ID постачальника збігся, але різні бренди</t>
        </is>
      </c>
    </row>
    <row r="1476">
      <c r="A1476" s="22" t="n">
        <v>30.8</v>
      </c>
      <c r="B1476" s="22" t="inlineStr">
        <is>
          <t>Клуб Рослин</t>
        </is>
      </c>
      <c r="C1476" s="22" t="inlineStr">
        <is>
          <t>3031</t>
        </is>
      </c>
      <c r="D1476" s="22" t="inlineStr">
        <is>
          <t>3031</t>
        </is>
      </c>
      <c r="E1476" s="21" t="inlineStr">
        <is>
          <t>Фунгіцид Світч 100 г Syngenta Сингента Швейцарія</t>
        </is>
      </c>
      <c r="F1476" s="21" t="inlineStr">
        <is>
          <t>Ялівець середній Олд Голд C7,5</t>
        </is>
      </c>
      <c r="G1476" s="23" t="n">
        <v>798</v>
      </c>
      <c r="H1476" s="23" t="n">
        <v>420</v>
      </c>
      <c r="I1476" s="21" t="inlineStr">
        <is>
          <t>ID постачальника збігся, але назви різні</t>
        </is>
      </c>
    </row>
    <row r="1477">
      <c r="A1477" s="22" t="n">
        <v>30.8</v>
      </c>
      <c r="B1477" s="22" t="inlineStr">
        <is>
          <t>Клуб Рослин</t>
        </is>
      </c>
      <c r="C1477" s="22" t="inlineStr">
        <is>
          <t>7058</t>
        </is>
      </c>
      <c r="D1477" s="22" t="inlineStr">
        <is>
          <t>7058</t>
        </is>
      </c>
      <c r="E1477" s="21" t="inlineStr">
        <is>
          <t>Стимулятор росту Активейв Actiwave 1 л Valagro Валагро Італія</t>
        </is>
      </c>
      <c r="F1477" s="21" t="inlineStr">
        <is>
          <t>Смородина червона (-ий) Штамб K17 G / L40-60 / Pa60</t>
        </is>
      </c>
      <c r="G1477" s="23" t="n">
        <v>798</v>
      </c>
      <c r="H1477" s="23" t="n">
        <v>305</v>
      </c>
      <c r="I1477" s="21" t="inlineStr">
        <is>
          <t>ID постачальника збігся, але різні об'єми або розміри</t>
        </is>
      </c>
    </row>
    <row r="1478">
      <c r="A1478" s="22" t="n">
        <v>30.8</v>
      </c>
      <c r="B1478" s="22" t="inlineStr">
        <is>
          <t>Клуб Рослин</t>
        </is>
      </c>
      <c r="C1478" s="22" t="inlineStr">
        <is>
          <t>7916</t>
        </is>
      </c>
      <c r="D1478" s="22" t="inlineStr">
        <is>
          <t>7916</t>
        </is>
      </c>
      <c r="E1478" s="21" t="inlineStr">
        <is>
          <t>Добриво Сульфат магнію / MagPlon7 25 кг Alventa Польща</t>
        </is>
      </c>
      <c r="F1478" s="21" t="inlineStr">
        <is>
          <t>Туя західна (ий) Смарагд Спіраль C30 / H180+</t>
        </is>
      </c>
      <c r="G1478" s="23" t="n">
        <v>775</v>
      </c>
      <c r="H1478" s="23" t="n">
        <v>3850</v>
      </c>
      <c r="I1478" s="21" t="inlineStr">
        <is>
          <t>ID постачальника збігся, але назви різні</t>
        </is>
      </c>
    </row>
    <row r="1479">
      <c r="A1479" s="22" t="n">
        <v>30.8</v>
      </c>
      <c r="B1479" s="22" t="inlineStr">
        <is>
          <t>Клуб Рослин</t>
        </is>
      </c>
      <c r="C1479" s="22" t="inlineStr">
        <is>
          <t>2014</t>
        </is>
      </c>
      <c r="D1479" s="22" t="inlineStr">
        <is>
          <t>2014</t>
        </is>
      </c>
      <c r="E1479" s="21" t="inlineStr">
        <is>
          <t>Інсектицид Канонір Дуо 1 л Агрохімічні Технології Україна</t>
        </is>
      </c>
      <c r="F1479" s="21" t="inlineStr">
        <is>
          <t>Гібіскус сірійський Фрідом PC18 C3</t>
        </is>
      </c>
      <c r="G1479" s="23" t="n">
        <v>748</v>
      </c>
      <c r="H1479" s="23" t="n">
        <v>144</v>
      </c>
      <c r="I1479" s="21" t="inlineStr">
        <is>
          <t>ID постачальника збігся, але назви різні</t>
        </is>
      </c>
    </row>
    <row r="1480">
      <c r="A1480" s="22" t="n">
        <v>30.8</v>
      </c>
      <c r="B1480" s="22" t="inlineStr">
        <is>
          <t>Клуб Рослин</t>
        </is>
      </c>
      <c r="C1480" s="22" t="inlineStr">
        <is>
          <t>3039</t>
        </is>
      </c>
      <c r="D1480" s="22" t="inlineStr">
        <is>
          <t>3039</t>
        </is>
      </c>
      <c r="E1480" s="21" t="inlineStr">
        <is>
          <t>Фунгіцид Тіофен 1 кг Хімагромаркетинг Україна</t>
        </is>
      </c>
      <c r="F1480" s="21" t="inlineStr">
        <is>
          <t>Ялівець середній Олд Голд PC14 P9</t>
        </is>
      </c>
      <c r="G1480" s="23" t="n">
        <v>525</v>
      </c>
      <c r="H1480" s="23" t="n">
        <v>25</v>
      </c>
      <c r="I1480" s="21" t="inlineStr">
        <is>
          <t>ID постачальника збігся, але назви різні</t>
        </is>
      </c>
    </row>
    <row r="1481">
      <c r="A1481" s="22" t="n">
        <v>30.8</v>
      </c>
      <c r="B1481" s="22" t="inlineStr">
        <is>
          <t>Клуб Рослин</t>
        </is>
      </c>
      <c r="C1481" s="22" t="inlineStr">
        <is>
          <t>7535</t>
        </is>
      </c>
      <c r="D1481" s="22" t="inlineStr">
        <is>
          <t>7535</t>
        </is>
      </c>
      <c r="E1481" s="21" t="inlineStr">
        <is>
          <t>Добриво Натурвін / Naturwin 4-8-36 + 3MgO + ТЕ 2 кг Libra agro Туреччина</t>
        </is>
      </c>
      <c r="F1481" s="21" t="inlineStr">
        <is>
          <t>Тис ягідний (а) Оверендері K14 G+C15 / H30-40</t>
        </is>
      </c>
      <c r="G1481" s="23" t="n">
        <v>425</v>
      </c>
      <c r="H1481" s="23" t="n">
        <v>525</v>
      </c>
      <c r="I1481" s="21" t="inlineStr">
        <is>
          <t>ID постачальника збігся, але різні об'єми або розміри</t>
        </is>
      </c>
    </row>
    <row r="1482">
      <c r="A1482" s="22" t="n">
        <v>30.8</v>
      </c>
      <c r="B1482" s="22" t="inlineStr">
        <is>
          <t>Клуб Рослин</t>
        </is>
      </c>
      <c r="C1482" s="22" t="inlineStr">
        <is>
          <t>3310</t>
        </is>
      </c>
      <c r="D1482" s="22" t="inlineStr">
        <is>
          <t>3310</t>
        </is>
      </c>
      <c r="E1482" s="21" t="inlineStr">
        <is>
          <t>Фунгіцид Доктор Кроп КС 1 л Хімагромаркетинг Україна</t>
        </is>
      </c>
      <c r="F1482" s="21" t="inlineStr">
        <is>
          <t>Магнолія Дафні C55 / H150-175</t>
        </is>
      </c>
      <c r="G1482" s="23" t="n">
        <v>375</v>
      </c>
      <c r="H1482" s="23" t="n">
        <v>11592</v>
      </c>
      <c r="I1482" s="21" t="inlineStr">
        <is>
          <t>ID постачальника збігся, але назви різні</t>
        </is>
      </c>
    </row>
    <row r="1483">
      <c r="A1483" s="22" t="n">
        <v>30.6</v>
      </c>
      <c r="B1483" s="22" t="inlineStr">
        <is>
          <t>Клуб Рослин</t>
        </is>
      </c>
      <c r="C1483" s="22" t="inlineStr">
        <is>
          <t>7311</t>
        </is>
      </c>
      <c r="D1483" s="22" t="inlineStr">
        <is>
          <t>7311</t>
        </is>
      </c>
      <c r="E1483" s="21" t="inlineStr">
        <is>
          <t>Добриво Кафом Калій / Kafom K 20 л Меристем Meristem Іспанія</t>
        </is>
      </c>
      <c r="F1483" s="21" t="inlineStr">
        <is>
          <t>Верба цільнолиста Пендула Штамб GK / Pa120</t>
        </is>
      </c>
      <c r="G1483" s="23" t="n">
        <v>13530</v>
      </c>
      <c r="H1483" s="23" t="n">
        <v>210</v>
      </c>
      <c r="I1483" s="21" t="inlineStr">
        <is>
          <t>ID постачальника збігся, але різні бренди</t>
        </is>
      </c>
    </row>
    <row r="1484">
      <c r="A1484" s="22" t="n">
        <v>30.6</v>
      </c>
      <c r="B1484" s="22" t="inlineStr">
        <is>
          <t>Клуб Рослин</t>
        </is>
      </c>
      <c r="C1484" s="22" t="inlineStr">
        <is>
          <t>2056</t>
        </is>
      </c>
      <c r="D1484" s="22" t="inlineStr">
        <is>
          <t>2056</t>
        </is>
      </c>
      <c r="E1484" s="21" t="inlineStr">
        <is>
          <t>Інсектицид Актеллік 5 л Syngenta Сингента Швейцарія</t>
        </is>
      </c>
      <c r="F1484" s="21" t="inlineStr">
        <is>
          <t>Гібіскус сірійський Пінк Джаінт PC22 C5 / H100-120</t>
        </is>
      </c>
      <c r="G1484" s="23" t="n">
        <v>8498</v>
      </c>
      <c r="H1484" s="23" t="n">
        <v>276</v>
      </c>
      <c r="I1484" s="21" t="inlineStr">
        <is>
          <t>ID постачальника збігся, але назви різні</t>
        </is>
      </c>
    </row>
    <row r="1485">
      <c r="A1485" s="22" t="n">
        <v>30.6</v>
      </c>
      <c r="B1485" s="22" t="inlineStr">
        <is>
          <t>Клуб Рослин</t>
        </is>
      </c>
      <c r="C1485" s="22" t="inlineStr">
        <is>
          <t>3273</t>
        </is>
      </c>
      <c r="D1485" s="22" t="inlineStr">
        <is>
          <t>3273</t>
        </is>
      </c>
      <c r="E1485" s="21" t="inlineStr">
        <is>
          <t>Фунгіцид Пропульс 5 л Bayer Байер Німеччина</t>
        </is>
      </c>
      <c r="F1485" s="21" t="inlineStr">
        <is>
          <t>Жимолость камчатська (голуба) Дует PC21 C7,5</t>
        </is>
      </c>
      <c r="G1485" s="23" t="n">
        <v>8318</v>
      </c>
      <c r="H1485" s="23" t="n">
        <v>290</v>
      </c>
      <c r="I1485" s="21" t="inlineStr">
        <is>
          <t>ID постачальника збігся, але назви різні</t>
        </is>
      </c>
    </row>
    <row r="1486">
      <c r="A1486" s="22" t="n">
        <v>30.6</v>
      </c>
      <c r="B1486" s="22" t="inlineStr">
        <is>
          <t>Клуб Рослин</t>
        </is>
      </c>
      <c r="C1486" s="22" t="inlineStr">
        <is>
          <t>7162</t>
        </is>
      </c>
      <c r="D1486" s="22" t="inlineStr">
        <is>
          <t>7162</t>
        </is>
      </c>
      <c r="E1486" s="21" t="inlineStr">
        <is>
          <t>Добриво Фосфорно-калійне Атланте Плюс 5 л Вітера Atlantica Іспанія</t>
        </is>
      </c>
      <c r="F1486" s="21" t="inlineStr">
        <is>
          <t>Троянда гібридний(а) Корветт SP G</t>
        </is>
      </c>
      <c r="G1486" s="23" t="n">
        <v>6115</v>
      </c>
      <c r="H1486" s="23" t="n">
        <v>44</v>
      </c>
      <c r="I1486" s="21" t="inlineStr">
        <is>
          <t>ID постачальника збігся, але різні бренди</t>
        </is>
      </c>
    </row>
    <row r="1487">
      <c r="A1487" s="22" t="n">
        <v>30.6</v>
      </c>
      <c r="B1487" s="22" t="inlineStr">
        <is>
          <t>Клуб Рослин</t>
        </is>
      </c>
      <c r="C1487" s="22" t="inlineStr">
        <is>
          <t>1262</t>
        </is>
      </c>
      <c r="D1487" s="22" t="inlineStr">
        <is>
          <t>1262</t>
        </is>
      </c>
      <c r="E1487" s="21" t="inlineStr">
        <is>
          <t>Добриво Леда / Leda NPK 8-17-42+TE+GS+Amino 25 кг Нідерланди</t>
        </is>
      </c>
      <c r="F1487" s="21" t="inlineStr">
        <is>
          <t>Кедр атласький Глаука Пендула C280 / H300-350</t>
        </is>
      </c>
      <c r="G1487" s="23" t="n">
        <v>4973</v>
      </c>
      <c r="H1487" s="23" t="n">
        <v>82800</v>
      </c>
      <c r="I1487" s="21" t="inlineStr">
        <is>
          <t>ID постачальника збігся, але назви різні</t>
        </is>
      </c>
    </row>
    <row r="1488">
      <c r="A1488" s="22" t="n">
        <v>30.6</v>
      </c>
      <c r="B1488" s="22" t="inlineStr">
        <is>
          <t>Клуб Рослин</t>
        </is>
      </c>
      <c r="C1488" s="22" t="inlineStr">
        <is>
          <t>7811</t>
        </is>
      </c>
      <c r="D1488" s="22" t="inlineStr">
        <is>
          <t>7811</t>
        </is>
      </c>
      <c r="E1488" s="21" t="inlineStr">
        <is>
          <t>Біостимулятор Альгефіт / Alghefit 1 кг Bioera Іспанія</t>
        </is>
      </c>
      <c r="F1488" s="21" t="inlineStr">
        <is>
          <t>Туя західна (ий) Смарагд K G / H100-120</t>
        </is>
      </c>
      <c r="G1488" s="23" t="n">
        <v>3692</v>
      </c>
      <c r="H1488" s="23" t="n">
        <v>504</v>
      </c>
      <c r="I1488" s="21" t="inlineStr">
        <is>
          <t>ID постачальника збігся, але назви різні</t>
        </is>
      </c>
    </row>
    <row r="1489">
      <c r="A1489" s="22" t="n">
        <v>30.6</v>
      </c>
      <c r="B1489" s="22" t="inlineStr">
        <is>
          <t>Клуб Рослин</t>
        </is>
      </c>
      <c r="C1489" s="22" t="inlineStr">
        <is>
          <t>3124</t>
        </is>
      </c>
      <c r="D1489" s="22" t="inlineStr">
        <is>
          <t>3124</t>
        </is>
      </c>
      <c r="E1489" s="21" t="inlineStr">
        <is>
          <t>Фунгіцид Малвін 5 кг UPL / ЮПЛ Франція</t>
        </is>
      </c>
      <c r="F1489" s="21" t="inlineStr">
        <is>
          <t>Лаванда вузьколиста Сентіва Блю C1,2</t>
        </is>
      </c>
      <c r="G1489" s="23" t="n">
        <v>3248</v>
      </c>
      <c r="H1489" s="23" t="n">
        <v>50</v>
      </c>
      <c r="I1489" s="21" t="inlineStr">
        <is>
          <t>ID постачальника збігся, але назви різні</t>
        </is>
      </c>
    </row>
    <row r="1490">
      <c r="A1490" s="22" t="n">
        <v>30.6</v>
      </c>
      <c r="B1490" s="22" t="inlineStr">
        <is>
          <t>Клуб Рослин</t>
        </is>
      </c>
      <c r="C1490" s="22" t="inlineStr">
        <is>
          <t>1227</t>
        </is>
      </c>
      <c r="D1490" s="22" t="inlineStr">
        <is>
          <t>1227</t>
        </is>
      </c>
      <c r="E1490" s="21" t="inlineStr">
        <is>
          <t>Гербіцид Пріус 5 л Нертус Угорщина</t>
        </is>
      </c>
      <c r="F1490" s="21" t="inlineStr">
        <is>
          <t>Катальпа бігнонієвидна Мультиштамб K20 C230 / H250-300</t>
        </is>
      </c>
      <c r="G1490" s="23" t="n">
        <v>1835</v>
      </c>
      <c r="H1490" s="23" t="n">
        <v>2981</v>
      </c>
      <c r="I1490" s="21" t="inlineStr">
        <is>
          <t>ID постачальника збігся, але назви різні</t>
        </is>
      </c>
    </row>
    <row r="1491">
      <c r="A1491" s="22" t="n">
        <v>30.6</v>
      </c>
      <c r="B1491" s="22" t="inlineStr">
        <is>
          <t>Клуб Рослин</t>
        </is>
      </c>
      <c r="C1491" s="22" t="inlineStr">
        <is>
          <t>7110</t>
        </is>
      </c>
      <c r="D1491" s="22" t="inlineStr">
        <is>
          <t>7110</t>
        </is>
      </c>
      <c r="E1491" s="21" t="inlineStr">
        <is>
          <t>Регулятор росту AgriFlex Humic Агріфлекс Гумік 5 кг CityMax СітіМакс</t>
        </is>
      </c>
      <c r="F1491" s="21" t="inlineStr">
        <is>
          <t>Троянда плетист Пінк Б'юті SP G</t>
        </is>
      </c>
      <c r="G1491" s="23" t="n">
        <v>1825</v>
      </c>
      <c r="H1491" s="23" t="n">
        <v>44</v>
      </c>
      <c r="I1491" s="21" t="inlineStr">
        <is>
          <t>ID постачальника збігся, але різні бренди</t>
        </is>
      </c>
    </row>
    <row r="1492">
      <c r="A1492" s="22" t="n">
        <v>30.6</v>
      </c>
      <c r="B1492" s="22" t="inlineStr">
        <is>
          <t>Клуб Рослин</t>
        </is>
      </c>
      <c r="C1492" s="22" t="inlineStr">
        <is>
          <t>5015</t>
        </is>
      </c>
      <c r="D1492" s="22" t="inlineStr">
        <is>
          <t>5015</t>
        </is>
      </c>
      <c r="E1492" s="21" t="inlineStr">
        <is>
          <t>Протруйник Антал 1 л Нертус Угорщина</t>
        </is>
      </c>
      <c r="F1492" s="21" t="inlineStr">
        <is>
          <t>Сосна густоквіткова Умбракуліфера K20 C100 / H80-100</t>
        </is>
      </c>
      <c r="G1492" s="23" t="n">
        <v>1625</v>
      </c>
      <c r="H1492" s="23" t="n">
        <v>4968</v>
      </c>
      <c r="I1492" s="21" t="inlineStr">
        <is>
          <t>ID постачальника збігся, але назви різні</t>
        </is>
      </c>
    </row>
    <row r="1493">
      <c r="A1493" s="22" t="n">
        <v>30.6</v>
      </c>
      <c r="B1493" s="22" t="inlineStr">
        <is>
          <t>Клуб Рослин</t>
        </is>
      </c>
      <c r="C1493" s="22" t="inlineStr">
        <is>
          <t>1117</t>
        </is>
      </c>
      <c r="D1493" s="22" t="inlineStr">
        <is>
          <t>1117</t>
        </is>
      </c>
      <c r="E1493" s="21" t="inlineStr">
        <is>
          <t>Гербицид Квін Стар Макс 1 л Ukravit Укравіт Україна</t>
        </is>
      </c>
      <c r="F1493" s="21" t="inlineStr">
        <is>
          <t>Самшит вічнозенений Конус C180 / H80</t>
        </is>
      </c>
      <c r="G1493" s="23" t="n">
        <v>748</v>
      </c>
      <c r="H1493" s="23" t="n">
        <v>3600</v>
      </c>
      <c r="I1493" s="21" t="inlineStr">
        <is>
          <t>ID постачальника збігся, але назви різні</t>
        </is>
      </c>
    </row>
    <row r="1494">
      <c r="A1494" s="22" t="n">
        <v>30.6</v>
      </c>
      <c r="B1494" s="22" t="inlineStr">
        <is>
          <t>Клуб Рослин</t>
        </is>
      </c>
      <c r="C1494" s="22" t="inlineStr">
        <is>
          <t>1048</t>
        </is>
      </c>
      <c r="D1494" s="22" t="inlineStr">
        <is>
          <t>1048</t>
        </is>
      </c>
      <c r="E1494" s="21" t="inlineStr">
        <is>
          <t>Гербіцид Грізний Експерт 250 г Нертус Угорщина</t>
        </is>
      </c>
      <c r="F1494" s="21" t="inlineStr">
        <is>
          <t>Береза плакуча (ий) Мультиштамб K20 C180 / H300-400 / o20-25</t>
        </is>
      </c>
      <c r="G1494" s="23" t="n">
        <v>704</v>
      </c>
      <c r="H1494" s="23" t="n">
        <v>9936</v>
      </c>
      <c r="I1494" s="21" t="inlineStr">
        <is>
          <t>ID постачальника збігся, але назви різні</t>
        </is>
      </c>
    </row>
    <row r="1495">
      <c r="A1495" s="22" t="n">
        <v>30.6</v>
      </c>
      <c r="B1495" s="22" t="inlineStr">
        <is>
          <t>Клуб Рослин</t>
        </is>
      </c>
      <c r="C1495" s="22" t="inlineStr">
        <is>
          <t>7436</t>
        </is>
      </c>
      <c r="D1495" s="22" t="inlineStr">
        <is>
          <t>7436</t>
        </is>
      </c>
      <c r="E1495" s="21" t="inlineStr">
        <is>
          <t>Добриво GroGreen К-Гумат 85 1 кг Lima Бельгія</t>
        </is>
      </c>
      <c r="F1495" s="21" t="inlineStr">
        <is>
          <t>Бузок звичайний Штамб Mix (в асортименті) K14 C15 / Pa120</t>
        </is>
      </c>
      <c r="G1495" s="23" t="n">
        <v>679</v>
      </c>
      <c r="H1495" s="23" t="n">
        <v>565</v>
      </c>
      <c r="I1495" s="21" t="inlineStr">
        <is>
          <t>ID постачальника збігся, але різні бренди</t>
        </is>
      </c>
    </row>
    <row r="1496">
      <c r="A1496" s="22" t="n">
        <v>30.6</v>
      </c>
      <c r="B1496" s="22" t="inlineStr">
        <is>
          <t>Клуб Рослин</t>
        </is>
      </c>
      <c r="C1496" s="22" t="inlineStr">
        <is>
          <t>3098</t>
        </is>
      </c>
      <c r="D1496" s="22" t="inlineStr">
        <is>
          <t>3098</t>
        </is>
      </c>
      <c r="E1496" s="21" t="inlineStr">
        <is>
          <t>Фунгіцид Чемп Ультра 1 кг (розсип) Nufarm Нуфарм Австралія</t>
        </is>
      </c>
      <c r="F1496" s="21" t="inlineStr">
        <is>
          <t>Модрина японська Стів Віпер K14 G / Pa150-200</t>
        </is>
      </c>
      <c r="G1496" s="23" t="n">
        <v>624</v>
      </c>
      <c r="H1496" s="23" t="n">
        <v>2255</v>
      </c>
      <c r="I1496" s="21" t="inlineStr">
        <is>
          <t>ID постачальника збігся, але різні об'єми або розміри</t>
        </is>
      </c>
    </row>
    <row r="1497">
      <c r="A1497" s="22" t="n">
        <v>30.6</v>
      </c>
      <c r="B1497" s="22" t="inlineStr">
        <is>
          <t>Клуб Рослин</t>
        </is>
      </c>
      <c r="C1497" s="22" t="inlineStr">
        <is>
          <t>7935</t>
        </is>
      </c>
      <c r="D1497" s="22" t="inlineStr">
        <is>
          <t>7935</t>
        </is>
      </c>
      <c r="E1497" s="21" t="inlineStr">
        <is>
          <t>Регулятор росту Акура 1 л Хімагромаркетинг Україна</t>
        </is>
      </c>
      <c r="F1497" s="21" t="inlineStr">
        <is>
          <t>Туя західна (ий) Тіні Тім K C45 / H30-40</t>
        </is>
      </c>
      <c r="G1497" s="23" t="n">
        <v>598</v>
      </c>
      <c r="H1497" s="23" t="n">
        <v>653</v>
      </c>
      <c r="I1497" s="21" t="inlineStr">
        <is>
          <t>ID постачальника збігся, але назви різні</t>
        </is>
      </c>
    </row>
    <row r="1498">
      <c r="A1498" s="22" t="n">
        <v>30.6</v>
      </c>
      <c r="B1498" s="22" t="inlineStr">
        <is>
          <t>Клуб Рослин</t>
        </is>
      </c>
      <c r="C1498" s="22" t="inlineStr">
        <is>
          <t>7682</t>
        </is>
      </c>
      <c r="D1498" s="22" t="inlineStr">
        <is>
          <t>7682</t>
        </is>
      </c>
      <c r="E1498" s="21" t="inlineStr">
        <is>
          <t>Антистресант Аміно Стар / Amino Star 1 л Кіссон Україна</t>
        </is>
      </c>
      <c r="F1498" s="21" t="inlineStr">
        <is>
          <t>Туя західна (ий) Брабант PC20 C7,5</t>
        </is>
      </c>
      <c r="G1498" s="23" t="n">
        <v>596</v>
      </c>
      <c r="H1498" s="23" t="n">
        <v>300</v>
      </c>
      <c r="I1498" s="21" t="inlineStr">
        <is>
          <t>ID постачальника збігся, але назви різні</t>
        </is>
      </c>
    </row>
    <row r="1499">
      <c r="A1499" s="22" t="n">
        <v>30.6</v>
      </c>
      <c r="B1499" s="22" t="inlineStr">
        <is>
          <t>Клуб Рослин</t>
        </is>
      </c>
      <c r="C1499" s="22" t="inlineStr">
        <is>
          <t>3180</t>
        </is>
      </c>
      <c r="D1499" s="22" t="inlineStr">
        <is>
          <t>3180</t>
        </is>
      </c>
      <c r="E1499" s="21" t="inlineStr">
        <is>
          <t>Фунгіцид Фитал 500 мл Кемілайн Агро Україна</t>
        </is>
      </c>
      <c r="F1499" s="21" t="inlineStr">
        <is>
          <t>Лілія ОТ-гібридна Сенсі 14\16</t>
        </is>
      </c>
      <c r="G1499" s="23" t="n">
        <v>546</v>
      </c>
      <c r="H1499" s="23" t="n">
        <v>50</v>
      </c>
      <c r="I1499" s="21" t="inlineStr">
        <is>
          <t>ID постачальника збігся, але назви різні</t>
        </is>
      </c>
    </row>
    <row r="1500">
      <c r="A1500" s="22" t="n">
        <v>30.6</v>
      </c>
      <c r="B1500" s="22" t="inlineStr">
        <is>
          <t>Клуб Рослин</t>
        </is>
      </c>
      <c r="C1500" s="22" t="inlineStr">
        <is>
          <t>1116</t>
        </is>
      </c>
      <c r="D1500" s="22" t="inlineStr">
        <is>
          <t>1116</t>
        </is>
      </c>
      <c r="E1500" s="21" t="inlineStr">
        <is>
          <t>Гербіцид Позитив Плюс 1 л Хімагромаркетинг Україна</t>
        </is>
      </c>
      <c r="F1500" s="21" t="inlineStr">
        <is>
          <t>Самшит вічнозенений Конус C180 / H120</t>
        </is>
      </c>
      <c r="G1500" s="23" t="n">
        <v>338</v>
      </c>
      <c r="H1500" s="23" t="n">
        <v>4830</v>
      </c>
      <c r="I1500" s="21" t="inlineStr">
        <is>
          <t>ID постачальника збігся, але назви різні</t>
        </is>
      </c>
    </row>
    <row r="1501">
      <c r="A1501" s="22" t="n">
        <v>30.6</v>
      </c>
      <c r="B1501" s="22" t="inlineStr">
        <is>
          <t>Клуб Рослин</t>
        </is>
      </c>
      <c r="C1501" s="22" t="inlineStr">
        <is>
          <t>3159</t>
        </is>
      </c>
      <c r="D1501" s="22" t="inlineStr">
        <is>
          <t>3159</t>
        </is>
      </c>
      <c r="E1501" s="21" t="inlineStr">
        <is>
          <t>Фунгіцид Шавіт Ф 72 WG ВДГ 100 г Adama Адама Ізраїль</t>
        </is>
      </c>
      <c r="F1501" s="21" t="inlineStr">
        <is>
          <t>Лілія ЛА-гібридна Форза Ред 14\16</t>
        </is>
      </c>
      <c r="G1501" s="23" t="n">
        <v>200</v>
      </c>
      <c r="H1501" s="23" t="n">
        <v>50</v>
      </c>
      <c r="I1501" s="21" t="inlineStr">
        <is>
          <t>ID постачальника збігся, але назви різні</t>
        </is>
      </c>
    </row>
    <row r="1502">
      <c r="A1502" s="22" t="n">
        <v>30.5</v>
      </c>
      <c r="B1502" s="22" t="inlineStr">
        <is>
          <t>Клуб Рослин</t>
        </is>
      </c>
      <c r="C1502" s="22" t="inlineStr">
        <is>
          <t>7733</t>
        </is>
      </c>
      <c r="D1502" s="22" t="inlineStr">
        <is>
          <t>7733</t>
        </is>
      </c>
      <c r="E1502" s="21" t="inlineStr">
        <is>
          <t>Біостимулятор Текамін Флауер / Tecamin Flower 5 л AgriTecno Іспанія</t>
        </is>
      </c>
      <c r="F1502" s="21" t="inlineStr">
        <is>
          <t>Туя західна (ий) Голден Глоб PC16 C5 / H20-30</t>
        </is>
      </c>
      <c r="G1502" s="23" t="n">
        <v>4472</v>
      </c>
      <c r="H1502" s="23" t="n">
        <v>150</v>
      </c>
      <c r="I1502" s="21" t="inlineStr">
        <is>
          <t>ID постачальника збігся, але назви різні</t>
        </is>
      </c>
    </row>
    <row r="1503">
      <c r="A1503" s="22" t="n">
        <v>30.5</v>
      </c>
      <c r="B1503" s="22" t="inlineStr">
        <is>
          <t>Клуб Рослин</t>
        </is>
      </c>
      <c r="C1503" s="22" t="inlineStr">
        <is>
          <t>2294</t>
        </is>
      </c>
      <c r="D1503" s="22" t="inlineStr">
        <is>
          <t>2294</t>
        </is>
      </c>
      <c r="E1503" s="21" t="inlineStr">
        <is>
          <t>Інсектицид Пленум 1 кг Syngenta Сингента Швейцарія</t>
        </is>
      </c>
      <c r="F1503" s="21" t="inlineStr">
        <is>
          <t>Гортензія волотиста Меджікал Кіліманджаро PC20 C3 / H50-60</t>
        </is>
      </c>
      <c r="G1503" s="23" t="n">
        <v>4048</v>
      </c>
      <c r="H1503" s="23" t="n">
        <v>290</v>
      </c>
      <c r="I1503" s="21" t="inlineStr">
        <is>
          <t>ID постачальника збігся, але назви різні</t>
        </is>
      </c>
    </row>
    <row r="1504">
      <c r="A1504" s="22" t="n">
        <v>30.5</v>
      </c>
      <c r="B1504" s="22" t="inlineStr">
        <is>
          <t>Клуб Рослин</t>
        </is>
      </c>
      <c r="C1504" s="22" t="inlineStr">
        <is>
          <t>8.107</t>
        </is>
      </c>
      <c r="D1504" s="22" t="inlineStr">
        <is>
          <t>8107</t>
        </is>
      </c>
      <c r="E1504" s="21" t="inlineStr">
        <is>
          <t>Садовий секатор із наковаленкою LOWE Original 8.107</t>
        </is>
      </c>
      <c r="F1504" s="21" t="inlineStr">
        <is>
          <t>Чорниця висока (Голубика, Лохина) Чендлер PC20 C55 / H80-100</t>
        </is>
      </c>
      <c r="G1504" s="23" t="n">
        <v>2990</v>
      </c>
      <c r="H1504" s="23" t="n">
        <v>1656</v>
      </c>
      <c r="I1504" s="21" t="inlineStr">
        <is>
          <t>ID постачальника збігся, але назви різні</t>
        </is>
      </c>
    </row>
    <row r="1505">
      <c r="A1505" s="22" t="n">
        <v>30.5</v>
      </c>
      <c r="B1505" s="22" t="inlineStr">
        <is>
          <t>Клуб Рослин</t>
        </is>
      </c>
      <c r="C1505" s="22" t="inlineStr">
        <is>
          <t>3389</t>
        </is>
      </c>
      <c r="D1505" s="22" t="inlineStr">
        <is>
          <t>3389</t>
        </is>
      </c>
      <c r="E1505" s="21" t="inlineStr">
        <is>
          <t>Фунгіцид Орондіс Ево 262 SC к.с. 1 л Syngenta Сингента Швейцарія</t>
        </is>
      </c>
      <c r="F1505" s="21" t="inlineStr">
        <is>
          <t>Магнолія гібридний(а) Джині Штамб ® C20 / Pa100</t>
        </is>
      </c>
      <c r="G1505" s="23" t="n">
        <v>2498</v>
      </c>
      <c r="H1505" s="23" t="n">
        <v>3146</v>
      </c>
      <c r="I1505" s="21" t="inlineStr">
        <is>
          <t>ID постачальника збігся, але назви різні</t>
        </is>
      </c>
    </row>
    <row r="1506">
      <c r="A1506" s="22" t="n">
        <v>30.5</v>
      </c>
      <c r="B1506" s="22" t="inlineStr">
        <is>
          <t>Клуб Рослин</t>
        </is>
      </c>
      <c r="C1506" s="22" t="inlineStr">
        <is>
          <t>14.104</t>
        </is>
      </c>
      <c r="D1506" s="22" t="inlineStr">
        <is>
          <t>14104</t>
        </is>
      </c>
      <c r="E1506" s="21" t="inlineStr">
        <is>
          <t>Секатор садовий LOWE Original 14.104 (190 мм) Німеччина</t>
        </is>
      </c>
      <c r="F1506" s="21" t="inlineStr">
        <is>
          <t>Фунгіцид Старк К.С. (азоксистробін) 100 мл Сімейний Сад</t>
        </is>
      </c>
      <c r="G1506" s="23" t="n">
        <v>1850</v>
      </c>
      <c r="H1506" s="23" t="n">
        <v>240</v>
      </c>
      <c r="I1506" s="21" t="inlineStr">
        <is>
          <t>ID постачальника збігся, але різні об'єми або розміри</t>
        </is>
      </c>
    </row>
    <row r="1507">
      <c r="A1507" s="22" t="n">
        <v>30.5</v>
      </c>
      <c r="B1507" s="22" t="inlineStr">
        <is>
          <t>Клуб Рослин</t>
        </is>
      </c>
      <c r="C1507" s="22" t="inlineStr">
        <is>
          <t>7724</t>
        </is>
      </c>
      <c r="D1507" s="22" t="inlineStr">
        <is>
          <t>7724</t>
        </is>
      </c>
      <c r="E1507" s="21" t="inlineStr">
        <is>
          <t>Укорінювач Текамін Раіз / Tecamin Raiz 1 л AgriTecno Іспанія</t>
        </is>
      </c>
      <c r="F1507" s="21" t="inlineStr">
        <is>
          <t>Туя західна (ий) Глобоза Компакта K20 C120 / H80-100</t>
        </is>
      </c>
      <c r="G1507" s="23" t="n">
        <v>1435</v>
      </c>
      <c r="H1507" s="23" t="n">
        <v>1080</v>
      </c>
      <c r="I1507" s="21" t="inlineStr">
        <is>
          <t>ID постачальника збігся, але назви різні</t>
        </is>
      </c>
    </row>
    <row r="1508">
      <c r="A1508" s="22" t="n">
        <v>30.5</v>
      </c>
      <c r="B1508" s="22" t="inlineStr">
        <is>
          <t>Клуб Рослин</t>
        </is>
      </c>
      <c r="C1508" s="22" t="inlineStr">
        <is>
          <t>7141</t>
        </is>
      </c>
      <c r="D1508" s="22" t="inlineStr">
        <is>
          <t>7141</t>
        </is>
      </c>
      <c r="E1508" s="21" t="inlineStr">
        <is>
          <t>Добриво Вуксал Борон рН Wyxal Boron рН 1 л Unifer Уніфер Німеччина</t>
        </is>
      </c>
      <c r="F1508" s="21" t="inlineStr">
        <is>
          <t>Троянда гібридний(а) Анастасія SP G</t>
        </is>
      </c>
      <c r="G1508" s="23" t="n">
        <v>600</v>
      </c>
      <c r="H1508" s="23" t="n">
        <v>44</v>
      </c>
      <c r="I1508" s="21" t="inlineStr">
        <is>
          <t>ID постачальника збігся, але різні бренди</t>
        </is>
      </c>
    </row>
    <row r="1509">
      <c r="A1509" s="22" t="n">
        <v>30.5</v>
      </c>
      <c r="B1509" s="22" t="inlineStr">
        <is>
          <t>Клуб Рослин</t>
        </is>
      </c>
      <c r="C1509" s="22" t="inlineStr">
        <is>
          <t>7594</t>
        </is>
      </c>
      <c r="D1509" s="22" t="inlineStr">
        <is>
          <t>7594</t>
        </is>
      </c>
      <c r="E1509" s="21" t="inlineStr">
        <is>
          <t>Стимулятор росту Гуміфілд Форте Брікс 1 л Humin Tech Німеччина</t>
        </is>
      </c>
      <c r="F1509" s="21" t="inlineStr">
        <is>
          <t>Тис гострокінцевий Хессеі Бонсай C60 / H80-100</t>
        </is>
      </c>
      <c r="G1509" s="23" t="n">
        <v>575</v>
      </c>
      <c r="H1509" s="23" t="n">
        <v>19872</v>
      </c>
      <c r="I1509" s="21" t="inlineStr">
        <is>
          <t>ID постачальника збігся, але назви різні</t>
        </is>
      </c>
    </row>
    <row r="1510">
      <c r="A1510" s="22" t="n">
        <v>30.5</v>
      </c>
      <c r="B1510" s="22" t="inlineStr">
        <is>
          <t>Клуб Рослин</t>
        </is>
      </c>
      <c r="C1510" s="22" t="inlineStr">
        <is>
          <t>2060</t>
        </is>
      </c>
      <c r="D1510" s="22" t="inlineStr">
        <is>
          <t>2060</t>
        </is>
      </c>
      <c r="E1510" s="21" t="inlineStr">
        <is>
          <t>Інсектицид акарицид Вертимек 100 мл Syngenta Сингента Швейцарія</t>
        </is>
      </c>
      <c r="F1510" s="21" t="inlineStr">
        <is>
          <t>Гібіскус сірійський Перпл Піллар ® C20 / H50-60</t>
        </is>
      </c>
      <c r="G1510" s="23" t="n">
        <v>485</v>
      </c>
      <c r="H1510" s="23" t="n">
        <v>1812</v>
      </c>
      <c r="I1510" s="21" t="inlineStr">
        <is>
          <t>ID постачальника збігся, але назви різні</t>
        </is>
      </c>
    </row>
    <row r="1511">
      <c r="A1511" s="22" t="n">
        <v>30.5</v>
      </c>
      <c r="B1511" s="22" t="inlineStr">
        <is>
          <t>Клуб Рослин</t>
        </is>
      </c>
      <c r="C1511" s="22" t="inlineStr">
        <is>
          <t>4015</t>
        </is>
      </c>
      <c r="D1511" s="22" t="inlineStr">
        <is>
          <t>4015</t>
        </is>
      </c>
      <c r="E1511" s="21" t="inlineStr">
        <is>
          <t>Родентицид Раттер 1 л Enzim Biotech Agro / Ензим Біотек Агро Україна</t>
        </is>
      </c>
      <c r="F1511" s="21" t="inlineStr">
        <is>
          <t>Ялина звичайна Віллс Цверг K18 G / H80-100</t>
        </is>
      </c>
      <c r="G1511" s="23" t="n">
        <v>475</v>
      </c>
      <c r="H1511" s="23" t="n">
        <v>660</v>
      </c>
      <c r="I1511" s="21" t="inlineStr">
        <is>
          <t>ID постачальника збігся, але різні об'єми або розміри</t>
        </is>
      </c>
    </row>
    <row r="1512">
      <c r="A1512" s="22" t="n">
        <v>30.5</v>
      </c>
      <c r="B1512" s="22" t="inlineStr">
        <is>
          <t>Клуб Рослин</t>
        </is>
      </c>
      <c r="C1512" s="22" t="inlineStr">
        <is>
          <t>7610</t>
        </is>
      </c>
      <c r="D1512" s="22" t="inlineStr">
        <is>
          <t>7610</t>
        </is>
      </c>
      <c r="E1512" s="21" t="inlineStr">
        <is>
          <t>Добриво GroGreen Gel Ca-B-Sul (Кальцій-Бор-Сірка) 200 г Lima Бельгія</t>
        </is>
      </c>
      <c r="F1512" s="21" t="inlineStr">
        <is>
          <t>Тис середній Хіксіі Бонсай C230 / H200 / L120</t>
        </is>
      </c>
      <c r="G1512" s="23" t="n">
        <v>325</v>
      </c>
      <c r="H1512" s="23" t="n">
        <v>52992</v>
      </c>
      <c r="I1512" s="21" t="inlineStr">
        <is>
          <t>ID постачальника збігся, але назви різні</t>
        </is>
      </c>
    </row>
    <row r="1513">
      <c r="A1513" s="22" t="n">
        <v>30.5</v>
      </c>
      <c r="B1513" s="22" t="inlineStr">
        <is>
          <t>Клуб Рослин</t>
        </is>
      </c>
      <c r="C1513" s="22" t="inlineStr">
        <is>
          <t>7080</t>
        </is>
      </c>
      <c r="D1513" s="22" t="inlineStr">
        <is>
          <t>7080</t>
        </is>
      </c>
      <c r="E1513" s="21" t="inlineStr">
        <is>
          <t>Стимулятор росту Бенефіт ПЗ Benefit PZ 100 мл Valagro Валагро Італія</t>
        </is>
      </c>
      <c r="F1513" s="21" t="inlineStr">
        <is>
          <t>Троянда плетиста Агата Штамб C5 / Pa100</t>
        </is>
      </c>
      <c r="G1513" s="23" t="n">
        <v>298</v>
      </c>
      <c r="H1513" s="23" t="n">
        <v>422</v>
      </c>
      <c r="I1513" s="21" t="inlineStr">
        <is>
          <t>ID постачальника збігся, але назви різні</t>
        </is>
      </c>
    </row>
    <row r="1514">
      <c r="A1514" s="22" t="n">
        <v>30.5</v>
      </c>
      <c r="B1514" s="22" t="inlineStr">
        <is>
          <t>Клуб Рослин</t>
        </is>
      </c>
      <c r="C1514" s="22" t="inlineStr">
        <is>
          <t>2218</t>
        </is>
      </c>
      <c r="D1514" s="22" t="inlineStr">
        <is>
          <t>2218</t>
        </is>
      </c>
      <c r="E1514" s="21" t="inlineStr">
        <is>
          <t>Інсектицид Ініціатор 10 таблеток (розсип) Bayer Байєр Німеччина</t>
        </is>
      </c>
      <c r="F1514" s="21" t="inlineStr">
        <is>
          <t>Гортензія волотиста Грандіфлора PC21 C20 / H80</t>
        </is>
      </c>
      <c r="G1514" s="23" t="n">
        <v>208</v>
      </c>
      <c r="H1514" s="23" t="n">
        <v>492</v>
      </c>
      <c r="I1514" s="21" t="inlineStr">
        <is>
          <t>ID постачальника збігся, але назви різні</t>
        </is>
      </c>
    </row>
    <row r="1515">
      <c r="A1515" s="22" t="n">
        <v>30.4</v>
      </c>
      <c r="B1515" s="22" t="inlineStr">
        <is>
          <t>Клуб Рослин</t>
        </is>
      </c>
      <c r="C1515" s="22" t="inlineStr">
        <is>
          <t>3433</t>
        </is>
      </c>
      <c r="D1515" s="22" t="inlineStr">
        <is>
          <t>3433</t>
        </is>
      </c>
      <c r="E1515" s="21" t="inlineStr">
        <is>
          <t>Фунгіцид Ліндер 5 л Adama Адама Ізраїль</t>
        </is>
      </c>
      <c r="F1515" s="21" t="inlineStr">
        <is>
          <t>Магнолія Лебнера Вайлдкет PC22 C10 / H60-80</t>
        </is>
      </c>
      <c r="G1515" s="23" t="n">
        <v>7250</v>
      </c>
      <c r="H1515" s="23" t="n">
        <v>1872</v>
      </c>
      <c r="I1515" s="21" t="inlineStr">
        <is>
          <t>ID постачальника збігся, але назви різні</t>
        </is>
      </c>
    </row>
    <row r="1516">
      <c r="A1516" s="22" t="n">
        <v>30.4</v>
      </c>
      <c r="B1516" s="22" t="inlineStr">
        <is>
          <t>Клуб Рослин</t>
        </is>
      </c>
      <c r="C1516" s="22" t="inlineStr">
        <is>
          <t>1016</t>
        </is>
      </c>
      <c r="D1516" s="22" t="inlineStr">
        <is>
          <t>1016</t>
        </is>
      </c>
      <c r="E1516" s="21" t="inlineStr">
        <is>
          <t>Гербіцид Клінік Макс 20 л Nufarm Нуфарм Австралія</t>
        </is>
      </c>
      <c r="F1516" s="21" t="inlineStr">
        <is>
          <t>Барбарис Тунберга Роузі Рокет PC14 C3 / H30-40</t>
        </is>
      </c>
      <c r="G1516" s="23" t="n">
        <v>3800</v>
      </c>
      <c r="H1516" s="23" t="n">
        <v>125</v>
      </c>
      <c r="I1516" s="21" t="inlineStr">
        <is>
          <t>ID постачальника збігся, але назви різні</t>
        </is>
      </c>
    </row>
    <row r="1517">
      <c r="A1517" s="22" t="n">
        <v>30.4</v>
      </c>
      <c r="B1517" s="22" t="inlineStr">
        <is>
          <t>Клуб Рослин</t>
        </is>
      </c>
      <c r="C1517" s="22" t="inlineStr">
        <is>
          <t>8.109</t>
        </is>
      </c>
      <c r="D1517" s="22" t="inlineStr">
        <is>
          <t>8109</t>
        </is>
      </c>
      <c r="E1517" s="21" t="inlineStr">
        <is>
          <t>LOWE Original 8.109 Садовий секатор з наковаленкою Німеччина</t>
        </is>
      </c>
      <c r="F1517" s="21" t="inlineStr">
        <is>
          <t>Чорниця висока (Голубика, Лохина) Голдтраубе C10 / H80-100</t>
        </is>
      </c>
      <c r="G1517" s="23" t="n">
        <v>3690</v>
      </c>
      <c r="H1517" s="23" t="n">
        <v>1080</v>
      </c>
      <c r="I1517" s="21" t="inlineStr">
        <is>
          <t>ID постачальника збігся, але назви різні</t>
        </is>
      </c>
    </row>
    <row r="1518">
      <c r="A1518" s="22" t="n">
        <v>30.4</v>
      </c>
      <c r="B1518" s="22" t="inlineStr">
        <is>
          <t>Клуб Рослин</t>
        </is>
      </c>
      <c r="C1518" s="22" t="inlineStr">
        <is>
          <t>2109</t>
        </is>
      </c>
      <c r="D1518" s="22" t="inlineStr">
        <is>
          <t>2109</t>
        </is>
      </c>
      <c r="E1518" s="21" t="inlineStr">
        <is>
          <t>Інсектицид Люкс Максі КС 5 л Ukravit Укравіт Україна</t>
        </is>
      </c>
      <c r="F1518" s="21" t="inlineStr">
        <is>
          <t>Гортензія великолисткова Кайпірінха C7,5</t>
        </is>
      </c>
      <c r="G1518" s="23" t="n">
        <v>3000</v>
      </c>
      <c r="H1518" s="23" t="n">
        <v>442</v>
      </c>
      <c r="I1518" s="21" t="inlineStr">
        <is>
          <t>ID постачальника збігся, але назви різні</t>
        </is>
      </c>
    </row>
    <row r="1519">
      <c r="A1519" s="22" t="n">
        <v>30.4</v>
      </c>
      <c r="B1519" s="22" t="inlineStr">
        <is>
          <t>Клуб Рослин</t>
        </is>
      </c>
      <c r="C1519" s="22" t="inlineStr">
        <is>
          <t>3267</t>
        </is>
      </c>
      <c r="D1519" s="22" t="inlineStr">
        <is>
          <t>3267</t>
        </is>
      </c>
      <c r="E1519" s="21" t="inlineStr">
        <is>
          <t>Фунгіцид Лайфсул Lifesul 20 кг Хімагромаркетинг Україна</t>
        </is>
      </c>
      <c r="F1519" s="21" t="inlineStr">
        <is>
          <t>Жимолость Хекротта Голдфлейм C2 / H40-60</t>
        </is>
      </c>
      <c r="G1519" s="23" t="n">
        <v>2498</v>
      </c>
      <c r="H1519" s="23" t="n">
        <v>155</v>
      </c>
      <c r="I1519" s="21" t="inlineStr">
        <is>
          <t>ID постачальника збігся, але назви різні</t>
        </is>
      </c>
    </row>
    <row r="1520">
      <c r="A1520" s="22" t="n">
        <v>30.4</v>
      </c>
      <c r="B1520" s="22" t="inlineStr">
        <is>
          <t>Клуб Рослин</t>
        </is>
      </c>
      <c r="C1520" s="22" t="inlineStr">
        <is>
          <t>8151</t>
        </is>
      </c>
      <c r="D1520" s="22" t="inlineStr">
        <is>
          <t>8151</t>
        </is>
      </c>
      <c r="E1520" s="21" t="inlineStr">
        <is>
          <t>Укорінювач НеоКор / NeoCore 5 л Neova Фінляндія</t>
        </is>
      </c>
      <c r="F1520" s="21" t="inlineStr">
        <is>
          <t>Виноград культурний Супер Екстра (столовий) NN GK</t>
        </is>
      </c>
      <c r="G1520" s="23" t="n">
        <v>2308</v>
      </c>
      <c r="H1520" s="23" t="n">
        <v>80</v>
      </c>
      <c r="I1520" s="21" t="inlineStr">
        <is>
          <t>ID постачальника збігся, але різні бренди</t>
        </is>
      </c>
    </row>
    <row r="1521">
      <c r="A1521" s="22" t="n">
        <v>30.4</v>
      </c>
      <c r="B1521" s="22" t="inlineStr">
        <is>
          <t>Клуб Рослин</t>
        </is>
      </c>
      <c r="C1521" s="22" t="inlineStr">
        <is>
          <t>7515</t>
        </is>
      </c>
      <c r="D1521" s="22" t="inlineStr">
        <is>
          <t>7515</t>
        </is>
      </c>
      <c r="E1521" s="21" t="inlineStr">
        <is>
          <t>Добриво Агромастер Agromaster 10-11-21+9CaO+2MgO+7SO3 25 кг ICL Ізраїль</t>
        </is>
      </c>
      <c r="F1521" s="21" t="inlineStr">
        <is>
          <t>Тис ягідний (а) Довастоніана K20 C130 / H200-220</t>
        </is>
      </c>
      <c r="G1521" s="23" t="n">
        <v>1640</v>
      </c>
      <c r="H1521" s="23" t="n">
        <v>33120</v>
      </c>
      <c r="I1521" s="21" t="inlineStr">
        <is>
          <t>ID постачальника збігся, але різні коди виробника</t>
        </is>
      </c>
    </row>
    <row r="1522">
      <c r="A1522" s="22" t="n">
        <v>30.4</v>
      </c>
      <c r="B1522" s="22" t="inlineStr">
        <is>
          <t>Клуб Рослин</t>
        </is>
      </c>
      <c r="C1522" s="22" t="inlineStr">
        <is>
          <t>2184</t>
        </is>
      </c>
      <c r="D1522" s="22" t="inlineStr">
        <is>
          <t>2184</t>
        </is>
      </c>
      <c r="E1522" s="21" t="inlineStr">
        <is>
          <t>Інсектицид Тамер 400 г Nufarm Нуфарм Австралія</t>
        </is>
      </c>
      <c r="F1522" s="21" t="inlineStr">
        <is>
          <t>Гортензія великолисткова Тіволі Рот C7,5 / H15-20</t>
        </is>
      </c>
      <c r="G1522" s="23" t="n">
        <v>779</v>
      </c>
      <c r="H1522" s="23" t="n">
        <v>504</v>
      </c>
      <c r="I1522" s="21" t="inlineStr">
        <is>
          <t>ID постачальника збігся, але назви різні</t>
        </is>
      </c>
    </row>
    <row r="1523">
      <c r="A1523" s="22" t="n">
        <v>30.4</v>
      </c>
      <c r="B1523" s="22" t="inlineStr">
        <is>
          <t>Клуб Рослин</t>
        </is>
      </c>
      <c r="C1523" s="22" t="inlineStr">
        <is>
          <t>2114</t>
        </is>
      </c>
      <c r="D1523" s="22" t="inlineStr">
        <is>
          <t>2114</t>
        </is>
      </c>
      <c r="E1523" s="21" t="inlineStr">
        <is>
          <t>Інсектицид Наповал 1 л Alfa Smart Agro Альфа Смарт Агро Україна</t>
        </is>
      </c>
      <c r="F1523" s="21" t="inlineStr">
        <is>
          <t>Гортензія великолисткова Ендлесс Саммер Блум Стар Блау-Ліла C5</t>
        </is>
      </c>
      <c r="G1523" s="23" t="n">
        <v>1250</v>
      </c>
      <c r="H1523" s="23" t="n">
        <v>840</v>
      </c>
      <c r="I1523" s="21" t="inlineStr">
        <is>
          <t>ID постачальника збігся, але назви різні</t>
        </is>
      </c>
    </row>
    <row r="1524">
      <c r="A1524" s="22" t="n">
        <v>30.4</v>
      </c>
      <c r="B1524" s="22" t="inlineStr">
        <is>
          <t>Клуб Рослин</t>
        </is>
      </c>
      <c r="C1524" s="22" t="inlineStr">
        <is>
          <t>2261</t>
        </is>
      </c>
      <c r="D1524" s="22" t="inlineStr">
        <is>
          <t>2261</t>
        </is>
      </c>
      <c r="E1524" s="21" t="inlineStr">
        <is>
          <t>Інсектицид Темпо 60 г Сімейний Сад Україна</t>
        </is>
      </c>
      <c r="F1524" s="21" t="inlineStr">
        <is>
          <t>Гортензія волотиста Літтл Лайм (Джейн) Штамб C3 / Pa50</t>
        </is>
      </c>
      <c r="G1524" s="23" t="n">
        <v>698</v>
      </c>
      <c r="H1524" s="23" t="n">
        <v>600</v>
      </c>
      <c r="I1524" s="21" t="inlineStr">
        <is>
          <t>ID постачальника збігся, але назви різні</t>
        </is>
      </c>
    </row>
    <row r="1525">
      <c r="A1525" s="22" t="n">
        <v>30.4</v>
      </c>
      <c r="B1525" s="22" t="inlineStr">
        <is>
          <t>Клуб Рослин</t>
        </is>
      </c>
      <c r="C1525" s="22" t="inlineStr">
        <is>
          <t>7268</t>
        </is>
      </c>
      <c r="D1525" s="22" t="inlineStr">
        <is>
          <t>7268</t>
        </is>
      </c>
      <c r="E1525" s="21" t="inlineStr">
        <is>
          <t>Стимулятор росту антистресант Гуміфілд Форте Фульвік 1 л Humin Tech Німеччина</t>
        </is>
      </c>
      <c r="F1525" s="21" t="inlineStr">
        <is>
          <t>Троянда паркова Вестерленд C4 / H30-50</t>
        </is>
      </c>
      <c r="G1525" s="23" t="n">
        <v>548</v>
      </c>
      <c r="H1525" s="23" t="n">
        <v>70</v>
      </c>
      <c r="I1525" s="21" t="inlineStr">
        <is>
          <t>ID постачальника збігся, але назви різні</t>
        </is>
      </c>
    </row>
    <row r="1526">
      <c r="A1526" s="22" t="n">
        <v>30.4</v>
      </c>
      <c r="B1526" s="22" t="inlineStr">
        <is>
          <t>Клуб Рослин</t>
        </is>
      </c>
      <c r="C1526" s="22" t="inlineStr">
        <is>
          <t>3079</t>
        </is>
      </c>
      <c r="D1526" s="22" t="inlineStr">
        <is>
          <t>3079</t>
        </is>
      </c>
      <c r="E1526" s="21" t="inlineStr">
        <is>
          <t>Фунгіцид Байзафон 1 кг Хімагромаркетинг Україна</t>
        </is>
      </c>
      <c r="F1526" s="21" t="inlineStr">
        <is>
          <t>Бобовник альпійський Санспайє Штамб C25 / Pa130</t>
        </is>
      </c>
      <c r="G1526" s="23" t="n">
        <v>475</v>
      </c>
      <c r="H1526" s="23" t="n">
        <v>1932</v>
      </c>
      <c r="I1526" s="21" t="inlineStr">
        <is>
          <t>ID постачальника збігся, але назви різні</t>
        </is>
      </c>
    </row>
    <row r="1527">
      <c r="A1527" s="22" t="n">
        <v>30.4</v>
      </c>
      <c r="B1527" s="22" t="inlineStr">
        <is>
          <t>Клуб Рослин</t>
        </is>
      </c>
      <c r="C1527" s="22" t="inlineStr">
        <is>
          <t>3244</t>
        </is>
      </c>
      <c r="D1527" s="22" t="inlineStr">
        <is>
          <t>3244</t>
        </is>
      </c>
      <c r="E1527" s="21" t="inlineStr">
        <is>
          <t>Фунгіцид Чемпіон ЗП 200 г Nufarm Нуфарм Австралія мідьвмістний препарат</t>
        </is>
      </c>
      <c r="F1527" s="21" t="inlineStr">
        <is>
          <t>Ліріодендрон (Тюльпанове дерево) тюльпановий Фастігіатум C180 / H300-400</t>
        </is>
      </c>
      <c r="G1527" s="23" t="n">
        <v>298</v>
      </c>
      <c r="H1527" s="23" t="n">
        <v>6600</v>
      </c>
      <c r="I1527" s="21" t="inlineStr">
        <is>
          <t>ID постачальника збігся, але назви різні</t>
        </is>
      </c>
    </row>
    <row r="1528">
      <c r="A1528" s="22" t="n">
        <v>30.3</v>
      </c>
      <c r="B1528" s="22" t="inlineStr">
        <is>
          <t>Клуб Рослин</t>
        </is>
      </c>
      <c r="C1528" s="22" t="inlineStr">
        <is>
          <t>7691</t>
        </is>
      </c>
      <c r="D1528" s="22" t="inlineStr">
        <is>
          <t>7691</t>
        </is>
      </c>
      <c r="E1528" s="21" t="inlineStr">
        <is>
          <t>Добриво Хелатин Mo Co (Молібден-Кобальт) 10 л Кіссон Україна</t>
        </is>
      </c>
      <c r="F1528" s="21" t="inlineStr">
        <is>
          <t>Туя західна (ий) Клос оф Голд K20 C80 / H60-80</t>
        </is>
      </c>
      <c r="G1528" s="23" t="n">
        <v>6810</v>
      </c>
      <c r="H1528" s="23" t="n">
        <v>1159</v>
      </c>
      <c r="I1528" s="21" t="inlineStr">
        <is>
          <t>ID постачальника збігся, але назви різні</t>
        </is>
      </c>
    </row>
    <row r="1529">
      <c r="A1529" s="22" t="n">
        <v>30.3</v>
      </c>
      <c r="B1529" s="22" t="inlineStr">
        <is>
          <t>Клуб Рослин</t>
        </is>
      </c>
      <c r="C1529" s="22" t="inlineStr">
        <is>
          <t>7552</t>
        </is>
      </c>
      <c r="D1529" s="22" t="inlineStr">
        <is>
          <t>7552</t>
        </is>
      </c>
      <c r="E1529" s="21" t="inlineStr">
        <is>
          <t>Стимулятор росту Склобіцид / Sclobicide 10 л Долина Україна</t>
        </is>
      </c>
      <c r="F1529" s="21" t="inlineStr">
        <is>
          <t>Тис ягідний (а) Пон-Пон+Мультиштамб C80 / H80-120</t>
        </is>
      </c>
      <c r="G1529" s="23" t="n">
        <v>5648</v>
      </c>
      <c r="H1529" s="23" t="n">
        <v>12000</v>
      </c>
      <c r="I1529" s="21" t="inlineStr">
        <is>
          <t>ID постачальника збігся, але назви різні</t>
        </is>
      </c>
    </row>
    <row r="1530">
      <c r="A1530" s="22" t="n">
        <v>30.3</v>
      </c>
      <c r="B1530" s="22" t="inlineStr">
        <is>
          <t>Клуб Рослин</t>
        </is>
      </c>
      <c r="C1530" s="22" t="inlineStr">
        <is>
          <t>7520</t>
        </is>
      </c>
      <c r="D1530" s="22" t="inlineStr">
        <is>
          <t>7520</t>
        </is>
      </c>
      <c r="E1530" s="21" t="inlineStr">
        <is>
          <t>Добриво GroGreen NPK 12-12-36+1MgO+TE 25 кг Lima Бельгія</t>
        </is>
      </c>
      <c r="F1530" s="21" t="inlineStr">
        <is>
          <t>Тис ягідний (а) Подвійна Куля G+C500 / H200+ / o30-35</t>
        </is>
      </c>
      <c r="G1530" s="23" t="n">
        <v>4925</v>
      </c>
      <c r="H1530" s="23" t="n">
        <v>20000</v>
      </c>
      <c r="I1530" s="21" t="inlineStr">
        <is>
          <t>ID постачальника збігся, але назви різні</t>
        </is>
      </c>
    </row>
    <row r="1531">
      <c r="A1531" s="22" t="n">
        <v>30.3</v>
      </c>
      <c r="B1531" s="22" t="inlineStr">
        <is>
          <t>Клуб Рослин</t>
        </is>
      </c>
      <c r="C1531" s="22" t="inlineStr">
        <is>
          <t>5009</t>
        </is>
      </c>
      <c r="D1531" s="22" t="inlineStr">
        <is>
          <t>5009</t>
        </is>
      </c>
      <c r="E1531" s="21" t="inlineStr">
        <is>
          <t>Протруйник Командор Гранд 5 л Alfa Smart Agro Альфа Смарт Агро Україна</t>
        </is>
      </c>
      <c r="F1531" s="21" t="inlineStr">
        <is>
          <t>Сосна густоквіткова Умбракуліфера K19 C45 / H100-120</t>
        </is>
      </c>
      <c r="G1531" s="23" t="n">
        <v>4198</v>
      </c>
      <c r="H1531" s="23" t="n">
        <v>4800</v>
      </c>
      <c r="I1531" s="21" t="inlineStr">
        <is>
          <t>ID постачальника збігся, але назви різні</t>
        </is>
      </c>
    </row>
    <row r="1532">
      <c r="A1532" s="22" t="n">
        <v>30.3</v>
      </c>
      <c r="B1532" s="22" t="inlineStr">
        <is>
          <t>Клуб Рослин</t>
        </is>
      </c>
      <c r="C1532" s="22" t="inlineStr">
        <is>
          <t>2129</t>
        </is>
      </c>
      <c r="D1532" s="22" t="inlineStr">
        <is>
          <t>2129</t>
        </is>
      </c>
      <c r="E1532" s="21" t="inlineStr">
        <is>
          <t>Інсектицид Данадім Стабільний КЕ 10 л FMC ФМС США</t>
        </is>
      </c>
      <c r="F1532" s="21" t="inlineStr">
        <is>
          <t>Гортензія великолисткова Форевер &amp; Евер Вайт ® PC19 C5</t>
        </is>
      </c>
      <c r="G1532" s="23" t="n">
        <v>3948</v>
      </c>
      <c r="H1532" s="23" t="n">
        <v>600</v>
      </c>
      <c r="I1532" s="21" t="inlineStr">
        <is>
          <t>ID постачальника збігся, але назви різні</t>
        </is>
      </c>
    </row>
    <row r="1533">
      <c r="A1533" s="22" t="n">
        <v>30.3</v>
      </c>
      <c r="B1533" s="22" t="inlineStr">
        <is>
          <t>Клуб Рослин</t>
        </is>
      </c>
      <c r="C1533" s="22" t="inlineStr">
        <is>
          <t>3042</t>
        </is>
      </c>
      <c r="D1533" s="22" t="inlineStr">
        <is>
          <t>3042</t>
        </is>
      </c>
      <c r="E1533" s="21" t="inlineStr">
        <is>
          <t>Фунгіцид Фитолекарь (Fitolekar) 5 л Хімагромаркетинг Україна</t>
        </is>
      </c>
      <c r="F1533" s="21" t="inlineStr">
        <is>
          <t>Ялівець середній Олд Голд PC16 C7,5 / L30-40</t>
        </is>
      </c>
      <c r="G1533" s="23" t="n">
        <v>2998</v>
      </c>
      <c r="H1533" s="23" t="n">
        <v>170</v>
      </c>
      <c r="I1533" s="21" t="inlineStr">
        <is>
          <t>ID постачальника збігся, але назви різні</t>
        </is>
      </c>
    </row>
    <row r="1534">
      <c r="A1534" s="22" t="n">
        <v>30.3</v>
      </c>
      <c r="B1534" s="22" t="inlineStr">
        <is>
          <t>Клуб Рослин</t>
        </is>
      </c>
      <c r="C1534" s="22" t="inlineStr">
        <is>
          <t>2019</t>
        </is>
      </c>
      <c r="D1534" s="22" t="inlineStr">
        <is>
          <t>2019</t>
        </is>
      </c>
      <c r="E1534" s="21" t="inlineStr">
        <is>
          <t>Інсектицид Рімон 1 л Adama Адама Ізраїль</t>
        </is>
      </c>
      <c r="F1534" s="21" t="inlineStr">
        <is>
          <t>Гібіскус сірійський Френч кабарет Пастель ® PC22 C7,5 / H100-120</t>
        </is>
      </c>
      <c r="G1534" s="23" t="n">
        <v>1872</v>
      </c>
      <c r="H1534" s="23" t="n">
        <v>260</v>
      </c>
      <c r="I1534" s="21" t="inlineStr">
        <is>
          <t>ID постачальника збігся, але назви різні</t>
        </is>
      </c>
    </row>
    <row r="1535">
      <c r="A1535" s="22" t="n">
        <v>30.3</v>
      </c>
      <c r="B1535" s="22" t="inlineStr">
        <is>
          <t>Клуб Рослин</t>
        </is>
      </c>
      <c r="C1535" s="22" t="inlineStr">
        <is>
          <t>1082</t>
        </is>
      </c>
      <c r="D1535" s="22" t="inlineStr">
        <is>
          <t>1082</t>
        </is>
      </c>
      <c r="E1535" s="21" t="inlineStr">
        <is>
          <t>Гербіцид Зернодар 500 г Презенс / Presence</t>
        </is>
      </c>
      <c r="F1535" s="21" t="inlineStr">
        <is>
          <t>Будлея Давіда Нанхо Блю C2</t>
        </is>
      </c>
      <c r="G1535" s="23" t="n">
        <v>675</v>
      </c>
      <c r="H1535" s="23" t="n">
        <v>145</v>
      </c>
      <c r="I1535" s="21" t="inlineStr">
        <is>
          <t>ID постачальника збігся, але назви різні</t>
        </is>
      </c>
    </row>
    <row r="1536">
      <c r="A1536" s="22" t="n">
        <v>30.3</v>
      </c>
      <c r="B1536" s="22" t="inlineStr">
        <is>
          <t>Клуб Рослин</t>
        </is>
      </c>
      <c r="C1536" s="22" t="inlineStr">
        <is>
          <t>8094</t>
        </is>
      </c>
      <c r="D1536" s="22" t="inlineStr">
        <is>
          <t>8094</t>
        </is>
      </c>
      <c r="E1536" s="21" t="inlineStr">
        <is>
          <t>Добриво Osmocote / Хобі Осмокот для троянд 12-8-19 (5-6 М) 1 кг ICL Нідерланди</t>
        </is>
      </c>
      <c r="F1536" s="21" t="inlineStr">
        <is>
          <t>Чорниця висока (Голубика, Лохина) Блюкроп C5 / H80-100</t>
        </is>
      </c>
      <c r="G1536" s="23" t="n">
        <v>623</v>
      </c>
      <c r="H1536" s="23" t="n">
        <v>335</v>
      </c>
      <c r="I1536" s="21" t="inlineStr">
        <is>
          <t>ID постачальника збігся, але назви різні</t>
        </is>
      </c>
    </row>
    <row r="1537">
      <c r="A1537" s="22" t="n">
        <v>30.3</v>
      </c>
      <c r="B1537" s="22" t="inlineStr">
        <is>
          <t>Клуб Рослин</t>
        </is>
      </c>
      <c r="C1537" s="22" t="inlineStr">
        <is>
          <t>2210</t>
        </is>
      </c>
      <c r="D1537" s="22" t="inlineStr">
        <is>
          <t>2210</t>
        </is>
      </c>
      <c r="E1537" s="21" t="inlineStr">
        <is>
          <t>Біоінсектицид ґрунтовий Ентоцид (Метаризін) 1 кг Enzim Biotech Agro / Ензим Біотех Агро Україна</t>
        </is>
      </c>
      <c r="F1537" s="21" t="inlineStr">
        <is>
          <t>Гортензія волотиста Діамантіно C7,5 / H30-40</t>
        </is>
      </c>
      <c r="G1537" s="23" t="n">
        <v>525</v>
      </c>
      <c r="H1537" s="23" t="n">
        <v>366</v>
      </c>
      <c r="I1537" s="21" t="inlineStr">
        <is>
          <t>ID постачальника збігся, але назви різні</t>
        </is>
      </c>
    </row>
    <row r="1538">
      <c r="A1538" s="22" t="n">
        <v>30.3</v>
      </c>
      <c r="B1538" s="22" t="inlineStr">
        <is>
          <t>Клуб Рослин</t>
        </is>
      </c>
      <c r="C1538" s="22" t="inlineStr">
        <is>
          <t>7124</t>
        </is>
      </c>
      <c r="D1538" s="22" t="inlineStr">
        <is>
          <t>7124</t>
        </is>
      </c>
      <c r="E1538" s="21" t="inlineStr">
        <is>
          <t>Мікродобриво Оракул Мультикомплекс 1 л Долина Україна</t>
        </is>
      </c>
      <c r="F1538" s="21" t="inlineStr">
        <is>
          <t>Троянда англійська Кінг Артур DP PC19 C5 / H20-30</t>
        </is>
      </c>
      <c r="G1538" s="23" t="n">
        <v>375</v>
      </c>
      <c r="H1538" s="23" t="n">
        <v>215</v>
      </c>
      <c r="I1538" s="21" t="inlineStr">
        <is>
          <t>ID постачальника збігся, але назви різні</t>
        </is>
      </c>
    </row>
    <row r="1539">
      <c r="A1539" s="22" t="n">
        <v>30.2</v>
      </c>
      <c r="B1539" s="22" t="inlineStr">
        <is>
          <t>Клуб Рослин</t>
        </is>
      </c>
      <c r="C1539" s="22" t="inlineStr">
        <is>
          <t>2174</t>
        </is>
      </c>
      <c r="D1539" s="22" t="inlineStr">
        <is>
          <t>2174</t>
        </is>
      </c>
      <c r="E1539" s="21" t="inlineStr">
        <is>
          <t>Інсектицид Спірос 10 л Green Express / Грін Експрес</t>
        </is>
      </c>
      <c r="F1539" s="21" t="inlineStr">
        <is>
          <t>Гортензія великолисткова Ред Барон C2</t>
        </is>
      </c>
      <c r="G1539" s="23" t="n">
        <v>19998</v>
      </c>
      <c r="H1539" s="23" t="n">
        <v>270</v>
      </c>
      <c r="I1539" s="21" t="inlineStr">
        <is>
          <t>ID постачальника збігся, але назви різні</t>
        </is>
      </c>
    </row>
    <row r="1540">
      <c r="A1540" s="22" t="n">
        <v>30.2</v>
      </c>
      <c r="B1540" s="22" t="inlineStr">
        <is>
          <t>Клуб Рослин</t>
        </is>
      </c>
      <c r="C1540" s="22" t="inlineStr">
        <is>
          <t>3251</t>
        </is>
      </c>
      <c r="D1540" s="22" t="inlineStr">
        <is>
          <t>3251</t>
        </is>
      </c>
      <c r="E1540" s="21" t="inlineStr">
        <is>
          <t>Фунгіцид Квадріс Топ 325 SC КС 5 л Syngenta Сингента Швейцарія</t>
        </is>
      </c>
      <c r="F1540" s="21" t="inlineStr">
        <is>
          <t>Ліріодендрон (Тюльпанове дерево) тюльпановий Фастігіатум G / H500-600</t>
        </is>
      </c>
      <c r="G1540" s="23" t="n">
        <v>13377</v>
      </c>
      <c r="H1540" s="23" t="n">
        <v>48000</v>
      </c>
      <c r="I1540" s="21" t="inlineStr">
        <is>
          <t>ID постачальника збігся, але назви різні</t>
        </is>
      </c>
    </row>
    <row r="1541">
      <c r="A1541" s="22" t="n">
        <v>30.2</v>
      </c>
      <c r="B1541" s="22" t="inlineStr">
        <is>
          <t>Клуб Рослин</t>
        </is>
      </c>
      <c r="C1541" s="22" t="inlineStr">
        <is>
          <t>3175</t>
        </is>
      </c>
      <c r="D1541" s="22" t="inlineStr">
        <is>
          <t>3175</t>
        </is>
      </c>
      <c r="E1541" s="21" t="inlineStr">
        <is>
          <t>Фунгіцид Дітан М-45 80% 10 кг Dow AgroScienses США</t>
        </is>
      </c>
      <c r="F1541" s="21" t="inlineStr">
        <is>
          <t>Лілія східна гібридна Старгейзер 12\14</t>
        </is>
      </c>
      <c r="G1541" s="23" t="n">
        <v>4698</v>
      </c>
      <c r="H1541" s="23" t="n">
        <v>50</v>
      </c>
      <c r="I1541" s="21" t="inlineStr">
        <is>
          <t>ID постачальника збігся, але назви різні</t>
        </is>
      </c>
    </row>
    <row r="1542">
      <c r="A1542" s="22" t="n">
        <v>30.2</v>
      </c>
      <c r="B1542" s="22" t="inlineStr">
        <is>
          <t>Клуб Рослин</t>
        </is>
      </c>
      <c r="C1542" s="22" t="inlineStr">
        <is>
          <t>7462</t>
        </is>
      </c>
      <c r="D1542" s="22" t="inlineStr">
        <is>
          <t>7462</t>
        </is>
      </c>
      <c r="E1542" s="21" t="inlineStr">
        <is>
          <t>Добриво GroGreen NPK 3-10-40+TE 25 кг Lima Бельгія</t>
        </is>
      </c>
      <c r="F1542" s="21" t="inlineStr">
        <is>
          <t>Тис ягідний (а) Куля на Штамбі C180 / H180</t>
        </is>
      </c>
      <c r="G1542" s="23" t="n">
        <v>4605</v>
      </c>
      <c r="H1542" s="23" t="n">
        <v>10764</v>
      </c>
      <c r="I1542" s="21" t="inlineStr">
        <is>
          <t>ID постачальника збігся, але назви різні</t>
        </is>
      </c>
    </row>
    <row r="1543">
      <c r="A1543" s="22" t="n">
        <v>30.2</v>
      </c>
      <c r="B1543" s="22" t="inlineStr">
        <is>
          <t>Клуб Рослин</t>
        </is>
      </c>
      <c r="C1543" s="22" t="inlineStr">
        <is>
          <t>4012</t>
        </is>
      </c>
      <c r="D1543" s="22" t="inlineStr">
        <is>
          <t>4012</t>
        </is>
      </c>
      <c r="E1543" s="21" t="inlineStr">
        <is>
          <t>Родентицид Бродіфакум 0.25% 5 л Olkar Олкар Україна</t>
        </is>
      </c>
      <c r="F1543" s="21" t="inlineStr">
        <is>
          <t>Ялина звичайна Віллс Цверг G / H200-250</t>
        </is>
      </c>
      <c r="G1543" s="23" t="n">
        <v>4498</v>
      </c>
      <c r="H1543" s="23" t="n">
        <v>14525</v>
      </c>
      <c r="I1543" s="21" t="inlineStr">
        <is>
          <t>ID постачальника збігся, але назви різні</t>
        </is>
      </c>
    </row>
    <row r="1544">
      <c r="A1544" s="22" t="n">
        <v>30.2</v>
      </c>
      <c r="B1544" s="22" t="inlineStr">
        <is>
          <t>Клуб Рослин</t>
        </is>
      </c>
      <c r="C1544" s="22" t="inlineStr">
        <is>
          <t>2009</t>
        </is>
      </c>
      <c r="D1544" s="22" t="inlineStr">
        <is>
          <t>2009</t>
        </is>
      </c>
      <c r="E1544" s="21" t="inlineStr">
        <is>
          <t>Інсектицид Канонір Дуо 5 л Агрохімічні Технології Україна</t>
        </is>
      </c>
      <c r="F1544" s="21" t="inlineStr">
        <is>
          <t>Гібіскус сірійський Дук де Брабант PC21 C3 / H80-100</t>
        </is>
      </c>
      <c r="G1544" s="23" t="n">
        <v>3398</v>
      </c>
      <c r="H1544" s="23" t="n">
        <v>240</v>
      </c>
      <c r="I1544" s="21" t="inlineStr">
        <is>
          <t>ID постачальника збігся, але назви різні</t>
        </is>
      </c>
    </row>
    <row r="1545">
      <c r="A1545" s="22" t="n">
        <v>30.2</v>
      </c>
      <c r="B1545" s="22" t="inlineStr">
        <is>
          <t>Клуб Рослин</t>
        </is>
      </c>
      <c r="C1545" s="22" t="inlineStr">
        <is>
          <t>7156</t>
        </is>
      </c>
      <c r="D1545" s="22" t="inlineStr">
        <is>
          <t>7156</t>
        </is>
      </c>
      <c r="E1545" s="21" t="inlineStr">
        <is>
          <t>Добриво Келік Бор 5 л Вітера Atlantica Agricola Іспанія</t>
        </is>
      </c>
      <c r="F1545" s="21" t="inlineStr">
        <is>
          <t>Троянда гібридний(а) Каріна SP G</t>
        </is>
      </c>
      <c r="G1545" s="23" t="n">
        <v>3235</v>
      </c>
      <c r="H1545" s="23" t="n">
        <v>44</v>
      </c>
      <c r="I1545" s="21" t="inlineStr">
        <is>
          <t>ID постачальника збігся, але різні бренди</t>
        </is>
      </c>
    </row>
    <row r="1546">
      <c r="A1546" s="22" t="n">
        <v>30.2</v>
      </c>
      <c r="B1546" s="22" t="inlineStr">
        <is>
          <t>Клуб Рослин</t>
        </is>
      </c>
      <c r="C1546" s="22" t="inlineStr">
        <is>
          <t>7781</t>
        </is>
      </c>
      <c r="D1546" s="22" t="inlineStr">
        <is>
          <t>7781</t>
        </is>
      </c>
      <c r="E1546" s="21" t="inlineStr">
        <is>
          <t>Добриво Ікар Ензо (Марганець) / Ikar Enzo 5 л Литва</t>
        </is>
      </c>
      <c r="F1546" s="21" t="inlineStr">
        <is>
          <t>Туя західна (ий) Мірьям ® PC21 C5 / H25 / L20-25</t>
        </is>
      </c>
      <c r="G1546" s="23" t="n">
        <v>2785</v>
      </c>
      <c r="H1546" s="23" t="n">
        <v>264</v>
      </c>
      <c r="I1546" s="21" t="inlineStr">
        <is>
          <t>ID постачальника збігся, але назви різні</t>
        </is>
      </c>
    </row>
    <row r="1547">
      <c r="A1547" s="22" t="n">
        <v>30.2</v>
      </c>
      <c r="B1547" s="22" t="inlineStr">
        <is>
          <t>Клуб Рослин</t>
        </is>
      </c>
      <c r="C1547" s="22" t="inlineStr">
        <is>
          <t>7113</t>
        </is>
      </c>
      <c r="D1547" s="22" t="inlineStr">
        <is>
          <t>7113</t>
        </is>
      </c>
      <c r="E1547" s="21" t="inlineStr">
        <is>
          <t>Добриво-антистресант AgriFlex Amino Zn Агріфлекс Аміно Цинк 5 кг CityMax</t>
        </is>
      </c>
      <c r="F1547" s="21" t="inlineStr">
        <is>
          <t>Троянда плетиста Полька DP PC18 C2</t>
        </is>
      </c>
      <c r="G1547" s="23" t="n">
        <v>2675</v>
      </c>
      <c r="H1547" s="23" t="n">
        <v>144</v>
      </c>
      <c r="I1547" s="21" t="inlineStr">
        <is>
          <t>ID постачальника збігся, але різні бренди</t>
        </is>
      </c>
    </row>
    <row r="1548">
      <c r="A1548" s="22" t="n">
        <v>30.2</v>
      </c>
      <c r="B1548" s="22" t="inlineStr">
        <is>
          <t>Клуб Рослин</t>
        </is>
      </c>
      <c r="C1548" s="22" t="inlineStr">
        <is>
          <t>3685</t>
        </is>
      </c>
      <c r="D1548" s="22" t="inlineStr">
        <is>
          <t>3685</t>
        </is>
      </c>
      <c r="E1548" s="21" t="inlineStr">
        <is>
          <t>Фунгіцид Аканто Плюс Acanto Plus 1 л (розлив) Corteva Кортева США</t>
        </is>
      </c>
      <c r="F1548" s="21" t="inlineStr">
        <is>
          <t>Нарцис Ріп Ван Уік 8\10</t>
        </is>
      </c>
      <c r="G1548" s="23" t="n">
        <v>1760</v>
      </c>
      <c r="H1548" s="23" t="n">
        <v>5</v>
      </c>
      <c r="I1548" s="21" t="inlineStr">
        <is>
          <t>ID постачальника збігся, але назви різні</t>
        </is>
      </c>
    </row>
    <row r="1549">
      <c r="A1549" s="22" t="n">
        <v>30.2</v>
      </c>
      <c r="B1549" s="22" t="inlineStr">
        <is>
          <t>Клуб Рослин</t>
        </is>
      </c>
      <c r="C1549" s="22" t="inlineStr">
        <is>
          <t>7688</t>
        </is>
      </c>
      <c r="D1549" s="22" t="inlineStr">
        <is>
          <t>7688</t>
        </is>
      </c>
      <c r="E1549" s="21" t="inlineStr">
        <is>
          <t>Добриво Хелатин Сірка Pro 10 л Кіссон Україна</t>
        </is>
      </c>
      <c r="F1549" s="21" t="inlineStr">
        <is>
          <t>Туя західна (ий) Клос оф Голд K20 C55 / H60-80</t>
        </is>
      </c>
      <c r="G1549" s="23" t="n">
        <v>1153</v>
      </c>
      <c r="H1549" s="23" t="n">
        <v>1159</v>
      </c>
      <c r="I1549" s="21" t="inlineStr">
        <is>
          <t>ID постачальника збігся, але назви різні</t>
        </is>
      </c>
    </row>
    <row r="1550">
      <c r="A1550" s="22" t="n">
        <v>30.2</v>
      </c>
      <c r="B1550" s="22" t="inlineStr">
        <is>
          <t>Клуб Рослин</t>
        </is>
      </c>
      <c r="C1550" s="22" t="inlineStr">
        <is>
          <t>7349</t>
        </is>
      </c>
      <c r="D1550" s="22" t="inlineStr">
        <is>
          <t>7349</t>
        </is>
      </c>
      <c r="E1550" s="21" t="inlineStr">
        <is>
          <t>Добриво Хелатин Форте / Forte 10 л Кіссон Україна</t>
        </is>
      </c>
      <c r="F1550" s="21" t="inlineStr">
        <is>
          <t>Спірея японська Дартс Ред PC20 C3 / H25-30</t>
        </is>
      </c>
      <c r="G1550" s="23" t="n">
        <v>1085</v>
      </c>
      <c r="H1550" s="23" t="n">
        <v>151</v>
      </c>
      <c r="I1550" s="21" t="inlineStr">
        <is>
          <t>ID постачальника збігся, але назви різні</t>
        </is>
      </c>
    </row>
    <row r="1551">
      <c r="A1551" s="22" t="n">
        <v>30.2</v>
      </c>
      <c r="B1551" s="22" t="inlineStr">
        <is>
          <t>Клуб Рослин</t>
        </is>
      </c>
      <c r="C1551" s="22" t="inlineStr">
        <is>
          <t>2223</t>
        </is>
      </c>
      <c r="D1551" s="22" t="inlineStr">
        <is>
          <t>2223</t>
        </is>
      </c>
      <c r="E1551" s="21" t="inlineStr">
        <is>
          <t>Інсектицид Актарофіт Bela 500 мл Enzim Biotech Agro / Ензим Біотех Агро Україна</t>
        </is>
      </c>
      <c r="F1551" s="21" t="inlineStr">
        <is>
          <t>Гортензія волотиста Левана C5</t>
        </is>
      </c>
      <c r="G1551" s="23" t="n">
        <v>1054</v>
      </c>
      <c r="H1551" s="23" t="n">
        <v>360</v>
      </c>
      <c r="I1551" s="21" t="inlineStr">
        <is>
          <t>ID постачальника збігся, але назви різні</t>
        </is>
      </c>
    </row>
    <row r="1552">
      <c r="A1552" s="22" t="n">
        <v>30.2</v>
      </c>
      <c r="B1552" s="22" t="inlineStr">
        <is>
          <t>Клуб Рослин</t>
        </is>
      </c>
      <c r="C1552" s="22" t="inlineStr">
        <is>
          <t>7997</t>
        </is>
      </c>
      <c r="D1552" s="22" t="inlineStr">
        <is>
          <t>7997</t>
        </is>
      </c>
      <c r="E1552" s="21" t="inlineStr">
        <is>
          <t>Добриво Леда Гель Фосфор-Актив / Leda P-Active 4-37.5-14.7 1 л Велика Британія</t>
        </is>
      </c>
      <c r="F1552" s="21" t="inlineStr">
        <is>
          <t>Липа широколиста Фастігіата Штамб C180 / o12-14 / Pa150-175</t>
        </is>
      </c>
      <c r="G1552" s="23" t="n">
        <v>905</v>
      </c>
      <c r="H1552" s="23" t="n">
        <v>4968</v>
      </c>
      <c r="I1552" s="21" t="inlineStr">
        <is>
          <t>ID постачальника збігся, але різні коди виробника</t>
        </is>
      </c>
    </row>
    <row r="1553">
      <c r="A1553" s="22" t="n">
        <v>30.2</v>
      </c>
      <c r="B1553" s="22" t="inlineStr">
        <is>
          <t>Клуб Рослин</t>
        </is>
      </c>
      <c r="C1553" s="22" t="inlineStr">
        <is>
          <t>7312</t>
        </is>
      </c>
      <c r="D1553" s="22" t="inlineStr">
        <is>
          <t>7312</t>
        </is>
      </c>
      <c r="E1553" s="21" t="inlineStr">
        <is>
          <t>Добриво Кафом Кальцій / Kafom Ca 1 л Meristem Мерістем Іспанія</t>
        </is>
      </c>
      <c r="F1553" s="21" t="inlineStr">
        <is>
          <t>Верба цільнолиста Пендула Штамб PC17 C10 / Pa120</t>
        </is>
      </c>
      <c r="G1553" s="23" t="n">
        <v>825</v>
      </c>
      <c r="H1553" s="23" t="n">
        <v>265</v>
      </c>
      <c r="I1553" s="21" t="inlineStr">
        <is>
          <t>ID постачальника збігся, але назви різні</t>
        </is>
      </c>
    </row>
    <row r="1554">
      <c r="A1554" s="22" t="n">
        <v>30.2</v>
      </c>
      <c r="B1554" s="22" t="inlineStr">
        <is>
          <t>Клуб Рослин</t>
        </is>
      </c>
      <c r="C1554" s="22" t="inlineStr">
        <is>
          <t>4023</t>
        </is>
      </c>
      <c r="D1554" s="22" t="inlineStr">
        <is>
          <t>4023</t>
        </is>
      </c>
      <c r="E1554" s="21" t="inlineStr">
        <is>
          <t>Родентицид Бромавіт 1 л Ukravit Укравіт Україна</t>
        </is>
      </c>
      <c r="F1554" s="21" t="inlineStr">
        <is>
          <t>Ялина звичайна Вінгліз Віпінг C10 / H70-80</t>
        </is>
      </c>
      <c r="G1554" s="23" t="n">
        <v>780</v>
      </c>
      <c r="H1554" s="23" t="n">
        <v>2650</v>
      </c>
      <c r="I1554" s="21" t="inlineStr">
        <is>
          <t>ID постачальника збігся, але назви різні</t>
        </is>
      </c>
    </row>
    <row r="1555">
      <c r="A1555" s="22" t="n">
        <v>30.2</v>
      </c>
      <c r="B1555" s="22" t="inlineStr">
        <is>
          <t>Клуб Рослин</t>
        </is>
      </c>
      <c r="C1555" s="22" t="inlineStr">
        <is>
          <t>2036</t>
        </is>
      </c>
      <c r="D1555" s="22" t="inlineStr">
        <is>
          <t>2036</t>
        </is>
      </c>
      <c r="E1555" s="21" t="inlineStr">
        <is>
          <t>Інсектицид Проклейм 5 SG 100 г (розсип) Syngenta Сингента Швейцарія</t>
        </is>
      </c>
      <c r="F1555" s="21" t="inlineStr">
        <is>
          <t>Гібіскус сірійський Майке PC21 C3 / H100-120</t>
        </is>
      </c>
      <c r="G1555" s="23" t="n">
        <v>498</v>
      </c>
      <c r="H1555" s="23" t="n">
        <v>203</v>
      </c>
      <c r="I1555" s="21" t="inlineStr">
        <is>
          <t>ID постачальника збігся, але назви різні</t>
        </is>
      </c>
    </row>
    <row r="1556">
      <c r="A1556" s="22" t="n">
        <v>30.2</v>
      </c>
      <c r="B1556" s="22" t="inlineStr">
        <is>
          <t>Клуб Рослин</t>
        </is>
      </c>
      <c r="C1556" s="22" t="inlineStr">
        <is>
          <t>7407</t>
        </is>
      </c>
      <c r="D1556" s="22" t="inlineStr">
        <is>
          <t>7407</t>
        </is>
      </c>
      <c r="E1556" s="21" t="inlineStr">
        <is>
          <t>Добриво GroGreen Гроліф NPK 10-40-10 + TE + QPS45 1 кг Lima Бельгія</t>
        </is>
      </c>
      <c r="F1556" s="21" t="inlineStr">
        <is>
          <t>Бузок звичайний Чарльс Джолі PC17 C10 / Pa80-100</t>
        </is>
      </c>
      <c r="G1556" s="23" t="n">
        <v>450</v>
      </c>
      <c r="H1556" s="23" t="n">
        <v>555</v>
      </c>
      <c r="I1556" s="21" t="inlineStr">
        <is>
          <t>ID постачальника збігся, але різні коди виробника</t>
        </is>
      </c>
    </row>
    <row r="1557">
      <c r="A1557" s="22" t="n">
        <v>30.2</v>
      </c>
      <c r="B1557" s="22" t="inlineStr">
        <is>
          <t>Клуб Рослин</t>
        </is>
      </c>
      <c r="C1557" s="22" t="inlineStr">
        <is>
          <t>3262</t>
        </is>
      </c>
      <c r="D1557" s="22" t="inlineStr">
        <is>
          <t>3262</t>
        </is>
      </c>
      <c r="E1557" s="21" t="inlineStr">
        <is>
          <t>Фунгіцид Кевлар 1 л Нопосон</t>
        </is>
      </c>
      <c r="F1557" s="21" t="inlineStr">
        <is>
          <t>Ліріодендрон (Тюльпанове дерево) тюльпановий Штамб C110 / Pa220</t>
        </is>
      </c>
      <c r="G1557" s="23" t="n">
        <v>442</v>
      </c>
      <c r="H1557" s="23" t="n">
        <v>9108</v>
      </c>
      <c r="I1557" s="21" t="inlineStr">
        <is>
          <t>ID постачальника збігся, але назви різні</t>
        </is>
      </c>
    </row>
    <row r="1558">
      <c r="A1558" s="22" t="n">
        <v>30.1</v>
      </c>
      <c r="B1558" s="22" t="inlineStr">
        <is>
          <t>Клуб Рослин</t>
        </is>
      </c>
      <c r="C1558" s="22" t="inlineStr">
        <is>
          <t>7329</t>
        </is>
      </c>
      <c r="D1558" s="22" t="inlineStr">
        <is>
          <t>7329</t>
        </is>
      </c>
      <c r="E1558" s="21" t="inlineStr">
        <is>
          <t>Добриво Кафом Цинк / Kafom Zn 20 л Meristem Мерістем Іспанія</t>
        </is>
      </c>
      <c r="F1558" s="21" t="inlineStr">
        <is>
          <t>Спірея березолиста Тор Голд PC21 C3</t>
        </is>
      </c>
      <c r="G1558" s="23" t="n">
        <v>13498</v>
      </c>
      <c r="H1558" s="23" t="n">
        <v>151</v>
      </c>
      <c r="I1558" s="21" t="inlineStr">
        <is>
          <t>ID постачальника збігся, але назви різні</t>
        </is>
      </c>
    </row>
    <row r="1559">
      <c r="A1559" s="22" t="n">
        <v>30.1</v>
      </c>
      <c r="B1559" s="22" t="inlineStr">
        <is>
          <t>Клуб Рослин</t>
        </is>
      </c>
      <c r="C1559" s="22" t="inlineStr">
        <is>
          <t>2305</t>
        </is>
      </c>
      <c r="D1559" s="22" t="inlineStr">
        <is>
          <t>2305</t>
        </is>
      </c>
      <c r="E1559" s="21" t="inlineStr">
        <is>
          <t>Інсектицид Флоніки 500 ВГ 1 кг Globagem N.V. Бельгія</t>
        </is>
      </c>
      <c r="F1559" s="21" t="inlineStr">
        <is>
          <t>Гортензія волотиста Межджікал Монт Блан ® C3</t>
        </is>
      </c>
      <c r="G1559" s="23" t="n">
        <v>8300</v>
      </c>
      <c r="H1559" s="23" t="n">
        <v>312</v>
      </c>
      <c r="I1559" s="21" t="inlineStr">
        <is>
          <t>ID постачальника збігся, але назви різні</t>
        </is>
      </c>
    </row>
    <row r="1560">
      <c r="A1560" s="22" t="n">
        <v>30.1</v>
      </c>
      <c r="B1560" s="22" t="inlineStr">
        <is>
          <t>Клуб Рослин</t>
        </is>
      </c>
      <c r="C1560" s="22" t="inlineStr">
        <is>
          <t>7660</t>
        </is>
      </c>
      <c r="D1560" s="22" t="inlineStr">
        <is>
          <t>7660</t>
        </is>
      </c>
      <c r="E1560" s="21" t="inlineStr">
        <is>
          <t>Регулятор росту Кальма 5 л Adama Адама Ізраїль</t>
        </is>
      </c>
      <c r="F1560" s="21" t="inlineStr">
        <is>
          <t>Туя (Платікладус) східна Ауреа Нана PC14 C3 / H20-30</t>
        </is>
      </c>
      <c r="G1560" s="23" t="n">
        <v>6998</v>
      </c>
      <c r="H1560" s="23" t="n">
        <v>130</v>
      </c>
      <c r="I1560" s="21" t="inlineStr">
        <is>
          <t>ID постачальника збігся, але назви різні</t>
        </is>
      </c>
    </row>
    <row r="1561">
      <c r="A1561" s="22" t="n">
        <v>30.1</v>
      </c>
      <c r="B1561" s="22" t="inlineStr">
        <is>
          <t>Клуб Рослин</t>
        </is>
      </c>
      <c r="C1561" s="22" t="inlineStr">
        <is>
          <t>7999</t>
        </is>
      </c>
      <c r="D1561" s="22" t="inlineStr">
        <is>
          <t>7999</t>
        </is>
      </c>
      <c r="E1561" s="21" t="inlineStr">
        <is>
          <t>Регулятор росту Перлан РК 1 л Fine Agrochemicals Велика Британія</t>
        </is>
      </c>
      <c r="F1561" s="21" t="inlineStr">
        <is>
          <t>Липа широколиста Фастігіата Штамб K G / o20-25 / Pa175</t>
        </is>
      </c>
      <c r="G1561" s="23" t="n">
        <v>6898</v>
      </c>
      <c r="H1561" s="23" t="n">
        <v>6600</v>
      </c>
      <c r="I1561" s="21" t="inlineStr">
        <is>
          <t>ID постачальника збігся, але назви різні</t>
        </is>
      </c>
    </row>
    <row r="1562">
      <c r="A1562" s="22" t="n">
        <v>30.1</v>
      </c>
      <c r="B1562" s="22" t="inlineStr">
        <is>
          <t>Клуб Рослин</t>
        </is>
      </c>
      <c r="C1562" s="22" t="inlineStr">
        <is>
          <t>7130</t>
        </is>
      </c>
      <c r="D1562" s="22" t="inlineStr">
        <is>
          <t>7130</t>
        </is>
      </c>
      <c r="E1562" s="21" t="inlineStr">
        <is>
          <t>Добриво YaraTera Kristalon ЯраТера Кристалон 3-11-38 25 кг Норвегія</t>
        </is>
      </c>
      <c r="F1562" s="21" t="inlineStr">
        <is>
          <t>Троянда густоквіткова Ескалібур DP PC19 C5 / H20-30</t>
        </is>
      </c>
      <c r="G1562" s="23" t="n">
        <v>3998</v>
      </c>
      <c r="H1562" s="23" t="n">
        <v>144</v>
      </c>
      <c r="I1562" s="21" t="inlineStr">
        <is>
          <t>ID постачальника збігся, але різні бренди</t>
        </is>
      </c>
    </row>
    <row r="1563">
      <c r="A1563" s="22" t="n">
        <v>30.1</v>
      </c>
      <c r="B1563" s="22" t="inlineStr">
        <is>
          <t>Клуб Рослин</t>
        </is>
      </c>
      <c r="C1563" s="22" t="inlineStr">
        <is>
          <t>3247</t>
        </is>
      </c>
      <c r="D1563" s="22" t="inlineStr">
        <is>
          <t>3247</t>
        </is>
      </c>
      <c r="E1563" s="21" t="inlineStr">
        <is>
          <t>Фунгіцид Ямато СЕ 5 л SumiAgro Сумі Агро Японія</t>
        </is>
      </c>
      <c r="F1563" s="21" t="inlineStr">
        <is>
          <t>Ліріодендрон (Тюльпанове дерево) тюльпановий Фастігіатум C55 / H250-300</t>
        </is>
      </c>
      <c r="G1563" s="23" t="n">
        <v>3588</v>
      </c>
      <c r="H1563" s="23" t="n">
        <v>8280</v>
      </c>
      <c r="I1563" s="21" t="inlineStr">
        <is>
          <t>ID постачальника збігся, але назви різні</t>
        </is>
      </c>
    </row>
    <row r="1564">
      <c r="A1564" s="22" t="n">
        <v>30.1</v>
      </c>
      <c r="B1564" s="22" t="inlineStr">
        <is>
          <t>Клуб Рослин</t>
        </is>
      </c>
      <c r="C1564" s="22" t="inlineStr">
        <is>
          <t>2106</t>
        </is>
      </c>
      <c r="D1564" s="22" t="inlineStr">
        <is>
          <t>2106</t>
        </is>
      </c>
      <c r="E1564" s="21" t="inlineStr">
        <is>
          <t>Інсектицид Жук OFF 5 л Ukravit Укравіт Україна</t>
        </is>
      </c>
      <c r="F1564" s="21" t="inlineStr">
        <is>
          <t>Гортензія великолисткова Блек Даймондс ® C5 / H30-40</t>
        </is>
      </c>
      <c r="G1564" s="23" t="n">
        <v>3000</v>
      </c>
      <c r="H1564" s="23" t="n">
        <v>1087</v>
      </c>
      <c r="I1564" s="21" t="inlineStr">
        <is>
          <t>ID постачальника збігся, але назви різні</t>
        </is>
      </c>
    </row>
    <row r="1565">
      <c r="A1565" s="22" t="n">
        <v>30.1</v>
      </c>
      <c r="B1565" s="22" t="inlineStr">
        <is>
          <t>Клуб Рослин</t>
        </is>
      </c>
      <c r="C1565" s="22" t="inlineStr">
        <is>
          <t>1032</t>
        </is>
      </c>
      <c r="D1565" s="22" t="inlineStr">
        <is>
          <t>1032</t>
        </is>
      </c>
      <c r="E1565" s="21" t="inlineStr">
        <is>
          <t>Десикант Альфа-Дикват 20 л Alfa Smart Agro Альфа Смарт Агро Україна</t>
        </is>
      </c>
      <c r="F1565" s="21" t="inlineStr">
        <is>
          <t>Барбарис Тунберга Вулкано PC21 C3 / H30-40</t>
        </is>
      </c>
      <c r="G1565" s="23" t="n">
        <v>2598</v>
      </c>
      <c r="H1565" s="23" t="n">
        <v>260</v>
      </c>
      <c r="I1565" s="21" t="inlineStr">
        <is>
          <t>ID постачальника збігся, але назви різні</t>
        </is>
      </c>
    </row>
    <row r="1566">
      <c r="A1566" s="22" t="n">
        <v>30.1</v>
      </c>
      <c r="B1566" s="22" t="inlineStr">
        <is>
          <t>Клуб Рослин</t>
        </is>
      </c>
      <c r="C1566" s="22" t="inlineStr">
        <is>
          <t>1143</t>
        </is>
      </c>
      <c r="D1566" s="22" t="inlineStr">
        <is>
          <t>1143</t>
        </is>
      </c>
      <c r="E1566" s="21" t="inlineStr">
        <is>
          <t>Гербіцид Горизонт 5 л Хімагромаркетинг Україна</t>
        </is>
      </c>
      <c r="F1566" s="21" t="inlineStr">
        <is>
          <t>Куничник гостроквітковий Овердам PC17 C10 / H50-55</t>
        </is>
      </c>
      <c r="G1566" s="23" t="n">
        <v>2475</v>
      </c>
      <c r="H1566" s="23" t="n">
        <v>156</v>
      </c>
      <c r="I1566" s="21" t="inlineStr">
        <is>
          <t>ID постачальника збігся, але назви різні</t>
        </is>
      </c>
    </row>
    <row r="1567">
      <c r="A1567" s="22" t="n">
        <v>30.1</v>
      </c>
      <c r="B1567" s="22" t="inlineStr">
        <is>
          <t>Клуб Рослин</t>
        </is>
      </c>
      <c r="C1567" s="22" t="inlineStr">
        <is>
          <t>2048</t>
        </is>
      </c>
      <c r="D1567" s="22" t="inlineStr">
        <is>
          <t>2048</t>
        </is>
      </c>
      <c r="E1567" s="21" t="inlineStr">
        <is>
          <t>Інсектицид Нокаут Екстра 5 л Alfa Smart Agro / Альфа Смарт Агро Україна</t>
        </is>
      </c>
      <c r="F1567" s="21" t="inlineStr">
        <is>
          <t>Гібіскус сірійський Вазо Бло Штамб ® C20 / Pa150</t>
        </is>
      </c>
      <c r="G1567" s="23" t="n">
        <v>1998</v>
      </c>
      <c r="H1567" s="23" t="n">
        <v>1667</v>
      </c>
      <c r="I1567" s="21" t="inlineStr">
        <is>
          <t>ID постачальника збігся, але назви різні</t>
        </is>
      </c>
    </row>
    <row r="1568">
      <c r="A1568" s="22" t="n">
        <v>30.1</v>
      </c>
      <c r="B1568" s="22" t="inlineStr">
        <is>
          <t>Клуб Рослин</t>
        </is>
      </c>
      <c r="C1568" s="22" t="inlineStr">
        <is>
          <t>3076</t>
        </is>
      </c>
      <c r="D1568" s="22" t="inlineStr">
        <is>
          <t>3076</t>
        </is>
      </c>
      <c r="E1568" s="21" t="inlineStr">
        <is>
          <t>Фунгіцид Захисник КС 5 л Ukravit Укравіт Україна</t>
        </is>
      </c>
      <c r="F1568" s="21" t="inlineStr">
        <is>
          <t>Бобовник альпійський Пендулум Штамб C15 / Pa130</t>
        </is>
      </c>
      <c r="G1568" s="23" t="n">
        <v>1998</v>
      </c>
      <c r="H1568" s="23" t="n">
        <v>1440</v>
      </c>
      <c r="I1568" s="21" t="inlineStr">
        <is>
          <t>ID постачальника збігся, але назви різні</t>
        </is>
      </c>
    </row>
    <row r="1569">
      <c r="A1569" s="22" t="n">
        <v>30.1</v>
      </c>
      <c r="B1569" s="22" t="inlineStr">
        <is>
          <t>Клуб Рослин</t>
        </is>
      </c>
      <c r="C1569" s="22" t="inlineStr">
        <is>
          <t>2171</t>
        </is>
      </c>
      <c r="D1569" s="22" t="inlineStr">
        <is>
          <t>2171</t>
        </is>
      </c>
      <c r="E1569" s="21" t="inlineStr">
        <is>
          <t>Iнсектицид Номолт 1 л Basf Басф Німеччина</t>
        </is>
      </c>
      <c r="F1569" s="21" t="inlineStr">
        <is>
          <t>Гортензія великолисткова Мася C2</t>
        </is>
      </c>
      <c r="G1569" s="23" t="n">
        <v>1820</v>
      </c>
      <c r="H1569" s="23" t="n">
        <v>205</v>
      </c>
      <c r="I1569" s="21" t="inlineStr">
        <is>
          <t>ID постачальника збігся, але назви різні</t>
        </is>
      </c>
    </row>
    <row r="1570">
      <c r="A1570" s="22" t="n">
        <v>30.1</v>
      </c>
      <c r="B1570" s="22" t="inlineStr">
        <is>
          <t>Клуб Рослин</t>
        </is>
      </c>
      <c r="C1570" s="22" t="inlineStr">
        <is>
          <t>1033</t>
        </is>
      </c>
      <c r="D1570" s="22" t="inlineStr">
        <is>
          <t>1033</t>
        </is>
      </c>
      <c r="E1570" s="21" t="inlineStr">
        <is>
          <t>Десикант Альфа-Дикват 10 л Alfa Smart Agro Альфа Смарт Агро Україна</t>
        </is>
      </c>
      <c r="F1570" s="21" t="inlineStr">
        <is>
          <t>Барбарис Тунберга Вулкано PC22 C5 / H30-40</t>
        </is>
      </c>
      <c r="G1570" s="23" t="n">
        <v>1748</v>
      </c>
      <c r="H1570" s="23" t="n">
        <v>252</v>
      </c>
      <c r="I1570" s="21" t="inlineStr">
        <is>
          <t>ID постачальника збігся, але назви різні</t>
        </is>
      </c>
    </row>
    <row r="1571">
      <c r="A1571" s="22" t="n">
        <v>30.1</v>
      </c>
      <c r="B1571" s="22" t="inlineStr">
        <is>
          <t>Клуб Рослин</t>
        </is>
      </c>
      <c r="C1571" s="22" t="inlineStr">
        <is>
          <t>7746</t>
        </is>
      </c>
      <c r="D1571" s="22" t="inlineStr">
        <is>
          <t>7746</t>
        </is>
      </c>
      <c r="E1571" s="21" t="inlineStr">
        <is>
          <t>Біостимулятор Фертігрейн Страт Кобальт-Молібден / Fertigrain Start CoMo 1 л AgriTecno Іспанія</t>
        </is>
      </c>
      <c r="F1571" s="21" t="inlineStr">
        <is>
          <t>Туя західна (ий) Кінг оф Брабант K G / H100-120</t>
        </is>
      </c>
      <c r="G1571" s="23" t="n">
        <v>1456</v>
      </c>
      <c r="H1571" s="23" t="n">
        <v>484</v>
      </c>
      <c r="I1571" s="21" t="inlineStr">
        <is>
          <t>ID постачальника збігся, але назви різні</t>
        </is>
      </c>
    </row>
    <row r="1572">
      <c r="A1572" s="22" t="n">
        <v>30.1</v>
      </c>
      <c r="B1572" s="22" t="inlineStr">
        <is>
          <t>Клуб Рослин</t>
        </is>
      </c>
      <c r="C1572" s="22" t="inlineStr">
        <is>
          <t>7009</t>
        </is>
      </c>
      <c r="D1572" s="22" t="inlineStr">
        <is>
          <t>7009</t>
        </is>
      </c>
      <c r="E1572" s="21" t="inlineStr">
        <is>
          <t>Добриво Plantafol Плантафол 30+10+10 5 кг Syngenta (Valagro) Італія</t>
        </is>
      </c>
      <c r="F1572" s="21" t="inlineStr">
        <is>
          <t>Рододендрон гібридний Сцифокалікс C15 / H40-50</t>
        </is>
      </c>
      <c r="G1572" s="23" t="n">
        <v>1375</v>
      </c>
      <c r="H1572" s="23" t="n">
        <v>865</v>
      </c>
      <c r="I1572" s="21" t="inlineStr">
        <is>
          <t>ID постачальника збігся, але назви різні</t>
        </is>
      </c>
    </row>
    <row r="1573">
      <c r="A1573" s="22" t="n">
        <v>30.1</v>
      </c>
      <c r="B1573" s="22" t="inlineStr">
        <is>
          <t>Клуб Рослин</t>
        </is>
      </c>
      <c r="C1573" s="22" t="inlineStr">
        <is>
          <t>1024</t>
        </is>
      </c>
      <c r="D1573" s="22" t="inlineStr">
        <is>
          <t>1024</t>
        </is>
      </c>
      <c r="E1573" s="21" t="inlineStr">
        <is>
          <t>Гербіцид Оріон 250 г Хімагромаркетинг Україна</t>
        </is>
      </c>
      <c r="F1573" s="21" t="inlineStr">
        <is>
          <t>Барбарис Тунберга Спешл Голд PC22 C5 / H30-35 / L20-25</t>
        </is>
      </c>
      <c r="G1573" s="23" t="n">
        <v>998</v>
      </c>
      <c r="H1573" s="23" t="n">
        <v>290</v>
      </c>
      <c r="I1573" s="21" t="inlineStr">
        <is>
          <t>ID постачальника збігся, але назви різні</t>
        </is>
      </c>
    </row>
    <row r="1574">
      <c r="A1574" s="22" t="n">
        <v>30.1</v>
      </c>
      <c r="B1574" s="22" t="inlineStr">
        <is>
          <t>Клуб Рослин</t>
        </is>
      </c>
      <c r="C1574" s="22" t="inlineStr">
        <is>
          <t>5051</t>
        </is>
      </c>
      <c r="D1574" s="22" t="inlineStr">
        <is>
          <t>5051</t>
        </is>
      </c>
      <c r="E1574" s="21" t="inlineStr">
        <is>
          <t>Протруйник Максим XL 035 FS 500 мл (розлив) Syngenta Сингента Швейцарія</t>
        </is>
      </c>
      <c r="F1574" s="21" t="inlineStr">
        <is>
          <t>Сосна гнучка Ван дер Волфс Пірамід G / H100-125</t>
        </is>
      </c>
      <c r="G1574" s="23" t="n">
        <v>935</v>
      </c>
      <c r="H1574" s="23" t="n">
        <v>4815</v>
      </c>
      <c r="I1574" s="21" t="inlineStr">
        <is>
          <t>ID постачальника збігся, але назви різні</t>
        </is>
      </c>
    </row>
    <row r="1575">
      <c r="A1575" s="22" t="n">
        <v>30.1</v>
      </c>
      <c r="B1575" s="22" t="inlineStr">
        <is>
          <t>Клуб Рослин</t>
        </is>
      </c>
      <c r="C1575" s="22" t="inlineStr">
        <is>
          <t>8117</t>
        </is>
      </c>
      <c r="D1575" s="22" t="inlineStr">
        <is>
          <t>8117</t>
        </is>
      </c>
      <c r="E1575" s="21" t="inlineStr">
        <is>
          <t>Добриво Агрeкол / Agrecol для газону осіннє 0-10-25 + MgO 1.2 кг Польща</t>
        </is>
      </c>
      <c r="F1575" s="21" t="inlineStr">
        <is>
          <t>Чорниця висока (Голубика, Лохина) Нельсон C5 / H80-100</t>
        </is>
      </c>
      <c r="G1575" s="23" t="n">
        <v>679</v>
      </c>
      <c r="H1575" s="23" t="n">
        <v>335</v>
      </c>
      <c r="I1575" s="21" t="inlineStr">
        <is>
          <t>ID постачальника збігся, але назви різні</t>
        </is>
      </c>
    </row>
    <row r="1576">
      <c r="A1576" s="22" t="n">
        <v>30.1</v>
      </c>
      <c r="B1576" s="22" t="inlineStr">
        <is>
          <t>Клуб Рослин</t>
        </is>
      </c>
      <c r="C1576" s="22" t="inlineStr">
        <is>
          <t>3330</t>
        </is>
      </c>
      <c r="D1576" s="22" t="inlineStr">
        <is>
          <t>3330</t>
        </is>
      </c>
      <c r="E1576" s="21" t="inlineStr">
        <is>
          <t>Фунгіцид Фрегат 1 л Хімагромаркетинг Україна</t>
        </is>
      </c>
      <c r="F1576" s="21" t="inlineStr">
        <is>
          <t>Магнолія Елізабет C18 / H125-150</t>
        </is>
      </c>
      <c r="G1576" s="23" t="n">
        <v>675</v>
      </c>
      <c r="H1576" s="23" t="n">
        <v>3312</v>
      </c>
      <c r="I1576" s="21" t="inlineStr">
        <is>
          <t>ID постачальника збігся, але назви різні</t>
        </is>
      </c>
    </row>
    <row r="1577">
      <c r="A1577" s="22" t="n">
        <v>30.1</v>
      </c>
      <c r="B1577" s="22" t="inlineStr">
        <is>
          <t>Клуб Рослин</t>
        </is>
      </c>
      <c r="C1577" s="22" t="inlineStr">
        <is>
          <t>7094</t>
        </is>
      </c>
      <c r="D1577" s="22" t="inlineStr">
        <is>
          <t>7094</t>
        </is>
      </c>
      <c r="E1577" s="21" t="inlineStr">
        <is>
          <t>Біостимулятор Агріфул Антисал / Agriful Antisal 1 л AgriTecno Іспанія</t>
        </is>
      </c>
      <c r="F1577" s="21" t="inlineStr">
        <is>
          <t>Троянда плетиста Ельф SP G</t>
        </is>
      </c>
      <c r="G1577" s="23" t="n">
        <v>588</v>
      </c>
      <c r="H1577" s="23" t="n">
        <v>44</v>
      </c>
      <c r="I1577" s="21" t="inlineStr">
        <is>
          <t>ID постачальника збігся, але різні бренди</t>
        </is>
      </c>
    </row>
    <row r="1578">
      <c r="A1578" s="22" t="n">
        <v>30.1</v>
      </c>
      <c r="B1578" s="22" t="inlineStr">
        <is>
          <t>Клуб Рослин</t>
        </is>
      </c>
      <c r="C1578" s="22" t="inlineStr">
        <is>
          <t>7137</t>
        </is>
      </c>
      <c r="D1578" s="22" t="inlineStr">
        <is>
          <t>7137</t>
        </is>
      </c>
      <c r="E1578" s="21" t="inlineStr">
        <is>
          <t>Біостимулятор Агріфул / Agriful 1 л AgriTecno Іспанія</t>
        </is>
      </c>
      <c r="F1578" s="21" t="inlineStr">
        <is>
          <t>Троянда густоквіткова Ніна Вейбулл PC20 C2</t>
        </is>
      </c>
      <c r="G1578" s="23" t="n">
        <v>530</v>
      </c>
      <c r="H1578" s="23" t="n">
        <v>144</v>
      </c>
      <c r="I1578" s="21" t="inlineStr">
        <is>
          <t>ID постачальника збігся, але назви різні</t>
        </is>
      </c>
    </row>
    <row r="1579">
      <c r="A1579" s="22" t="n">
        <v>30.1</v>
      </c>
      <c r="B1579" s="22" t="inlineStr">
        <is>
          <t>Клуб Рослин</t>
        </is>
      </c>
      <c r="C1579" s="22" t="inlineStr">
        <is>
          <t>3202</t>
        </is>
      </c>
      <c r="D1579" s="22" t="inlineStr">
        <is>
          <t>3202</t>
        </is>
      </c>
      <c r="E1579" s="21" t="inlineStr">
        <is>
          <t>Фунгіцид Міравіс 200 SC КС 45 мл Syngenta Сингента Швейцарія</t>
        </is>
      </c>
      <c r="F1579" s="21" t="inlineStr">
        <is>
          <t>Лілія ОТ-гібридна Флешпоінт 12\14</t>
        </is>
      </c>
      <c r="G1579" s="23" t="n">
        <v>398</v>
      </c>
      <c r="H1579" s="23" t="n">
        <v>50</v>
      </c>
      <c r="I1579" s="21" t="inlineStr">
        <is>
          <t>ID постачальника збігся, але назви різні</t>
        </is>
      </c>
    </row>
    <row r="1580">
      <c r="A1580" s="22" t="n">
        <v>30.1</v>
      </c>
      <c r="B1580" s="22" t="inlineStr">
        <is>
          <t>Клуб Рослин</t>
        </is>
      </c>
      <c r="C1580" s="22" t="inlineStr">
        <is>
          <t>7608</t>
        </is>
      </c>
      <c r="D1580" s="22" t="inlineStr">
        <is>
          <t>7608</t>
        </is>
      </c>
      <c r="E1580" s="21" t="inlineStr">
        <is>
          <t>Добриво GroGreen Гель Блек Меджик 200 г Lima Бельгія</t>
        </is>
      </c>
      <c r="F1580" s="21" t="inlineStr">
        <is>
          <t>Тис середній Хіксіі Бонсай C230 / H180 / L130</t>
        </is>
      </c>
      <c r="G1580" s="23" t="n">
        <v>312</v>
      </c>
      <c r="H1580" s="23" t="n">
        <v>41400</v>
      </c>
      <c r="I1580" s="21" t="inlineStr">
        <is>
          <t>ID постачальника збігся, але назви різні</t>
        </is>
      </c>
    </row>
    <row r="1581">
      <c r="A1581" s="22" t="n">
        <v>30</v>
      </c>
      <c r="B1581" s="22" t="inlineStr">
        <is>
          <t>Клуб Рослин</t>
        </is>
      </c>
      <c r="C1581" s="22" t="inlineStr">
        <is>
          <t>3246</t>
        </is>
      </c>
      <c r="D1581" s="22" t="inlineStr">
        <is>
          <t>3246</t>
        </is>
      </c>
      <c r="E1581" s="21" t="inlineStr">
        <is>
          <t>Фунгіцид Ютака СЕ 10 л SumiAgro Сумі Агро Японія</t>
        </is>
      </c>
      <c r="F1581" s="21" t="inlineStr">
        <is>
          <t>Ліріодендрон (Тюльпанове дерево) тюльпановий Фастігіатум C50 / H400-450 / o12-14</t>
        </is>
      </c>
      <c r="G1581" s="23" t="n">
        <v>8998</v>
      </c>
      <c r="H1581" s="23" t="n">
        <v>5190</v>
      </c>
      <c r="I1581" s="21" t="inlineStr">
        <is>
          <t>ID постачальника збігся, але назви різні</t>
        </is>
      </c>
    </row>
    <row r="1582">
      <c r="A1582" s="22" t="n">
        <v>30</v>
      </c>
      <c r="B1582" s="22" t="inlineStr">
        <is>
          <t>Клуб Рослин</t>
        </is>
      </c>
      <c r="C1582" s="22" t="inlineStr">
        <is>
          <t>7175</t>
        </is>
      </c>
      <c r="D1582" s="22" t="inlineStr">
        <is>
          <t>7175</t>
        </is>
      </c>
      <c r="E1582" s="21" t="inlineStr">
        <is>
          <t>Добриво Нутрівант Плюс Картопля 0-43-28+2MgO+ME 25 кг Вітера ICL Ізраїль</t>
        </is>
      </c>
      <c r="F1582" s="21" t="inlineStr">
        <is>
          <t>Троянда гібридний(а) Френдшип G</t>
        </is>
      </c>
      <c r="G1582" s="23" t="n">
        <v>11497</v>
      </c>
      <c r="H1582" s="23" t="n">
        <v>60</v>
      </c>
      <c r="I1582" s="21" t="inlineStr">
        <is>
          <t>ID постачальника збігся, але назви різні</t>
        </is>
      </c>
    </row>
    <row r="1583">
      <c r="A1583" s="22" t="n">
        <v>30</v>
      </c>
      <c r="B1583" s="22" t="inlineStr">
        <is>
          <t>Клуб Рослин</t>
        </is>
      </c>
      <c r="C1583" s="22" t="inlineStr">
        <is>
          <t>7994</t>
        </is>
      </c>
      <c r="D1583" s="22" t="inlineStr">
        <is>
          <t>7994</t>
        </is>
      </c>
      <c r="E1583" s="21" t="inlineStr">
        <is>
          <t>Добриво Леда Гель Фініш / Leda Gel Finish 10-20-40+TE 10 л Велика Британія</t>
        </is>
      </c>
      <c r="F1583" s="21" t="inlineStr">
        <is>
          <t>Липа широколиста Фастігіата PC20 C80 / H300-350 / o18-20</t>
        </is>
      </c>
      <c r="G1583" s="23" t="n">
        <v>7387</v>
      </c>
      <c r="H1583" s="23" t="n">
        <v>4637</v>
      </c>
      <c r="I1583" s="21" t="inlineStr">
        <is>
          <t>ID постачальника збігся, але різні коди виробника</t>
        </is>
      </c>
    </row>
    <row r="1584">
      <c r="A1584" s="22" t="n">
        <v>30</v>
      </c>
      <c r="B1584" s="22" t="inlineStr">
        <is>
          <t>Клуб Рослин</t>
        </is>
      </c>
      <c r="C1584" s="22" t="inlineStr">
        <is>
          <t>3286</t>
        </is>
      </c>
      <c r="D1584" s="22" t="inlineStr">
        <is>
          <t>3286</t>
        </is>
      </c>
      <c r="E1584" s="21" t="inlineStr">
        <is>
          <t>Фунгіцид Мілдікат 25 КС 10 л Sumi Agro Сумі Агро Японія</t>
        </is>
      </c>
      <c r="F1584" s="21" t="inlineStr">
        <is>
          <t>Жимолость східна Німфа C2</t>
        </is>
      </c>
      <c r="G1584" s="23" t="n">
        <v>5175</v>
      </c>
      <c r="H1584" s="23" t="n">
        <v>120</v>
      </c>
      <c r="I1584" s="21" t="inlineStr">
        <is>
          <t>ID постачальника збігся, але назви різні</t>
        </is>
      </c>
    </row>
    <row r="1585">
      <c r="A1585" s="22" t="n">
        <v>30</v>
      </c>
      <c r="B1585" s="22" t="inlineStr">
        <is>
          <t>Клуб Рослин</t>
        </is>
      </c>
      <c r="C1585" s="22" t="inlineStr">
        <is>
          <t>2101</t>
        </is>
      </c>
      <c r="D1585" s="22" t="inlineStr">
        <is>
          <t>2101</t>
        </is>
      </c>
      <c r="E1585" s="21" t="inlineStr">
        <is>
          <t>Інсектицид Воліам Флексі 1 л Syngenta Сингента Швейцарія</t>
        </is>
      </c>
      <c r="F1585" s="21" t="inlineStr">
        <is>
          <t>Гортензія деревовидна Анабелль PC16 C5 / H40-60</t>
        </is>
      </c>
      <c r="G1585" s="23" t="n">
        <v>5715</v>
      </c>
      <c r="H1585" s="23" t="n">
        <v>180</v>
      </c>
      <c r="I1585" s="21" t="inlineStr">
        <is>
          <t>ID постачальника збігся, але назви різні</t>
        </is>
      </c>
    </row>
    <row r="1586">
      <c r="A1586" s="22" t="n">
        <v>30</v>
      </c>
      <c r="B1586" s="22" t="inlineStr">
        <is>
          <t>Клуб Рослин</t>
        </is>
      </c>
      <c r="C1586" s="22" t="inlineStr">
        <is>
          <t>7450</t>
        </is>
      </c>
      <c r="D1586" s="22" t="inlineStr">
        <is>
          <t>7450</t>
        </is>
      </c>
      <c r="E1586" s="21" t="inlineStr">
        <is>
          <t>Добриво GroGreen NPK 21-21-21+TE 25 кг Lima Бельгія</t>
        </is>
      </c>
      <c r="F1586" s="21" t="inlineStr">
        <is>
          <t>Тис ягідний (а) Куля C250 / H120-130</t>
        </is>
      </c>
      <c r="G1586" s="23" t="n">
        <v>5121</v>
      </c>
      <c r="H1586" s="23" t="n">
        <v>27195</v>
      </c>
      <c r="I1586" s="21" t="inlineStr">
        <is>
          <t>ID постачальника збігся, але різні коди виробника</t>
        </is>
      </c>
    </row>
    <row r="1587">
      <c r="A1587" s="22" t="n">
        <v>30</v>
      </c>
      <c r="B1587" s="22" t="inlineStr">
        <is>
          <t>Клуб Рослин</t>
        </is>
      </c>
      <c r="C1587" s="22" t="inlineStr">
        <is>
          <t>3097</t>
        </is>
      </c>
      <c r="D1587" s="22" t="inlineStr">
        <is>
          <t>3097</t>
        </is>
      </c>
      <c r="E1587" s="21" t="inlineStr">
        <is>
          <t>Фунгіцид Фолікур 5 л Bayer Байєр Німеччина</t>
        </is>
      </c>
      <c r="F1587" s="21" t="inlineStr">
        <is>
          <t>Модрина японська Діана XXL C30 / H150-175</t>
        </is>
      </c>
      <c r="G1587" s="23" t="n">
        <v>3910</v>
      </c>
      <c r="H1587" s="23" t="n">
        <v>2960</v>
      </c>
      <c r="I1587" s="21" t="inlineStr">
        <is>
          <t>ID постачальника збігся, але різні бренди</t>
        </is>
      </c>
    </row>
    <row r="1588">
      <c r="A1588" s="22" t="n">
        <v>30</v>
      </c>
      <c r="B1588" s="22" t="inlineStr">
        <is>
          <t>Клуб Рослин</t>
        </is>
      </c>
      <c r="C1588" s="22" t="inlineStr">
        <is>
          <t>3086</t>
        </is>
      </c>
      <c r="D1588" s="22" t="inlineStr">
        <is>
          <t>3086</t>
        </is>
      </c>
      <c r="E1588" s="21" t="inlineStr">
        <is>
          <t>Фунгіцид Шавіт Ф 72 WG ВДГ 5 кг Adama Адама Ізраїль</t>
        </is>
      </c>
      <c r="F1588" s="21" t="inlineStr">
        <is>
          <t>Модрина європейська Пендула Штамб C10 / L60-80 / Pa180</t>
        </is>
      </c>
      <c r="G1588" s="23" t="n">
        <v>3744</v>
      </c>
      <c r="H1588" s="23" t="n">
        <v>1715</v>
      </c>
      <c r="I1588" s="21" t="inlineStr">
        <is>
          <t>ID постачальника збігся, але назви різні</t>
        </is>
      </c>
    </row>
    <row r="1589">
      <c r="A1589" s="22" t="n">
        <v>30</v>
      </c>
      <c r="B1589" s="22" t="inlineStr">
        <is>
          <t>Клуб Рослин</t>
        </is>
      </c>
      <c r="C1589" s="22" t="inlineStr">
        <is>
          <t>102-30</t>
        </is>
      </c>
      <c r="D1589" s="22" t="inlineStr">
        <is>
          <t>10230</t>
        </is>
      </c>
      <c r="E1589" s="21" t="inlineStr">
        <is>
          <t>Пила садова із чохлом Silky Gomtaro 300-8 (102-30) Японія</t>
        </is>
      </c>
      <c r="F1589" s="21" t="inlineStr">
        <is>
          <t>Контейнер М32, 32л, 40*25см</t>
        </is>
      </c>
      <c r="G1589" s="23" t="n">
        <v>3290</v>
      </c>
      <c r="H1589" s="23" t="n">
        <v>48</v>
      </c>
      <c r="I1589" s="21" t="inlineStr">
        <is>
          <t>ID постачальника збігся, але назви різні</t>
        </is>
      </c>
    </row>
    <row r="1590">
      <c r="A1590" s="22" t="n">
        <v>30</v>
      </c>
      <c r="B1590" s="22" t="inlineStr">
        <is>
          <t>Клуб Рослин</t>
        </is>
      </c>
      <c r="C1590" s="22" t="inlineStr">
        <is>
          <t>7722</t>
        </is>
      </c>
      <c r="D1590" s="22" t="inlineStr">
        <is>
          <t>7722</t>
        </is>
      </c>
      <c r="E1590" s="21" t="inlineStr">
        <is>
          <t>Біостимулятор Квантіс 10 л Сингента / Syngenta Швейцарія</t>
        </is>
      </c>
      <c r="F1590" s="21" t="inlineStr">
        <is>
          <t>Туя західна (ий) Філіформіс Штамб C35 / L30-40 / Pa80</t>
        </is>
      </c>
      <c r="G1590" s="23" t="n">
        <v>3225</v>
      </c>
      <c r="H1590" s="23" t="n">
        <v>3465</v>
      </c>
      <c r="I1590" s="21" t="inlineStr">
        <is>
          <t>ID постачальника збігся, але назви різні</t>
        </is>
      </c>
    </row>
    <row r="1591">
      <c r="A1591" s="22" t="n">
        <v>30</v>
      </c>
      <c r="B1591" s="22" t="inlineStr">
        <is>
          <t>Клуб Рослин</t>
        </is>
      </c>
      <c r="C1591" s="22" t="inlineStr">
        <is>
          <t>8124</t>
        </is>
      </c>
      <c r="D1591" s="22" t="inlineStr">
        <is>
          <t>8124</t>
        </is>
      </c>
      <c r="E1591" s="21" t="inlineStr">
        <is>
          <t>Деструктор Деструмаг Зерива / Zeryva 5 л Україна</t>
        </is>
      </c>
      <c r="F1591" s="21" t="inlineStr">
        <is>
          <t>Чорниця висока (Голубика, Лохина) Патріот PC20 C45 / H80-100</t>
        </is>
      </c>
      <c r="G1591" s="23" t="n">
        <v>1750</v>
      </c>
      <c r="H1591" s="23" t="n">
        <v>1200</v>
      </c>
      <c r="I1591" s="21" t="inlineStr">
        <is>
          <t>ID постачальника збігся, але назви різні</t>
        </is>
      </c>
    </row>
    <row r="1592">
      <c r="A1592" s="22" t="n">
        <v>30</v>
      </c>
      <c r="B1592" s="22" t="inlineStr">
        <is>
          <t>Клуб Рослин</t>
        </is>
      </c>
      <c r="C1592" s="22" t="inlineStr">
        <is>
          <t>3568</t>
        </is>
      </c>
      <c r="D1592" s="22" t="inlineStr">
        <is>
          <t>3568</t>
        </is>
      </c>
      <c r="E1592" s="21" t="inlineStr">
        <is>
          <t>Фунгіцид Мелоді Компакт 1 кг (розсип) Bayer Байєр Німеччина</t>
        </is>
      </c>
      <c r="F1592" s="21" t="inlineStr">
        <is>
          <t>Яблуня домашня Ананас Бенженицький PC17 C12</t>
        </is>
      </c>
      <c r="G1592" s="23" t="n">
        <v>1560</v>
      </c>
      <c r="H1592" s="23" t="n">
        <v>396</v>
      </c>
      <c r="I1592" s="21" t="inlineStr">
        <is>
          <t>ID постачальника збігся, але назви різні</t>
        </is>
      </c>
    </row>
    <row r="1593">
      <c r="A1593" s="22" t="n">
        <v>30</v>
      </c>
      <c r="B1593" s="22" t="inlineStr">
        <is>
          <t>Клуб Рослин</t>
        </is>
      </c>
      <c r="C1593" s="22" t="inlineStr">
        <is>
          <t>7146</t>
        </is>
      </c>
      <c r="D1593" s="22" t="inlineStr">
        <is>
          <t>7146</t>
        </is>
      </c>
      <c r="E1593" s="21" t="inlineStr">
        <is>
          <t>Біостимулятор Амінокат 30% (Aminocat 30%) 1 л Вітера Atlantica Agricola Іспанія</t>
        </is>
      </c>
      <c r="F1593" s="21" t="inlineStr">
        <is>
          <t>Троянда гібридний(а) Августа Луіза DP PC19 C5 / H20-30</t>
        </is>
      </c>
      <c r="G1593" s="23" t="n">
        <v>1279</v>
      </c>
      <c r="H1593" s="23" t="n">
        <v>145</v>
      </c>
      <c r="I1593" s="21" t="inlineStr">
        <is>
          <t>ID постачальника збігся, але різні бренди</t>
        </is>
      </c>
    </row>
    <row r="1594">
      <c r="A1594" s="22" t="n">
        <v>30</v>
      </c>
      <c r="B1594" s="22" t="inlineStr">
        <is>
          <t>Клуб Рослин</t>
        </is>
      </c>
      <c r="C1594" s="22" t="inlineStr">
        <is>
          <t>7269</t>
        </is>
      </c>
      <c r="D1594" s="22" t="inlineStr">
        <is>
          <t>7269</t>
        </is>
      </c>
      <c r="E1594" s="21" t="inlineStr">
        <is>
          <t>Атрактант Біополін СК 1 л Sumi Agro Сумі Агро</t>
        </is>
      </c>
      <c r="F1594" s="21" t="inlineStr">
        <is>
          <t>Троянда паркова Вестерленд GK / H30-50</t>
        </is>
      </c>
      <c r="G1594" s="23" t="n">
        <v>1225</v>
      </c>
      <c r="H1594" s="23" t="n">
        <v>55</v>
      </c>
      <c r="I1594" s="21" t="inlineStr">
        <is>
          <t>ID постачальника збігся, але різні бренди</t>
        </is>
      </c>
    </row>
    <row r="1595">
      <c r="A1595" s="22" t="n">
        <v>30</v>
      </c>
      <c r="B1595" s="22" t="inlineStr">
        <is>
          <t>Клуб Рослин</t>
        </is>
      </c>
      <c r="C1595" s="22" t="inlineStr">
        <is>
          <t>3222</t>
        </is>
      </c>
      <c r="D1595" s="22" t="inlineStr">
        <is>
          <t>3222</t>
        </is>
      </c>
      <c r="E1595" s="21" t="inlineStr">
        <is>
          <t>Фунгіцид Геокс 50 WG ВДГ 100 г (розсип) Syngenta Сингента Швейцарія</t>
        </is>
      </c>
      <c r="F1595" s="21" t="inlineStr">
        <is>
          <t>Ліквідамбар (Амброве дерево) смолоносний C35 / o8-10-12 / Pa150</t>
        </is>
      </c>
      <c r="G1595" s="23" t="n">
        <v>998</v>
      </c>
      <c r="H1595" s="23" t="n">
        <v>6600</v>
      </c>
      <c r="I1595" s="21" t="inlineStr">
        <is>
          <t>ID постачальника збігся, але назви різні</t>
        </is>
      </c>
    </row>
    <row r="1596">
      <c r="A1596" s="22" t="n">
        <v>30</v>
      </c>
      <c r="B1596" s="22" t="inlineStr">
        <is>
          <t>Клуб Рослин</t>
        </is>
      </c>
      <c r="C1596" s="22" t="inlineStr">
        <is>
          <t>3308</t>
        </is>
      </c>
      <c r="D1596" s="22" t="inlineStr">
        <is>
          <t>3308</t>
        </is>
      </c>
      <c r="E1596" s="21" t="inlineStr">
        <is>
          <t>Фунгіцид Жокей Екстра КС 1 л Хімагромаркетинг Україна</t>
        </is>
      </c>
      <c r="F1596" s="21" t="inlineStr">
        <is>
          <t>Магнолія Дафні C100 / H250-300</t>
        </is>
      </c>
      <c r="G1596" s="23" t="n">
        <v>865</v>
      </c>
      <c r="H1596" s="23" t="n">
        <v>17388</v>
      </c>
      <c r="I1596" s="21" t="inlineStr">
        <is>
          <t>ID постачальника збігся, але назви різні</t>
        </is>
      </c>
    </row>
    <row r="1597">
      <c r="A1597" s="22" t="n">
        <v>30</v>
      </c>
      <c r="B1597" s="22" t="inlineStr">
        <is>
          <t>Клуб Рослин</t>
        </is>
      </c>
      <c r="C1597" s="22" t="inlineStr">
        <is>
          <t>15-910</t>
        </is>
      </c>
      <c r="D1597" s="22" t="inlineStr">
        <is>
          <t>15910</t>
        </is>
      </c>
      <c r="E1597" s="21" t="inlineStr">
        <is>
          <t>Парник складаний 80х46х24 см ПВХ плівка 3 полиці Neo Tools (15-910)</t>
        </is>
      </c>
      <c r="F1597" s="21" t="inlineStr">
        <is>
          <t>рН-метр польовий Agrario VT-16 для ґрунту і субстратів 2 в 1: рН-кислотність + вологість</t>
        </is>
      </c>
      <c r="G1597" s="23" t="n">
        <v>732</v>
      </c>
      <c r="H1597" s="23" t="n">
        <v>790</v>
      </c>
      <c r="I1597" s="21" t="inlineStr">
        <is>
          <t>ID постачальника збігся, але різні бренди</t>
        </is>
      </c>
    </row>
    <row r="1598">
      <c r="A1598" s="22" t="n">
        <v>30</v>
      </c>
      <c r="B1598" s="22" t="inlineStr">
        <is>
          <t>Клуб Рослин</t>
        </is>
      </c>
      <c r="C1598" s="22" t="inlineStr">
        <is>
          <t>2249</t>
        </is>
      </c>
      <c r="D1598" s="22" t="inlineStr">
        <is>
          <t>2249</t>
        </is>
      </c>
      <c r="E1598" s="21" t="inlineStr">
        <is>
          <t>Інсекто-акарицид Максі Флор 5 л Агро-Захист Україна</t>
        </is>
      </c>
      <c r="F1598" s="21" t="inlineStr">
        <is>
          <t>Гортензія волотиста Лаймлайт Штамб PC19 C15 / Pa100</t>
        </is>
      </c>
      <c r="G1598" s="23" t="n">
        <v>725</v>
      </c>
      <c r="H1598" s="23" t="n">
        <v>1685</v>
      </c>
      <c r="I1598" s="21" t="inlineStr">
        <is>
          <t>ID постачальника збігся, але назви різні</t>
        </is>
      </c>
    </row>
    <row r="1599">
      <c r="A1599" s="22" t="n">
        <v>30</v>
      </c>
      <c r="B1599" s="22" t="inlineStr">
        <is>
          <t>Клуб Рослин</t>
        </is>
      </c>
      <c r="C1599" s="22" t="inlineStr">
        <is>
          <t>1152</t>
        </is>
      </c>
      <c r="D1599" s="22" t="inlineStr">
        <is>
          <t>1152</t>
        </is>
      </c>
      <c r="E1599" s="21" t="inlineStr">
        <is>
          <t>Гербіцид Луазит 1 л Хімагромаркетинг Україна</t>
        </is>
      </c>
      <c r="F1599" s="21" t="inlineStr">
        <is>
          <t>Калла Пікассо 14+</t>
        </is>
      </c>
      <c r="G1599" s="23" t="n">
        <v>648</v>
      </c>
      <c r="H1599" s="23" t="n">
        <v>50</v>
      </c>
      <c r="I1599" s="21" t="inlineStr">
        <is>
          <t>ID постачальника збігся, але назви різні</t>
        </is>
      </c>
    </row>
    <row r="1600">
      <c r="A1600" s="22" t="n">
        <v>30</v>
      </c>
      <c r="B1600" s="22" t="inlineStr">
        <is>
          <t>Клуб Рослин</t>
        </is>
      </c>
      <c r="C1600" s="22" t="inlineStr">
        <is>
          <t>7922</t>
        </is>
      </c>
      <c r="D1600" s="22" t="inlineStr">
        <is>
          <t>7922</t>
        </is>
      </c>
      <c r="E1600" s="21" t="inlineStr">
        <is>
          <t>Біостимулятор Ікар Хайго Інфра / Ikar Higo Infra 0.5 л Литва</t>
        </is>
      </c>
      <c r="F1600" s="21" t="inlineStr">
        <is>
          <t>Туя західна (ий) Смарагд Спіраль G+C / H120-140</t>
        </is>
      </c>
      <c r="G1600" s="23" t="n">
        <v>493</v>
      </c>
      <c r="H1600" s="23" t="n">
        <v>4800</v>
      </c>
      <c r="I1600" s="21" t="inlineStr">
        <is>
          <t>ID постачальника збігся, але назви різні</t>
        </is>
      </c>
    </row>
    <row r="1601">
      <c r="A1601" s="22" t="n">
        <v>30</v>
      </c>
      <c r="B1601" s="22" t="inlineStr">
        <is>
          <t>Клуб Рослин</t>
        </is>
      </c>
      <c r="C1601" s="22" t="inlineStr">
        <is>
          <t>2444</t>
        </is>
      </c>
      <c r="D1601" s="22" t="inlineStr">
        <is>
          <t>2444</t>
        </is>
      </c>
      <c r="E1601" s="21" t="inlineStr">
        <is>
          <t>Нож Bahco 2444 (Универсальний) Бахо</t>
        </is>
      </c>
      <c r="F1601" s="21" t="inlineStr">
        <is>
          <t>Ялівець китайський Блю Альпс Бонсай K G / H100-120</t>
        </is>
      </c>
      <c r="G1601" s="23" t="n">
        <v>485</v>
      </c>
      <c r="H1601" s="23" t="n">
        <v>12000</v>
      </c>
      <c r="I1601" s="21" t="inlineStr">
        <is>
          <t>ID постачальника збігся, але назви різні</t>
        </is>
      </c>
    </row>
    <row r="1602">
      <c r="A1602" s="22" t="n">
        <v>30</v>
      </c>
      <c r="B1602" s="22" t="inlineStr">
        <is>
          <t>Клуб Рослин</t>
        </is>
      </c>
      <c r="C1602" s="22" t="inlineStr">
        <is>
          <t>7134</t>
        </is>
      </c>
      <c r="D1602" s="22" t="inlineStr">
        <is>
          <t>7134</t>
        </is>
      </c>
      <c r="E1602" s="21" t="inlineStr">
        <is>
          <t>Добриво Гуміголд GumiGold (Гумат калію) 1 кг Кіссон Україна</t>
        </is>
      </c>
      <c r="F1602" s="21" t="inlineStr">
        <is>
          <t>Троянда густоквіткова Фрезія Штамб GK / Pa100</t>
        </is>
      </c>
      <c r="G1602" s="23" t="n">
        <v>298</v>
      </c>
      <c r="H1602" s="23" t="n">
        <v>420</v>
      </c>
      <c r="I1602" s="21" t="inlineStr">
        <is>
          <t>ID постачальника збігся, але різні бренди</t>
        </is>
      </c>
    </row>
    <row r="1603">
      <c r="A1603" s="22" t="n">
        <v>30</v>
      </c>
      <c r="B1603" s="22" t="inlineStr">
        <is>
          <t>Клуб Рослин</t>
        </is>
      </c>
      <c r="C1603" s="22" t="inlineStr">
        <is>
          <t>3677</t>
        </is>
      </c>
      <c r="D1603" s="22" t="inlineStr">
        <is>
          <t>3677</t>
        </is>
      </c>
      <c r="E1603" s="21" t="inlineStr">
        <is>
          <t>Біофунгіцид дезинфектант Йодоцид 1 л Агромаг Україна</t>
        </is>
      </c>
      <c r="F1603" s="21" t="inlineStr">
        <is>
          <t>N - тестер (ручний датчик азоту)</t>
        </is>
      </c>
      <c r="G1603" s="23" t="n">
        <v>265</v>
      </c>
      <c r="H1603" s="23" t="n">
        <v>21630</v>
      </c>
      <c r="I1603" s="21" t="inlineStr">
        <is>
          <t>ID постачальника збігся, але назви різні</t>
        </is>
      </c>
    </row>
    <row r="1604">
      <c r="A1604" s="22" t="n">
        <v>30</v>
      </c>
      <c r="B1604" s="22" t="inlineStr">
        <is>
          <t>Клуб Рослин</t>
        </is>
      </c>
      <c r="C1604" s="22" t="inlineStr">
        <is>
          <t>2248</t>
        </is>
      </c>
      <c r="D1604" s="22" t="inlineStr">
        <is>
          <t>2248</t>
        </is>
      </c>
      <c r="E1604" s="21" t="inlineStr">
        <is>
          <t>Інсекто-акарицид Максі Флор 1 л Агро-Захист Україна</t>
        </is>
      </c>
      <c r="F1604" s="21" t="inlineStr">
        <is>
          <t>Гортензія волотиста Лаймлайт Штамб PC18 C10 / Pa100</t>
        </is>
      </c>
      <c r="G1604" s="23" t="n">
        <v>175</v>
      </c>
      <c r="H1604" s="23" t="n">
        <v>1260</v>
      </c>
      <c r="I1604" s="21" t="inlineStr">
        <is>
          <t>ID постачальника збігся, але назви різні</t>
        </is>
      </c>
    </row>
    <row r="1605">
      <c r="A1605" s="22" t="n">
        <v>29.9</v>
      </c>
      <c r="B1605" s="22" t="inlineStr">
        <is>
          <t>Водоспад</t>
        </is>
      </c>
      <c r="C1605" s="22" t="inlineStr">
        <is>
          <t>40-262</t>
        </is>
      </c>
      <c r="D1605" s="22" t="inlineStr">
        <is>
          <t>40262</t>
        </is>
      </c>
      <c r="E1605" s="21" t="inlineStr">
        <is>
          <t>Ніж садовий для окулірування Целлфаст / Cellfast 40-262 Польща</t>
        </is>
      </c>
      <c r="F1605" s="21" t="inlineStr">
        <is>
          <t>Набір лобзикових пил Bosch Wood 10 шт (2607011169)</t>
        </is>
      </c>
      <c r="G1605" s="23" t="n">
        <v>548</v>
      </c>
      <c r="H1605" s="23" t="n">
        <v>523</v>
      </c>
      <c r="I1605" s="21" t="inlineStr">
        <is>
          <t>ID постачальника збігся, але різні бренди</t>
        </is>
      </c>
    </row>
    <row r="1606">
      <c r="A1606" s="22" t="n">
        <v>29.9</v>
      </c>
      <c r="B1606" s="22" t="inlineStr">
        <is>
          <t>Клуб Рослин</t>
        </is>
      </c>
      <c r="C1606" s="22" t="inlineStr">
        <is>
          <t>2277</t>
        </is>
      </c>
      <c r="D1606" s="22" t="inlineStr">
        <is>
          <t>2277</t>
        </is>
      </c>
      <c r="E1606" s="21" t="inlineStr">
        <is>
          <t>Інсектицид Біскайя 5 л Bayer Байєр Німмечина</t>
        </is>
      </c>
      <c r="F1606" s="21" t="inlineStr">
        <is>
          <t>Гортензія волотиста Межджікал Кендл PC20 C3</t>
        </is>
      </c>
      <c r="G1606" s="23" t="n">
        <v>10998</v>
      </c>
      <c r="H1606" s="23" t="n">
        <v>240</v>
      </c>
      <c r="I1606" s="21" t="inlineStr">
        <is>
          <t>ID постачальника збігся, але назви різні</t>
        </is>
      </c>
    </row>
    <row r="1607">
      <c r="A1607" s="22" t="n">
        <v>29.9</v>
      </c>
      <c r="B1607" s="22" t="inlineStr">
        <is>
          <t>Клуб Рослин</t>
        </is>
      </c>
      <c r="C1607" s="22" t="inlineStr">
        <is>
          <t>7091</t>
        </is>
      </c>
      <c r="D1607" s="22" t="inlineStr">
        <is>
          <t>10221</t>
        </is>
      </c>
      <c r="E1607" s="21" t="inlineStr">
        <is>
          <t>Добриво Опіфол Баланс / Optifol Equilibrium 15-15-15 25 кг Valagro Італія</t>
        </is>
      </c>
      <c r="F1607" s="21" t="inlineStr">
        <is>
          <t>Контейнер квадрат 15*15*15см, 3,0л (15*15*15)</t>
        </is>
      </c>
      <c r="G1607" s="23" t="n">
        <v>4500</v>
      </c>
      <c r="H1607" s="23" t="n">
        <v>6</v>
      </c>
      <c r="I1607" s="21" t="inlineStr">
        <is>
          <t>код збігся, але різні об'єми або розміри</t>
        </is>
      </c>
    </row>
    <row r="1608">
      <c r="A1608" s="22" t="n">
        <v>29.9</v>
      </c>
      <c r="B1608" s="22" t="inlineStr">
        <is>
          <t>Клуб Рослин</t>
        </is>
      </c>
      <c r="C1608" s="22" t="inlineStr">
        <is>
          <t>2150</t>
        </is>
      </c>
      <c r="D1608" s="22" t="inlineStr">
        <is>
          <t>2150</t>
        </is>
      </c>
      <c r="E1608" s="21" t="inlineStr">
        <is>
          <t>Інсектицид Сіванто Прайм 1 л Bayer Байєр Німеччина</t>
        </is>
      </c>
      <c r="F1608" s="21" t="inlineStr">
        <is>
          <t>Гортензія великолисткова Меджікал Брайд ® 3gr PC20 C5 / H50-60</t>
        </is>
      </c>
      <c r="G1608" s="23" t="n">
        <v>4148</v>
      </c>
      <c r="H1608" s="23" t="n">
        <v>720</v>
      </c>
      <c r="I1608" s="21" t="inlineStr">
        <is>
          <t>ID постачальника збігся, але назви різні</t>
        </is>
      </c>
    </row>
    <row r="1609">
      <c r="A1609" s="22" t="n">
        <v>29.9</v>
      </c>
      <c r="B1609" s="22" t="inlineStr">
        <is>
          <t>Клуб Рослин</t>
        </is>
      </c>
      <c r="C1609" s="22" t="inlineStr">
        <is>
          <t>7112</t>
        </is>
      </c>
      <c r="D1609" s="22" t="inlineStr">
        <is>
          <t>7112</t>
        </is>
      </c>
      <c r="E1609" s="21" t="inlineStr">
        <is>
          <t>Добриво Авангард Бор 20 л Ukravit Укравіт Україна</t>
        </is>
      </c>
      <c r="F1609" s="21" t="inlineStr">
        <is>
          <t>Троянда плетиста Пінк Мусімара PC17 C2</t>
        </is>
      </c>
      <c r="G1609" s="23" t="n">
        <v>3175</v>
      </c>
      <c r="H1609" s="23" t="n">
        <v>70</v>
      </c>
      <c r="I1609" s="21" t="inlineStr">
        <is>
          <t>ID постачальника збігся, але назви різні</t>
        </is>
      </c>
    </row>
    <row r="1610">
      <c r="A1610" s="22" t="n">
        <v>29.9</v>
      </c>
      <c r="B1610" s="22" t="inlineStr">
        <is>
          <t>Клуб Рослин</t>
        </is>
      </c>
      <c r="C1610" s="22" t="inlineStr">
        <is>
          <t>3208</t>
        </is>
      </c>
      <c r="D1610" s="22" t="inlineStr">
        <is>
          <t>3208</t>
        </is>
      </c>
      <c r="E1610" s="21" t="inlineStr">
        <is>
          <t>Фунгіцид Тілт 250 ЕС КЕ 5 л Syngenta Сингента Швейцарія</t>
        </is>
      </c>
      <c r="F1610" s="21" t="inlineStr">
        <is>
          <t>Лілія ОТ-гібридна Ред Датч 12\14</t>
        </is>
      </c>
      <c r="G1610" s="23" t="n">
        <v>3120</v>
      </c>
      <c r="H1610" s="23" t="n">
        <v>50</v>
      </c>
      <c r="I1610" s="21" t="inlineStr">
        <is>
          <t>ID постачальника збігся, але назви різні</t>
        </is>
      </c>
    </row>
    <row r="1611">
      <c r="A1611" s="22" t="n">
        <v>29.9</v>
      </c>
      <c r="B1611" s="22" t="inlineStr">
        <is>
          <t>Клуб Рослин</t>
        </is>
      </c>
      <c r="C1611" s="22" t="inlineStr">
        <is>
          <t>3245</t>
        </is>
      </c>
      <c r="D1611" s="22" t="inlineStr">
        <is>
          <t>3245</t>
        </is>
      </c>
      <c r="E1611" s="21" t="inlineStr">
        <is>
          <t>Фунгіцид Карнеоль 5 л Adama Адама Ізраїль</t>
        </is>
      </c>
      <c r="F1611" s="21" t="inlineStr">
        <is>
          <t>Ліріодендрон (Тюльпанове дерево) тюльпановий Фастігіатум C20 / H250-300</t>
        </is>
      </c>
      <c r="G1611" s="23" t="n">
        <v>2998</v>
      </c>
      <c r="H1611" s="23" t="n">
        <v>8280</v>
      </c>
      <c r="I1611" s="21" t="inlineStr">
        <is>
          <t>ID постачальника збігся, але назви різні</t>
        </is>
      </c>
    </row>
    <row r="1612">
      <c r="A1612" s="22" t="n">
        <v>29.9</v>
      </c>
      <c r="B1612" s="22" t="inlineStr">
        <is>
          <t>Клуб Рослин</t>
        </is>
      </c>
      <c r="C1612" s="22" t="inlineStr">
        <is>
          <t>5007</t>
        </is>
      </c>
      <c r="D1612" s="22" t="inlineStr">
        <is>
          <t>5007</t>
        </is>
      </c>
      <c r="E1612" s="21" t="inlineStr">
        <is>
          <t>Протруйник Венцедор 5 л Alfa Smart Agro Альфа Смарт Агро Україна</t>
        </is>
      </c>
      <c r="F1612" s="21" t="inlineStr">
        <is>
          <t>Сосна густоквіткова Умбракуліфера G / H100-125</t>
        </is>
      </c>
      <c r="G1612" s="23" t="n">
        <v>1625</v>
      </c>
      <c r="H1612" s="23" t="n">
        <v>5895</v>
      </c>
      <c r="I1612" s="21" t="inlineStr">
        <is>
          <t>ID постачальника збігся, але назви різні</t>
        </is>
      </c>
    </row>
    <row r="1613">
      <c r="A1613" s="22" t="n">
        <v>29.9</v>
      </c>
      <c r="B1613" s="22" t="inlineStr">
        <is>
          <t>Клуб Рослин</t>
        </is>
      </c>
      <c r="C1613" s="22" t="inlineStr">
        <is>
          <t>1028</t>
        </is>
      </c>
      <c r="D1613" s="22" t="inlineStr">
        <is>
          <t>1028</t>
        </is>
      </c>
      <c r="E1613" s="21" t="inlineStr">
        <is>
          <t>Гербіцид Містраль 1 кг Аdama Адама Ізраїль</t>
        </is>
      </c>
      <c r="F1613" s="21" t="inlineStr">
        <is>
          <t>Барбарис Тунберга Саммер Сансет ® PC20 C3 / H30-35</t>
        </is>
      </c>
      <c r="G1613" s="23" t="n">
        <v>1298</v>
      </c>
      <c r="H1613" s="23" t="n">
        <v>232</v>
      </c>
      <c r="I1613" s="21" t="inlineStr">
        <is>
          <t>ID постачальника збігся, але назви різні</t>
        </is>
      </c>
    </row>
    <row r="1614">
      <c r="A1614" s="22" t="n">
        <v>29.9</v>
      </c>
      <c r="B1614" s="22" t="inlineStr">
        <is>
          <t>Клуб Рослин</t>
        </is>
      </c>
      <c r="C1614" s="22" t="inlineStr">
        <is>
          <t>7185</t>
        </is>
      </c>
      <c r="D1614" s="22" t="inlineStr">
        <is>
          <t>7185</t>
        </is>
      </c>
      <c r="E1614" s="21" t="inlineStr">
        <is>
          <t>Добриво Новалон Сід Трітмент Novalon Seed Treatment 1 кг TERRA TARSA Туреччина</t>
        </is>
      </c>
      <c r="F1614" s="21" t="inlineStr">
        <is>
          <t>Троянда гібридний(а) Керн SP G</t>
        </is>
      </c>
      <c r="G1614" s="23" t="n">
        <v>500</v>
      </c>
      <c r="H1614" s="23" t="n">
        <v>44</v>
      </c>
      <c r="I1614" s="21" t="inlineStr">
        <is>
          <t>ID постачальника збігся, але різні бренди</t>
        </is>
      </c>
    </row>
    <row r="1615">
      <c r="A1615" s="22" t="n">
        <v>29.9</v>
      </c>
      <c r="B1615" s="22" t="inlineStr">
        <is>
          <t>Клуб Рослин</t>
        </is>
      </c>
      <c r="C1615" s="22" t="inlineStr">
        <is>
          <t>2046</t>
        </is>
      </c>
      <c r="D1615" s="22" t="inlineStr">
        <is>
          <t>2046</t>
        </is>
      </c>
      <c r="E1615" s="21" t="inlineStr">
        <is>
          <t>Інсектицид Залп 1 л Alfa Smart Agro / Альфа Смарт Агро Україна</t>
        </is>
      </c>
      <c r="F1615" s="21" t="inlineStr">
        <is>
          <t>Гібіскус сірійський Мультіколор Штамб C15 / Pa100</t>
        </is>
      </c>
      <c r="G1615" s="23" t="n">
        <v>624</v>
      </c>
      <c r="H1615" s="23" t="n">
        <v>1594</v>
      </c>
      <c r="I1615" s="21" t="inlineStr">
        <is>
          <t>ID постачальника збігся, але назви різні</t>
        </is>
      </c>
    </row>
    <row r="1616">
      <c r="A1616" s="22" t="n">
        <v>29.9</v>
      </c>
      <c r="B1616" s="22" t="inlineStr">
        <is>
          <t>Клуб Рослин</t>
        </is>
      </c>
      <c r="C1616" s="22" t="inlineStr">
        <is>
          <t>8096</t>
        </is>
      </c>
      <c r="D1616" s="22" t="inlineStr">
        <is>
          <t>8096</t>
        </is>
      </c>
      <c r="E1616" s="21" t="inlineStr">
        <is>
          <t>Добриво Osmocote / Хобі Осмокот для гортензій 12-8-19 (5-6 М) 1 кг ICL Нідерланди</t>
        </is>
      </c>
      <c r="F1616" s="21" t="inlineStr">
        <is>
          <t>Чорниця висока (Голубика, Лохина) Блюкроп PC20 C12 / H60-80</t>
        </is>
      </c>
      <c r="G1616" s="23" t="n">
        <v>623</v>
      </c>
      <c r="H1616" s="23" t="n">
        <v>828</v>
      </c>
      <c r="I1616" s="21" t="inlineStr">
        <is>
          <t>ID постачальника збігся, але назви різні</t>
        </is>
      </c>
    </row>
    <row r="1617">
      <c r="A1617" s="22" t="n">
        <v>29.9</v>
      </c>
      <c r="B1617" s="22" t="inlineStr">
        <is>
          <t>Клуб Рослин</t>
        </is>
      </c>
      <c r="C1617" s="22" t="inlineStr">
        <is>
          <t>2086</t>
        </is>
      </c>
      <c r="D1617" s="22" t="inlineStr">
        <is>
          <t>2086</t>
        </is>
      </c>
      <c r="E1617" s="21" t="inlineStr">
        <is>
          <t>Інсектицид АТО Жук 500 мл Ukravit Укравіт Україна</t>
        </is>
      </c>
      <c r="F1617" s="21" t="inlineStr">
        <is>
          <t>Гіацинт Аіда 15\16</t>
        </is>
      </c>
      <c r="G1617" s="23" t="n">
        <v>598</v>
      </c>
      <c r="H1617" s="23" t="n">
        <v>25</v>
      </c>
      <c r="I1617" s="21" t="inlineStr">
        <is>
          <t>ID постачальника збігся, але назви різні</t>
        </is>
      </c>
    </row>
    <row r="1618">
      <c r="A1618" s="22" t="n">
        <v>29.9</v>
      </c>
      <c r="B1618" s="22" t="inlineStr">
        <is>
          <t>Клуб Рослин</t>
        </is>
      </c>
      <c r="C1618" s="22" t="inlineStr">
        <is>
          <t>7924</t>
        </is>
      </c>
      <c r="D1618" s="22" t="inlineStr">
        <is>
          <t>7924</t>
        </is>
      </c>
      <c r="E1618" s="21" t="inlineStr">
        <is>
          <t>Добриво Ікар Інтенс Фруктовий / Ikar Intense Fruit 0.5 л Литва</t>
        </is>
      </c>
      <c r="F1618" s="21" t="inlineStr">
        <is>
          <t>Туя західна (ий) Смарагд Спіраль K20 C230 / H200-225</t>
        </is>
      </c>
      <c r="G1618" s="23" t="n">
        <v>585</v>
      </c>
      <c r="H1618" s="23" t="n">
        <v>4347</v>
      </c>
      <c r="I1618" s="21" t="inlineStr">
        <is>
          <t>ID постачальника збігся, але назви різні</t>
        </is>
      </c>
    </row>
    <row r="1619">
      <c r="A1619" s="22" t="n">
        <v>29.9</v>
      </c>
      <c r="B1619" s="22" t="inlineStr">
        <is>
          <t>Клуб Рослин</t>
        </is>
      </c>
      <c r="C1619" s="22" t="inlineStr">
        <is>
          <t>2219</t>
        </is>
      </c>
      <c r="D1619" s="22" t="inlineStr">
        <is>
          <t>2219</t>
        </is>
      </c>
      <c r="E1619" s="21" t="inlineStr">
        <is>
          <t>Інсектицид Енжіо 247 SC КС 250 мл (розлив) Syngenta Сингента Швейцария</t>
        </is>
      </c>
      <c r="F1619" s="21" t="inlineStr">
        <is>
          <t>Гортензія волотиста Грандіфлора PC21 C3</t>
        </is>
      </c>
      <c r="G1619" s="23" t="n">
        <v>520</v>
      </c>
      <c r="H1619" s="23" t="n">
        <v>240</v>
      </c>
      <c r="I1619" s="21" t="inlineStr">
        <is>
          <t>ID постачальника збігся, але назви різні</t>
        </is>
      </c>
    </row>
    <row r="1620">
      <c r="A1620" s="22" t="n">
        <v>29.9</v>
      </c>
      <c r="B1620" s="22" t="inlineStr">
        <is>
          <t>Клуб Рослин</t>
        </is>
      </c>
      <c r="C1620" s="22" t="inlineStr">
        <is>
          <t>2208</t>
        </is>
      </c>
      <c r="D1620" s="22" t="inlineStr">
        <is>
          <t>2208</t>
        </is>
      </c>
      <c r="E1620" s="21" t="inlineStr">
        <is>
          <t>Біоінсектицид ґрунтовий Ентоцид (Метаризін) 0.2 1 кг Enzim Biotech Agro / Ензим Біотех Агро Україна</t>
        </is>
      </c>
      <c r="F1620" s="21" t="inlineStr">
        <is>
          <t>Гортензія волотиста Діамантіно C3 / H30-40</t>
        </is>
      </c>
      <c r="G1620" s="23" t="n">
        <v>516</v>
      </c>
      <c r="H1620" s="23" t="n">
        <v>240</v>
      </c>
      <c r="I1620" s="21" t="inlineStr">
        <is>
          <t>ID постачальника збігся, але назви різні</t>
        </is>
      </c>
    </row>
    <row r="1621">
      <c r="A1621" s="22" t="n">
        <v>29.9</v>
      </c>
      <c r="B1621" s="22" t="inlineStr">
        <is>
          <t>Клуб Рослин</t>
        </is>
      </c>
      <c r="C1621" s="22" t="inlineStr">
        <is>
          <t>2084</t>
        </is>
      </c>
      <c r="D1621" s="22" t="inlineStr">
        <is>
          <t>2084</t>
        </is>
      </c>
      <c r="E1621" s="21" t="inlineStr">
        <is>
          <t>Інсектицид Бі-58 Топ 1 л Basf Басф Німеччина</t>
        </is>
      </c>
      <c r="F1621" s="21" t="inlineStr">
        <is>
          <t>Гібіскус сірійський Вудбрідж Штамб C20 / Pa150</t>
        </is>
      </c>
      <c r="G1621" s="23" t="n">
        <v>450</v>
      </c>
      <c r="H1621" s="23" t="n">
        <v>2880</v>
      </c>
      <c r="I1621" s="21" t="inlineStr">
        <is>
          <t>ID постачальника збігся, але назви різні</t>
        </is>
      </c>
    </row>
    <row r="1622">
      <c r="A1622" s="22" t="n">
        <v>29.9</v>
      </c>
      <c r="B1622" s="22" t="inlineStr">
        <is>
          <t>Клуб Рослин</t>
        </is>
      </c>
      <c r="C1622" s="22" t="inlineStr">
        <is>
          <t>8098</t>
        </is>
      </c>
      <c r="D1622" s="22" t="inlineStr">
        <is>
          <t>8098</t>
        </is>
      </c>
      <c r="E1622" s="21" t="inlineStr">
        <is>
          <t>Добриво Osmocote / Хобі Осмокот для овочевих культур 6-13-24 (2-3 М) 1 кг ICL Нідерланди</t>
        </is>
      </c>
      <c r="F1622" s="21" t="inlineStr">
        <is>
          <t>Чорниця висока (Голубика, Лохина) Блюкроп PC20 C18 / H40-60</t>
        </is>
      </c>
      <c r="G1622" s="23" t="n">
        <v>231</v>
      </c>
      <c r="H1622" s="23" t="n">
        <v>828</v>
      </c>
      <c r="I1622" s="21" t="inlineStr">
        <is>
          <t>ID постачальника збігся, але назви різні</t>
        </is>
      </c>
    </row>
    <row r="1623">
      <c r="A1623" s="22" t="n">
        <v>29.8</v>
      </c>
      <c r="B1623" s="22" t="inlineStr">
        <is>
          <t>Клуб Рослин</t>
        </is>
      </c>
      <c r="C1623" s="22" t="inlineStr">
        <is>
          <t>7314</t>
        </is>
      </c>
      <c r="D1623" s="22" t="inlineStr">
        <is>
          <t>7314</t>
        </is>
      </c>
      <c r="E1623" s="21" t="inlineStr">
        <is>
          <t>Добриво Кафом Кальцій / Kafom Ca 20 л Meristem Мерістем Іспанія</t>
        </is>
      </c>
      <c r="F1623" s="21" t="inlineStr">
        <is>
          <t>Верба x сімулатрикс Штамб C3 / Pa60</t>
        </is>
      </c>
      <c r="G1623" s="23" t="n">
        <v>14098</v>
      </c>
      <c r="H1623" s="23" t="n">
        <v>305</v>
      </c>
      <c r="I1623" s="21" t="inlineStr">
        <is>
          <t>ID постачальника збігся, але назви різні</t>
        </is>
      </c>
    </row>
    <row r="1624">
      <c r="A1624" s="22" t="n">
        <v>29.8</v>
      </c>
      <c r="B1624" s="22" t="inlineStr">
        <is>
          <t>Клуб Рослин</t>
        </is>
      </c>
      <c r="C1624" s="22" t="inlineStr">
        <is>
          <t>7570</t>
        </is>
      </c>
      <c r="D1624" s="22" t="inlineStr">
        <is>
          <t>7570</t>
        </is>
      </c>
      <c r="E1624" s="21" t="inlineStr">
        <is>
          <t>Рідке добриво Мерістем Калібор / Meristem Calibor 20 л Іспанія</t>
        </is>
      </c>
      <c r="F1624" s="21" t="inlineStr">
        <is>
          <t>Тис ягідний (а) Спіраль C250 / H225-250</t>
        </is>
      </c>
      <c r="G1624" s="23" t="n">
        <v>10953</v>
      </c>
      <c r="H1624" s="23" t="n">
        <v>18130</v>
      </c>
      <c r="I1624" s="21" t="inlineStr">
        <is>
          <t>ID постачальника збігся, але назви різні</t>
        </is>
      </c>
    </row>
    <row r="1625">
      <c r="A1625" s="22" t="n">
        <v>29.8</v>
      </c>
      <c r="B1625" s="22" t="inlineStr">
        <is>
          <t>Клуб Рослин</t>
        </is>
      </c>
      <c r="C1625" s="22" t="inlineStr">
        <is>
          <t>7978</t>
        </is>
      </c>
      <c r="D1625" s="22" t="inlineStr">
        <is>
          <t>7978</t>
        </is>
      </c>
      <c r="E1625" s="21" t="inlineStr">
        <is>
          <t>Добриво Борон / Boron 21 PG 5 кг L.Gobbi Італія</t>
        </is>
      </c>
      <c r="F1625" s="21" t="inlineStr">
        <is>
          <t>Туя складчата Зебріна Екстра Голд K20 C65 / H140-160</t>
        </is>
      </c>
      <c r="G1625" s="23" t="n">
        <v>2685</v>
      </c>
      <c r="H1625" s="23" t="n">
        <v>4800</v>
      </c>
      <c r="I1625" s="21" t="inlineStr">
        <is>
          <t>ID постачальника збігся, але назви різні</t>
        </is>
      </c>
    </row>
    <row r="1626">
      <c r="A1626" s="22" t="n">
        <v>29.8</v>
      </c>
      <c r="B1626" s="22" t="inlineStr">
        <is>
          <t>Клуб Рослин</t>
        </is>
      </c>
      <c r="C1626" s="22" t="inlineStr">
        <is>
          <t>7956</t>
        </is>
      </c>
      <c r="D1626" s="22" t="inlineStr">
        <is>
          <t>7956</t>
        </is>
      </c>
      <c r="E1626" s="21" t="inlineStr">
        <is>
          <t>Добриво МагНіт (Нітрат магнію) / MagNit 25 кг Agril Польща</t>
        </is>
      </c>
      <c r="F1626" s="21" t="inlineStr">
        <is>
          <t>Туя складчата Форева Голді PC21 C3 / H35-40</t>
        </is>
      </c>
      <c r="G1626" s="23" t="n">
        <v>1248</v>
      </c>
      <c r="H1626" s="23" t="n">
        <v>180</v>
      </c>
      <c r="I1626" s="21" t="inlineStr">
        <is>
          <t>ID постачальника збігся, але назви різні</t>
        </is>
      </c>
    </row>
    <row r="1627">
      <c r="A1627" s="22" t="n">
        <v>29.8</v>
      </c>
      <c r="B1627" s="22" t="inlineStr">
        <is>
          <t>Клуб Рослин</t>
        </is>
      </c>
      <c r="C1627" s="22" t="inlineStr">
        <is>
          <t>2110</t>
        </is>
      </c>
      <c r="D1627" s="22" t="inlineStr">
        <is>
          <t>2110</t>
        </is>
      </c>
      <c r="E1627" s="21" t="inlineStr">
        <is>
          <t>Інсектицид Фас КС 5 л Ukravit Укравіт Україна</t>
        </is>
      </c>
      <c r="F1627" s="21" t="inlineStr">
        <is>
          <t>Гортензія великолисткова Кайпірінха PC21 C5 / H45-50</t>
        </is>
      </c>
      <c r="G1627" s="23" t="n">
        <v>1125</v>
      </c>
      <c r="H1627" s="23" t="n">
        <v>378</v>
      </c>
      <c r="I1627" s="21" t="inlineStr">
        <is>
          <t>ID постачальника збігся, але назви різні</t>
        </is>
      </c>
    </row>
    <row r="1628">
      <c r="A1628" s="22" t="n">
        <v>29.8</v>
      </c>
      <c r="B1628" s="22" t="inlineStr">
        <is>
          <t>Клуб Рослин</t>
        </is>
      </c>
      <c r="C1628" s="22" t="inlineStr">
        <is>
          <t>7911</t>
        </is>
      </c>
      <c r="D1628" s="22" t="inlineStr">
        <is>
          <t>7911</t>
        </is>
      </c>
      <c r="E1628" s="21" t="inlineStr">
        <is>
          <t>Добриво Леда Нітрат магнію / Leda Maganit 11-0-0+16MgO 25 кг Бельгія</t>
        </is>
      </c>
      <c r="F1628" s="21" t="inlineStr">
        <is>
          <t>Туя західна (ий) Смарагд Пон-Пон C55 / H140-160</t>
        </is>
      </c>
      <c r="G1628" s="23" t="n">
        <v>1120</v>
      </c>
      <c r="H1628" s="23" t="n">
        <v>5796</v>
      </c>
      <c r="I1628" s="21" t="inlineStr">
        <is>
          <t>ID постачальника збігся, але назви різні</t>
        </is>
      </c>
    </row>
    <row r="1629">
      <c r="A1629" s="22" t="n">
        <v>29.8</v>
      </c>
      <c r="B1629" s="22" t="inlineStr">
        <is>
          <t>Клуб Рослин</t>
        </is>
      </c>
      <c r="C1629" s="22" t="inlineStr">
        <is>
          <t>7955</t>
        </is>
      </c>
      <c r="D1629" s="22" t="inlineStr">
        <is>
          <t>7955</t>
        </is>
      </c>
      <c r="E1629" s="21" t="inlineStr">
        <is>
          <t>Добриво Ел-Джі 81/ LG 81 1 л L.Gobbi Італія</t>
        </is>
      </c>
      <c r="F1629" s="21" t="inlineStr">
        <is>
          <t>Туя складчата Форева Голді PC20 C5 / L30-35</t>
        </is>
      </c>
      <c r="G1629" s="23" t="n">
        <v>988</v>
      </c>
      <c r="H1629" s="23" t="n">
        <v>384</v>
      </c>
      <c r="I1629" s="21" t="inlineStr">
        <is>
          <t>ID постачальника збігся, але назви різні</t>
        </is>
      </c>
    </row>
    <row r="1630">
      <c r="A1630" s="22" t="n">
        <v>29.8</v>
      </c>
      <c r="B1630" s="22" t="inlineStr">
        <is>
          <t>Клуб Рослин</t>
        </is>
      </c>
      <c r="C1630" s="22" t="inlineStr">
        <is>
          <t>8093</t>
        </is>
      </c>
      <c r="D1630" s="22" t="inlineStr">
        <is>
          <t>8093</t>
        </is>
      </c>
      <c r="E1630" s="21" t="inlineStr">
        <is>
          <t>Добриво Хоббі Осмокот / Osmocote Preplant 17-8-10 (16-18 M) 1 кг ICL Нідерланди</t>
        </is>
      </c>
      <c r="F1630" s="21" t="inlineStr">
        <is>
          <t>Чорниця висока (Голубика, Лохина) Блюкроп C10 / H80-100</t>
        </is>
      </c>
      <c r="G1630" s="23" t="n">
        <v>504</v>
      </c>
      <c r="H1630" s="23" t="n">
        <v>1080</v>
      </c>
      <c r="I1630" s="21" t="inlineStr">
        <is>
          <t>ID постачальника збігся, але різні коди виробника</t>
        </is>
      </c>
    </row>
    <row r="1631">
      <c r="A1631" s="22" t="n">
        <v>29.8</v>
      </c>
      <c r="B1631" s="22" t="inlineStr">
        <is>
          <t>Клуб Рослин</t>
        </is>
      </c>
      <c r="C1631" s="22" t="inlineStr">
        <is>
          <t>3413</t>
        </is>
      </c>
      <c r="D1631" s="22" t="inlineStr">
        <is>
          <t>3413</t>
        </is>
      </c>
      <c r="E1631" s="21" t="inlineStr">
        <is>
          <t>Фунгіцид Тіофен Турбо 1 л Хімагромаркетинг Україна</t>
        </is>
      </c>
      <c r="F1631" s="21" t="inlineStr">
        <is>
          <t>Магнолія лілієквіткова Нігра C65 / o12-14 / Pa200</t>
        </is>
      </c>
      <c r="G1631" s="23" t="n">
        <v>475</v>
      </c>
      <c r="H1631" s="23" t="n">
        <v>8650</v>
      </c>
      <c r="I1631" s="21" t="inlineStr">
        <is>
          <t>ID постачальника збігся, але назви різні</t>
        </is>
      </c>
    </row>
    <row r="1632">
      <c r="A1632" s="22" t="n">
        <v>29.8</v>
      </c>
      <c r="B1632" s="22" t="inlineStr">
        <is>
          <t>Клуб Рослин</t>
        </is>
      </c>
      <c r="C1632" s="22" t="inlineStr">
        <is>
          <t>7125</t>
        </is>
      </c>
      <c r="D1632" s="22" t="inlineStr">
        <is>
          <t>7125</t>
        </is>
      </c>
      <c r="E1632" s="21" t="inlineStr">
        <is>
          <t>Регулятор росту AgriFlex Humic Агріфлекс Гумік 1 кг CityMax СітіМакс</t>
        </is>
      </c>
      <c r="F1632" s="21" t="inlineStr">
        <is>
          <t>Троянда англійська Пенні Лейн DP PC19 C5 / H20-30</t>
        </is>
      </c>
      <c r="G1632" s="23" t="n">
        <v>448</v>
      </c>
      <c r="H1632" s="23" t="n">
        <v>183</v>
      </c>
      <c r="I1632" s="21" t="inlineStr">
        <is>
          <t>ID постачальника збігся, але різні бренди</t>
        </is>
      </c>
    </row>
    <row r="1633">
      <c r="A1633" s="22" t="n">
        <v>29.8</v>
      </c>
      <c r="B1633" s="22" t="inlineStr">
        <is>
          <t>Клуб Рослин</t>
        </is>
      </c>
      <c r="C1633" s="22" t="inlineStr">
        <is>
          <t>35-70</t>
        </is>
      </c>
      <c r="D1633" s="22" t="inlineStr">
        <is>
          <t>3570</t>
        </is>
      </c>
      <c r="E1633" s="21" t="inlineStr">
        <is>
          <t>Плодомір-калібратор для фруктів 35-70 мм (35-70) Eko-Plon Польща</t>
        </is>
      </c>
      <c r="F1633" s="21" t="inlineStr">
        <is>
          <t>Яблуня домашня Ананас Бенженицький Шпалера PC17 C12</t>
        </is>
      </c>
      <c r="G1633" s="23" t="n">
        <v>359</v>
      </c>
      <c r="H1633" s="23" t="n">
        <v>600</v>
      </c>
      <c r="I1633" s="21" t="inlineStr">
        <is>
          <t>ID постачальника збігся, але назви різні</t>
        </is>
      </c>
    </row>
    <row r="1634">
      <c r="A1634" s="22" t="n">
        <v>29.8</v>
      </c>
      <c r="B1634" s="22" t="inlineStr">
        <is>
          <t>Клуб Рослин</t>
        </is>
      </c>
      <c r="C1634" s="22" t="inlineStr">
        <is>
          <t>3678</t>
        </is>
      </c>
      <c r="D1634" s="22" t="inlineStr">
        <is>
          <t>3678</t>
        </is>
      </c>
      <c r="E1634" s="21" t="inlineStr">
        <is>
          <t>Фунгіцид Сірка суспензійна 800 КС 1 л AgroProtection Україна</t>
        </is>
      </c>
      <c r="F1634" s="21" t="inlineStr">
        <is>
          <t>Нандіна домашня Гулфстрім C8 / H30-40</t>
        </is>
      </c>
      <c r="G1634" s="23" t="n">
        <v>225</v>
      </c>
      <c r="H1634" s="23" t="n">
        <v>966</v>
      </c>
      <c r="I1634" s="21" t="inlineStr">
        <is>
          <t>ID постачальника збігся, але назви різні</t>
        </is>
      </c>
    </row>
    <row r="1635">
      <c r="A1635" s="22" t="n">
        <v>29.7</v>
      </c>
      <c r="B1635" s="22" t="inlineStr">
        <is>
          <t>Клуб Рослин</t>
        </is>
      </c>
      <c r="C1635" s="22" t="inlineStr">
        <is>
          <t>2345</t>
        </is>
      </c>
      <c r="D1635" s="22" t="inlineStr">
        <is>
          <t>2345</t>
        </is>
      </c>
      <c r="E1635" s="21" t="inlineStr">
        <is>
          <t>Інсектицид Floramite / Флорамайт 1 л Agri Sciences Туреччина</t>
        </is>
      </c>
      <c r="F1635" s="21" t="inlineStr">
        <is>
          <t>Гортензія волотиста Фантом PC21 C7,5 / H80-100</t>
        </is>
      </c>
      <c r="G1635" s="23" t="n">
        <v>8748</v>
      </c>
      <c r="H1635" s="23" t="n">
        <v>420</v>
      </c>
      <c r="I1635" s="21" t="inlineStr">
        <is>
          <t>ID постачальника збігся, але назви різні</t>
        </is>
      </c>
    </row>
    <row r="1636">
      <c r="A1636" s="22" t="n">
        <v>29.7</v>
      </c>
      <c r="B1636" s="22" t="inlineStr">
        <is>
          <t>Клуб Рослин</t>
        </is>
      </c>
      <c r="C1636" s="22" t="inlineStr">
        <is>
          <t>7264</t>
        </is>
      </c>
      <c r="D1636" s="22" t="inlineStr">
        <is>
          <t>7264</t>
        </is>
      </c>
      <c r="E1636" s="21" t="inlineStr">
        <is>
          <t>Добриво YaraTera Krista MKP ЯраТера Криста MKP Монокалій фосфат 0-52-34 25 кг Норвегія</t>
        </is>
      </c>
      <c r="F1636" s="21" t="inlineStr">
        <is>
          <t>Троянда паркова Ред Іден Роуз DP PC19 C5 / H20-30</t>
        </is>
      </c>
      <c r="G1636" s="23" t="n">
        <v>4298</v>
      </c>
      <c r="H1636" s="23" t="n">
        <v>145</v>
      </c>
      <c r="I1636" s="21" t="inlineStr">
        <is>
          <t>ID постачальника збігся, але різні бренди</t>
        </is>
      </c>
    </row>
    <row r="1637">
      <c r="A1637" s="22" t="n">
        <v>29.7</v>
      </c>
      <c r="B1637" s="22" t="inlineStr">
        <is>
          <t>Клуб Рослин</t>
        </is>
      </c>
      <c r="C1637" s="22" t="inlineStr">
        <is>
          <t>3272</t>
        </is>
      </c>
      <c r="D1637" s="22" t="inlineStr">
        <is>
          <t>3272</t>
        </is>
      </c>
      <c r="E1637" s="21" t="inlineStr">
        <is>
          <t>Фунгіцид Міланіт 5 л Нопосон</t>
        </is>
      </c>
      <c r="F1637" s="21" t="inlineStr">
        <is>
          <t>Жимолость камчатська (голуба) Дует PC21 C3 / H10-15</t>
        </is>
      </c>
      <c r="G1637" s="23" t="n">
        <v>4264</v>
      </c>
      <c r="H1637" s="23" t="n">
        <v>348</v>
      </c>
      <c r="I1637" s="21" t="inlineStr">
        <is>
          <t>ID постачальника збігся, але назви різні</t>
        </is>
      </c>
    </row>
    <row r="1638">
      <c r="A1638" s="22" t="n">
        <v>29.7</v>
      </c>
      <c r="B1638" s="22" t="inlineStr">
        <is>
          <t>Клуб Рослин</t>
        </is>
      </c>
      <c r="C1638" s="22" t="inlineStr">
        <is>
          <t>2354</t>
        </is>
      </c>
      <c r="D1638" s="22" t="inlineStr">
        <is>
          <t>2354</t>
        </is>
      </c>
      <c r="E1638" s="21" t="inlineStr">
        <is>
          <t>Біоінсектицид Арбінс Тут / Arbins Tut 1л Bioera Іспанія</t>
        </is>
      </c>
      <c r="F1638" s="21" t="inlineStr">
        <is>
          <t>Гортензія волотиста Пінкі Вінкі Штамб C10 / Pa100</t>
        </is>
      </c>
      <c r="G1638" s="23" t="n">
        <v>3859</v>
      </c>
      <c r="H1638" s="23" t="n">
        <v>1739</v>
      </c>
      <c r="I1638" s="21" t="inlineStr">
        <is>
          <t>ID постачальника збігся, але назви різні</t>
        </is>
      </c>
    </row>
    <row r="1639">
      <c r="A1639" s="22" t="n">
        <v>29.7</v>
      </c>
      <c r="B1639" s="22" t="inlineStr">
        <is>
          <t>Клуб Рослин</t>
        </is>
      </c>
      <c r="C1639" s="22" t="inlineStr">
        <is>
          <t>7950</t>
        </is>
      </c>
      <c r="D1639" s="22" t="inlineStr">
        <is>
          <t>7950</t>
        </is>
      </c>
      <c r="E1639" s="21" t="inlineStr">
        <is>
          <t>Регулятор росту рослин 36 C (тип Б) / 36 C (tipo B) 100 мл L.Gobbi Італія</t>
        </is>
      </c>
      <c r="F1639" s="21" t="inlineStr">
        <is>
          <t>Туя складчата Форева Голді PC13 C3 / H30-40</t>
        </is>
      </c>
      <c r="G1639" s="23" t="n">
        <v>1625</v>
      </c>
      <c r="H1639" s="23" t="n">
        <v>155</v>
      </c>
      <c r="I1639" s="21" t="inlineStr">
        <is>
          <t>ID постачальника збігся, але назви різні</t>
        </is>
      </c>
    </row>
    <row r="1640">
      <c r="A1640" s="22" t="n">
        <v>29.7</v>
      </c>
      <c r="B1640" s="22" t="inlineStr">
        <is>
          <t>Клуб Рослин</t>
        </is>
      </c>
      <c r="C1640" s="22" t="inlineStr">
        <is>
          <t>8113</t>
        </is>
      </c>
      <c r="D1640" s="22" t="inlineStr">
        <is>
          <t>8113</t>
        </is>
      </c>
      <c r="E1640" s="21" t="inlineStr">
        <is>
          <t>Регулятор росту Ферті Сет / Ferti Set 5 л Кіссон Україна</t>
        </is>
      </c>
      <c r="F1640" s="21" t="inlineStr">
        <is>
          <t>Чорниця висока (Голубика, Лохина) Херма C10 / H80-100</t>
        </is>
      </c>
      <c r="G1640" s="23" t="n">
        <v>1497</v>
      </c>
      <c r="H1640" s="23" t="n">
        <v>660</v>
      </c>
      <c r="I1640" s="21" t="inlineStr">
        <is>
          <t>ID постачальника збігся, але назви різні</t>
        </is>
      </c>
    </row>
    <row r="1641">
      <c r="A1641" s="22" t="n">
        <v>29.7</v>
      </c>
      <c r="B1641" s="22" t="inlineStr">
        <is>
          <t>Клуб Рослин</t>
        </is>
      </c>
      <c r="C1641" s="22" t="inlineStr">
        <is>
          <t>5004</t>
        </is>
      </c>
      <c r="D1641" s="22" t="inlineStr">
        <is>
          <t>5004</t>
        </is>
      </c>
      <c r="E1641" s="21" t="inlineStr">
        <is>
          <t>Протруйник Селест Топ 100 мл Syngenta / Сингента Швейцарія</t>
        </is>
      </c>
      <c r="F1641" s="21" t="inlineStr">
        <is>
          <t>Сосна густоквіткова Умбракуліфера C60 / H120-140</t>
        </is>
      </c>
      <c r="G1641" s="23" t="n">
        <v>475</v>
      </c>
      <c r="H1641" s="23" t="n">
        <v>8280</v>
      </c>
      <c r="I1641" s="21" t="inlineStr">
        <is>
          <t>ID постачальника збігся, але назви різні</t>
        </is>
      </c>
    </row>
    <row r="1642">
      <c r="A1642" s="22" t="n">
        <v>29.7</v>
      </c>
      <c r="B1642" s="22" t="inlineStr">
        <is>
          <t>Клуб Рослин</t>
        </is>
      </c>
      <c r="C1642" s="22" t="inlineStr">
        <is>
          <t>1-800</t>
        </is>
      </c>
      <c r="D1642" s="22" t="inlineStr">
        <is>
          <t>1800</t>
        </is>
      </c>
      <c r="E1642" s="21" t="inlineStr">
        <is>
          <t>Садовий бальзам Вокс / Voks 800 г зі шпателем Агрохімпак Україна</t>
        </is>
      </c>
      <c r="F1642" s="21" t="inlineStr">
        <is>
          <t>Бересклет Форчуна Емералд Гаєті C5 / Pa60</t>
        </is>
      </c>
      <c r="G1642" s="23" t="n">
        <v>375</v>
      </c>
      <c r="H1642" s="23" t="n">
        <v>560</v>
      </c>
      <c r="I1642" s="21" t="inlineStr">
        <is>
          <t>ID постачальника збігся, але назви різні</t>
        </is>
      </c>
    </row>
    <row r="1643">
      <c r="A1643" s="22" t="n">
        <v>29.7</v>
      </c>
      <c r="B1643" s="22" t="inlineStr">
        <is>
          <t>Клуб Рослин</t>
        </is>
      </c>
      <c r="C1643" s="22" t="inlineStr">
        <is>
          <t>9037</t>
        </is>
      </c>
      <c r="D1643" s="22" t="inlineStr">
        <is>
          <t>9037</t>
        </is>
      </c>
      <c r="E1643" s="21" t="inlineStr">
        <is>
          <t>Прилипач ад'ювант Скаба КЕ 50 мл Sumi Agro Сумі Агро Японія</t>
        </is>
      </c>
      <c r="F1643" s="21" t="inlineStr">
        <is>
          <t>Держак Bellota M901 LR120.B для вил (1200мм)</t>
        </is>
      </c>
      <c r="G1643" s="23" t="n">
        <v>128</v>
      </c>
      <c r="H1643" s="23" t="n">
        <v>533</v>
      </c>
      <c r="I1643" s="21" t="inlineStr">
        <is>
          <t>ID постачальника збігся, але різні об'єми або розміри</t>
        </is>
      </c>
    </row>
    <row r="1644">
      <c r="A1644" s="22" t="n">
        <v>29.7</v>
      </c>
      <c r="B1644" s="22" t="inlineStr">
        <is>
          <t>Клуб Рослин</t>
        </is>
      </c>
      <c r="C1644" s="22" t="inlineStr">
        <is>
          <t>1092</t>
        </is>
      </c>
      <c r="D1644" s="22" t="inlineStr">
        <is>
          <t>1092</t>
        </is>
      </c>
      <c r="E1644" s="21" t="inlineStr">
        <is>
          <t>Гербіцид Чистець 5 л Presence / Презенс</t>
        </is>
      </c>
      <c r="F1644" s="21" t="inlineStr">
        <is>
          <t>Будлея Давіда Роял Ред PC16 C10 / H60-80</t>
        </is>
      </c>
      <c r="G1644" s="23" t="n">
        <v>2</v>
      </c>
      <c r="H1644" s="23" t="n">
        <v>125</v>
      </c>
      <c r="I1644" s="21" t="inlineStr">
        <is>
          <t>ID постачальника збігся, але назви різні</t>
        </is>
      </c>
    </row>
    <row r="1645">
      <c r="A1645" s="22" t="n">
        <v>29.6</v>
      </c>
      <c r="B1645" s="22" t="inlineStr">
        <is>
          <t>Клуб Рослин</t>
        </is>
      </c>
      <c r="C1645" s="22" t="inlineStr">
        <is>
          <t>2130</t>
        </is>
      </c>
      <c r="D1645" s="22" t="inlineStr">
        <is>
          <t>2130</t>
        </is>
      </c>
      <c r="E1645" s="21" t="inlineStr">
        <is>
          <t>Інсектицид Кораген 20 КС 5 л FMС ФМС США</t>
        </is>
      </c>
      <c r="F1645" s="21" t="inlineStr">
        <is>
          <t>Гортензія великолисткова Фройденштайн D10</t>
        </is>
      </c>
      <c r="G1645" s="23" t="n">
        <v>37498</v>
      </c>
      <c r="H1645" s="23" t="n">
        <v>485</v>
      </c>
      <c r="I1645" s="21" t="inlineStr">
        <is>
          <t>ID постачальника збігся, але назви різні</t>
        </is>
      </c>
    </row>
    <row r="1646">
      <c r="A1646" s="22" t="n">
        <v>29.6</v>
      </c>
      <c r="B1646" s="22" t="inlineStr">
        <is>
          <t>Клуб Рослин</t>
        </is>
      </c>
      <c r="C1646" s="22" t="inlineStr">
        <is>
          <t>7326</t>
        </is>
      </c>
      <c r="D1646" s="22" t="inlineStr">
        <is>
          <t>7326</t>
        </is>
      </c>
      <c r="E1646" s="21" t="inlineStr">
        <is>
          <t>Добриво Кафом Мідь / Kafom Cu 20 л Meristem Мерістем Іспанія</t>
        </is>
      </c>
      <c r="F1646" s="21" t="inlineStr">
        <is>
          <t>Горобина x проміжний (а) PC19 C45 / H200-250 / o8-10 / Pa100</t>
        </is>
      </c>
      <c r="G1646" s="23" t="n">
        <v>12998</v>
      </c>
      <c r="H1646" s="23" t="n">
        <v>1440</v>
      </c>
      <c r="I1646" s="21" t="inlineStr">
        <is>
          <t>ID постачальника збігся, але назви різні</t>
        </is>
      </c>
    </row>
    <row r="1647">
      <c r="A1647" s="22" t="n">
        <v>29.6</v>
      </c>
      <c r="B1647" s="22" t="inlineStr">
        <is>
          <t>Клуб Рослин</t>
        </is>
      </c>
      <c r="C1647" s="22" t="inlineStr">
        <is>
          <t>1096</t>
        </is>
      </c>
      <c r="D1647" s="22" t="inlineStr">
        <is>
          <t>1096</t>
        </is>
      </c>
      <c r="E1647" s="21" t="inlineStr">
        <is>
          <t>Гербіцид Стомп 330 КЕ 10 л Basf Басф Німеччина</t>
        </is>
      </c>
      <c r="F1647" s="21" t="inlineStr">
        <is>
          <t>Будлея Давіда Уайт Проф'южн PC16 C10</t>
        </is>
      </c>
      <c r="G1647" s="23" t="n">
        <v>6998</v>
      </c>
      <c r="H1647" s="23" t="n">
        <v>125</v>
      </c>
      <c r="I1647" s="21" t="inlineStr">
        <is>
          <t>ID постачальника збігся, але назви різні</t>
        </is>
      </c>
    </row>
    <row r="1648">
      <c r="A1648" s="22" t="n">
        <v>29.6</v>
      </c>
      <c r="B1648" s="22" t="inlineStr">
        <is>
          <t>Клуб Рослин</t>
        </is>
      </c>
      <c r="C1648" s="22" t="inlineStr">
        <is>
          <t>7197</t>
        </is>
      </c>
      <c r="D1648" s="22" t="inlineStr">
        <is>
          <t>7197</t>
        </is>
      </c>
      <c r="E1648" s="21" t="inlineStr">
        <is>
          <t>Біостимулятор Атланте (Atlante) 5 л Вітера Atlantica Agricola Іспанія</t>
        </is>
      </c>
      <c r="F1648" s="21" t="inlineStr">
        <is>
          <t>Троянда гібридний(а) Моніка Штамб GK / Pa100</t>
        </is>
      </c>
      <c r="G1648" s="23" t="n">
        <v>5236</v>
      </c>
      <c r="H1648" s="23" t="n">
        <v>420</v>
      </c>
      <c r="I1648" s="21" t="inlineStr">
        <is>
          <t>ID постачальника збігся, але різні бренди</t>
        </is>
      </c>
    </row>
    <row r="1649">
      <c r="A1649" s="22" t="n">
        <v>29.6</v>
      </c>
      <c r="B1649" s="22" t="inlineStr">
        <is>
          <t>Клуб Рослин</t>
        </is>
      </c>
      <c r="C1649" s="22" t="inlineStr">
        <is>
          <t>5006</t>
        </is>
      </c>
      <c r="D1649" s="22" t="inlineStr">
        <is>
          <t>5006</t>
        </is>
      </c>
      <c r="E1649" s="21" t="inlineStr">
        <is>
          <t>Протруйник Авіценна 5 л Alfa Smart Agro Альфа Смарт Агро Україна</t>
        </is>
      </c>
      <c r="F1649" s="21" t="inlineStr">
        <is>
          <t>Сосна густоквіткова Умбракуліфера C7,5 / H40-50</t>
        </is>
      </c>
      <c r="G1649" s="23" t="n">
        <v>4998</v>
      </c>
      <c r="H1649" s="23" t="n">
        <v>600</v>
      </c>
      <c r="I1649" s="21" t="inlineStr">
        <is>
          <t>ID постачальника збігся, але назви різні</t>
        </is>
      </c>
    </row>
    <row r="1650">
      <c r="A1650" s="22" t="n">
        <v>29.6</v>
      </c>
      <c r="B1650" s="22" t="inlineStr">
        <is>
          <t>Клуб Рослин</t>
        </is>
      </c>
      <c r="C1650" s="22" t="inlineStr">
        <is>
          <t>1069</t>
        </is>
      </c>
      <c r="D1650" s="22" t="inlineStr">
        <is>
          <t>1069</t>
        </is>
      </c>
      <c r="E1650" s="21" t="inlineStr">
        <is>
          <t>Гербіцид Отаман Екстра 20 л Alfa Smart Agro Альфа Смарт Агро Україна</t>
        </is>
      </c>
      <c r="F1650" s="21" t="inlineStr">
        <is>
          <t>Береза плакуча (ий) Янгіі Штамб C7,5 / Pa120</t>
        </is>
      </c>
      <c r="G1650" s="23" t="n">
        <v>4998</v>
      </c>
      <c r="H1650" s="23" t="n">
        <v>1045</v>
      </c>
      <c r="I1650" s="21" t="inlineStr">
        <is>
          <t>ID постачальника збігся, але назви різні</t>
        </is>
      </c>
    </row>
    <row r="1651">
      <c r="A1651" s="22" t="n">
        <v>29.6</v>
      </c>
      <c r="B1651" s="22" t="inlineStr">
        <is>
          <t>Клуб Рослин</t>
        </is>
      </c>
      <c r="C1651" s="22" t="inlineStr">
        <is>
          <t>7221</t>
        </is>
      </c>
      <c r="D1651" s="22" t="inlineStr">
        <is>
          <t>7221</t>
        </is>
      </c>
      <c r="E1651" s="21" t="inlineStr">
        <is>
          <t>Добриво Грінплант Greenplant 8-7-40+2+ME 25 кг Green Has Грін Хас Італія</t>
        </is>
      </c>
      <c r="F1651" s="21" t="inlineStr">
        <is>
          <t>Троянда Кордеса Алоха DP PC19 C5 / H20-30</t>
        </is>
      </c>
      <c r="G1651" s="23" t="n">
        <v>3750</v>
      </c>
      <c r="H1651" s="23" t="n">
        <v>183</v>
      </c>
      <c r="I1651" s="21" t="inlineStr">
        <is>
          <t>ID постачальника збігся, але різні бренди</t>
        </is>
      </c>
    </row>
    <row r="1652">
      <c r="A1652" s="22" t="n">
        <v>29.6</v>
      </c>
      <c r="B1652" s="22" t="inlineStr">
        <is>
          <t>Клуб Рослин</t>
        </is>
      </c>
      <c r="C1652" s="22" t="inlineStr">
        <is>
          <t>8059</t>
        </is>
      </c>
      <c r="D1652" s="22" t="inlineStr">
        <is>
          <t>8059</t>
        </is>
      </c>
      <c r="E1652" s="21" t="inlineStr">
        <is>
          <t>Добриво Сайкін Преміум / Saikin Premium 8-5-40+2MgO+МЕ+ЕАV 15 кг Туреччина</t>
        </is>
      </c>
      <c r="F1652" s="21" t="inlineStr">
        <is>
          <t>Тюльпан махровий пізній Дабл Тач 11\12</t>
        </is>
      </c>
      <c r="G1652" s="23" t="n">
        <v>3048</v>
      </c>
      <c r="H1652" s="23" t="n">
        <v>30</v>
      </c>
      <c r="I1652" s="21" t="inlineStr">
        <is>
          <t>ID постачальника збігся, але назви різні</t>
        </is>
      </c>
    </row>
    <row r="1653">
      <c r="A1653" s="22" t="n">
        <v>29.6</v>
      </c>
      <c r="B1653" s="22" t="inlineStr">
        <is>
          <t>Клуб Рослин</t>
        </is>
      </c>
      <c r="C1653" s="22" t="inlineStr">
        <is>
          <t>2047</t>
        </is>
      </c>
      <c r="D1653" s="22" t="inlineStr">
        <is>
          <t>2047</t>
        </is>
      </c>
      <c r="E1653" s="21" t="inlineStr">
        <is>
          <t>Інсектицид Наповал 5 л Alfa Smart Agro Альфа Смарт Агро Україна</t>
        </is>
      </c>
      <c r="F1653" s="21" t="inlineStr">
        <is>
          <t>Гібіскус сірійський Мультіколор Штамб PC20 C30 / Pa100</t>
        </is>
      </c>
      <c r="G1653" s="23" t="n">
        <v>2898</v>
      </c>
      <c r="H1653" s="23" t="n">
        <v>1812</v>
      </c>
      <c r="I1653" s="21" t="inlineStr">
        <is>
          <t>ID постачальника збігся, але назви різні</t>
        </is>
      </c>
    </row>
    <row r="1654">
      <c r="A1654" s="22" t="n">
        <v>29.6</v>
      </c>
      <c r="B1654" s="22" t="inlineStr">
        <is>
          <t>Клуб Рослин</t>
        </is>
      </c>
      <c r="C1654" s="22" t="inlineStr">
        <is>
          <t>7454</t>
        </is>
      </c>
      <c r="D1654" s="22" t="inlineStr">
        <is>
          <t>7454</t>
        </is>
      </c>
      <c r="E1654" s="21" t="inlineStr">
        <is>
          <t>Добриво GroGreen NPK 14-6-28+6СаО+TE 10 кг Lima Бельгія</t>
        </is>
      </c>
      <c r="F1654" s="21" t="inlineStr">
        <is>
          <t>Тис ягідний (а) Куля C90 / Pa120</t>
        </is>
      </c>
      <c r="G1654" s="23" t="n">
        <v>2263</v>
      </c>
      <c r="H1654" s="23" t="n">
        <v>10375</v>
      </c>
      <c r="I1654" s="21" t="inlineStr">
        <is>
          <t>ID постачальника збігся, але назви різні</t>
        </is>
      </c>
    </row>
    <row r="1655">
      <c r="A1655" s="22" t="n">
        <v>29.6</v>
      </c>
      <c r="B1655" s="22" t="inlineStr">
        <is>
          <t>Клуб Рослин</t>
        </is>
      </c>
      <c r="C1655" s="22" t="inlineStr">
        <is>
          <t>8009</t>
        </is>
      </c>
      <c r="D1655" s="22" t="inlineStr">
        <is>
          <t>8009</t>
        </is>
      </c>
      <c r="E1655" s="21" t="inlineStr">
        <is>
          <t>Добриво Солденсо Гель / Soldenso Gel NPK 17-69-17+TE 5 кг Orange​​​​​​​ Іспанія</t>
        </is>
      </c>
      <c r="F1655" s="21" t="inlineStr">
        <is>
          <t>Липа широколиста K20 C180 / o20-22 / Pa150-175</t>
        </is>
      </c>
      <c r="G1655" s="23" t="n">
        <v>2091</v>
      </c>
      <c r="H1655" s="23" t="n">
        <v>8280</v>
      </c>
      <c r="I1655" s="21" t="inlineStr">
        <is>
          <t>ID постачальника збігся, але різні коди виробника</t>
        </is>
      </c>
    </row>
    <row r="1656">
      <c r="A1656" s="22" t="n">
        <v>29.6</v>
      </c>
      <c r="B1656" s="22" t="inlineStr">
        <is>
          <t>Клуб Рослин</t>
        </is>
      </c>
      <c r="C1656" s="22" t="inlineStr">
        <is>
          <t>3336</t>
        </is>
      </c>
      <c r="D1656" s="22" t="inlineStr">
        <is>
          <t>3336</t>
        </is>
      </c>
      <c r="E1656" s="21" t="inlineStr">
        <is>
          <t>Фунгіцид Хоук 500 г Green Express / Грін Експрес</t>
        </is>
      </c>
      <c r="F1656" s="21" t="inlineStr">
        <is>
          <t>Магнолія Голд Стар PC20 C20 / H100-125</t>
        </is>
      </c>
      <c r="G1656" s="23" t="n">
        <v>1998</v>
      </c>
      <c r="H1656" s="23" t="n">
        <v>3312</v>
      </c>
      <c r="I1656" s="21" t="inlineStr">
        <is>
          <t>ID постачальника збігся, але назви різні</t>
        </is>
      </c>
    </row>
    <row r="1657">
      <c r="A1657" s="22" t="n">
        <v>29.6</v>
      </c>
      <c r="B1657" s="22" t="inlineStr">
        <is>
          <t>Клуб Рослин</t>
        </is>
      </c>
      <c r="C1657" s="22" t="inlineStr">
        <is>
          <t>3103</t>
        </is>
      </c>
      <c r="D1657" s="22" t="inlineStr">
        <is>
          <t>3103</t>
        </is>
      </c>
      <c r="E1657" s="21" t="inlineStr">
        <is>
          <t>Фунгіцид Тельдор 500 г (розсип) Bayer Байєр Німеччина проти гнилів на винограді та плодових</t>
        </is>
      </c>
      <c r="F1657" s="21" t="inlineStr">
        <is>
          <t>Модрина японська Стів Віпер Штамб C15 / Pa120-150</t>
        </is>
      </c>
      <c r="G1657" s="23" t="n">
        <v>1922</v>
      </c>
      <c r="H1657" s="23" t="n">
        <v>2080</v>
      </c>
      <c r="I1657" s="21" t="inlineStr">
        <is>
          <t>ID постачальника збігся, але назви різні</t>
        </is>
      </c>
    </row>
    <row r="1658">
      <c r="A1658" s="22" t="n">
        <v>29.6</v>
      </c>
      <c r="B1658" s="22" t="inlineStr">
        <is>
          <t>Клуб Рослин</t>
        </is>
      </c>
      <c r="C1658" s="22" t="inlineStr">
        <is>
          <t>2043</t>
        </is>
      </c>
      <c r="D1658" s="22" t="inlineStr">
        <is>
          <t>2043</t>
        </is>
      </c>
      <c r="E1658" s="21" t="inlineStr">
        <is>
          <t>Інсектицид акарицид і фунгіцид Брунька 1 л Кемілайн Агро Україна</t>
        </is>
      </c>
      <c r="F1658" s="21" t="inlineStr">
        <is>
          <t>Гібіскус сірійський Матильда PC22 C7,5 / H50-60</t>
        </is>
      </c>
      <c r="G1658" s="23" t="n">
        <v>1398</v>
      </c>
      <c r="H1658" s="23" t="n">
        <v>260</v>
      </c>
      <c r="I1658" s="21" t="inlineStr">
        <is>
          <t>ID постачальника збігся, але назви різні</t>
        </is>
      </c>
    </row>
    <row r="1659">
      <c r="A1659" s="22" t="n">
        <v>29.6</v>
      </c>
      <c r="B1659" s="22" t="inlineStr">
        <is>
          <t>Клуб Рослин</t>
        </is>
      </c>
      <c r="C1659" s="22" t="inlineStr">
        <is>
          <t>2094</t>
        </is>
      </c>
      <c r="D1659" s="22" t="inlineStr">
        <is>
          <t>2094</t>
        </is>
      </c>
      <c r="E1659" s="21" t="inlineStr">
        <is>
          <t>Інсектицид Асистент Максі 1 л Агрохімічні Технології Україна</t>
        </is>
      </c>
      <c r="F1659" s="21" t="inlineStr">
        <is>
          <t>Гіацинт Вудсток 15\16</t>
        </is>
      </c>
      <c r="G1659" s="23" t="n">
        <v>898</v>
      </c>
      <c r="H1659" s="23" t="n">
        <v>25</v>
      </c>
      <c r="I1659" s="21" t="inlineStr">
        <is>
          <t>ID постачальника збігся, але назви різні</t>
        </is>
      </c>
    </row>
    <row r="1660">
      <c r="A1660" s="22" t="n">
        <v>29.6</v>
      </c>
      <c r="B1660" s="22" t="inlineStr">
        <is>
          <t>Клуб Рослин</t>
        </is>
      </c>
      <c r="C1660" s="22" t="inlineStr">
        <is>
          <t>3152</t>
        </is>
      </c>
      <c r="D1660" s="22" t="inlineStr">
        <is>
          <t>3152</t>
        </is>
      </c>
      <c r="E1660" s="21" t="inlineStr">
        <is>
          <t>Фунгіцид Пергадо R 270 WG ВДГ 1 кг (розсип) Syngenta Сингента Швейцарія</t>
        </is>
      </c>
      <c r="F1660" s="21" t="inlineStr">
        <is>
          <t>Лілія азіатська махрова гібридна Маст Сі 12\14</t>
        </is>
      </c>
      <c r="G1660" s="23" t="n">
        <v>698</v>
      </c>
      <c r="H1660" s="23" t="n">
        <v>50</v>
      </c>
      <c r="I1660" s="21" t="inlineStr">
        <is>
          <t>ID постачальника збігся, але назви різні</t>
        </is>
      </c>
    </row>
    <row r="1661">
      <c r="A1661" s="22" t="n">
        <v>29.6</v>
      </c>
      <c r="B1661" s="22" t="inlineStr">
        <is>
          <t>Клуб Рослин</t>
        </is>
      </c>
      <c r="C1661" s="22" t="inlineStr">
        <is>
          <t>7992</t>
        </is>
      </c>
      <c r="D1661" s="22" t="inlineStr">
        <is>
          <t>7992</t>
        </is>
      </c>
      <c r="E1661" s="21" t="inlineStr">
        <is>
          <t>Добриво Леда Гель Фініш / Leda Gel Finish 10-20-40+TE 1 л Велика Британія</t>
        </is>
      </c>
      <c r="F1661" s="21" t="inlineStr">
        <is>
          <t>Липа широколиста Фастігіата C155 / H300-350 / o18-20</t>
        </is>
      </c>
      <c r="G1661" s="23" t="n">
        <v>761</v>
      </c>
      <c r="H1661" s="23" t="n">
        <v>7452</v>
      </c>
      <c r="I1661" s="21" t="inlineStr">
        <is>
          <t>ID постачальника збігся, але різні коди виробника</t>
        </is>
      </c>
    </row>
    <row r="1662">
      <c r="A1662" s="22" t="n">
        <v>29.6</v>
      </c>
      <c r="B1662" s="22" t="inlineStr">
        <is>
          <t>Клуб Рослин</t>
        </is>
      </c>
      <c r="C1662" s="22" t="inlineStr">
        <is>
          <t>7105</t>
        </is>
      </c>
      <c r="D1662" s="22" t="inlineStr">
        <is>
          <t>7105</t>
        </is>
      </c>
      <c r="E1662" s="21" t="inlineStr">
        <is>
          <t>Добриво-антистресант AgriFlex Amino Vix Агріфлекс Аміно Вікс 1 кг CityMax</t>
        </is>
      </c>
      <c r="F1662" s="21" t="inlineStr">
        <is>
          <t>Троянда плетиста Нахеглут DP PC19 C5 / H20-30</t>
        </is>
      </c>
      <c r="G1662" s="23" t="n">
        <v>675</v>
      </c>
      <c r="H1662" s="23" t="n">
        <v>145</v>
      </c>
      <c r="I1662" s="21" t="inlineStr">
        <is>
          <t>ID постачальника збігся, але різні бренди</t>
        </is>
      </c>
    </row>
    <row r="1663">
      <c r="A1663" s="22" t="n">
        <v>29.6</v>
      </c>
      <c r="B1663" s="22" t="inlineStr">
        <is>
          <t>Клуб Рослин</t>
        </is>
      </c>
      <c r="C1663" s="22" t="inlineStr">
        <is>
          <t>5045</t>
        </is>
      </c>
      <c r="D1663" s="22" t="inlineStr">
        <is>
          <t>5045</t>
        </is>
      </c>
      <c r="E1663" s="21" t="inlineStr">
        <is>
          <t>Протруйник Nominal Ultra / Номінал Ультра 1 л Хімагромаркетинг Україна</t>
        </is>
      </c>
      <c r="F1663" s="21" t="inlineStr">
        <is>
          <t>Сосна гнучка Ван дер Волфс Пірамід C290 / H250-275</t>
        </is>
      </c>
      <c r="G1663" s="23" t="n">
        <v>598</v>
      </c>
      <c r="H1663" s="23" t="n">
        <v>20400</v>
      </c>
      <c r="I1663" s="21" t="inlineStr">
        <is>
          <t>ID постачальника збігся, але назви різні</t>
        </is>
      </c>
    </row>
    <row r="1664">
      <c r="A1664" s="22" t="n">
        <v>29.6</v>
      </c>
      <c r="B1664" s="22" t="inlineStr">
        <is>
          <t>Клуб Рослин</t>
        </is>
      </c>
      <c r="C1664" s="22" t="inlineStr">
        <is>
          <t>7253</t>
        </is>
      </c>
      <c r="D1664" s="22" t="inlineStr">
        <is>
          <t>7253</t>
        </is>
      </c>
      <c r="E1664" s="21" t="inlineStr">
        <is>
          <t>Стимулятор росту для Ягідних Terrenova / Терренова 500 мл Daymsa Іспанія</t>
        </is>
      </c>
      <c r="F1664" s="21" t="inlineStr">
        <is>
          <t>Троянда мініатюрна Зе Фейрі DP PC18 C2</t>
        </is>
      </c>
      <c r="G1664" s="23" t="n">
        <v>275</v>
      </c>
      <c r="H1664" s="23" t="n">
        <v>144</v>
      </c>
      <c r="I1664" s="21" t="inlineStr">
        <is>
          <t>ID постачальника збігся, але різні бренди</t>
        </is>
      </c>
    </row>
    <row r="1665">
      <c r="A1665" s="22" t="n">
        <v>29.5</v>
      </c>
      <c r="B1665" s="22" t="inlineStr">
        <is>
          <t>Клуб Рослин</t>
        </is>
      </c>
      <c r="C1665" s="22" t="inlineStr">
        <is>
          <t>3342</t>
        </is>
      </c>
      <c r="D1665" s="22" t="inlineStr">
        <is>
          <t>3342</t>
        </is>
      </c>
      <c r="E1665" s="21" t="inlineStr">
        <is>
          <t>Фунгіцид Ревус Топ 500 ЕС КС 5 л Syngenta Сингента Швейцарія</t>
        </is>
      </c>
      <c r="F1665" s="21" t="inlineStr">
        <is>
          <t>Магнолія Хевен Сент C65 / o12-14 / Pa200</t>
        </is>
      </c>
      <c r="G1665" s="23" t="n">
        <v>21198</v>
      </c>
      <c r="H1665" s="23" t="n">
        <v>8650</v>
      </c>
      <c r="I1665" s="21" t="inlineStr">
        <is>
          <t>ID постачальника збігся, але назви різні</t>
        </is>
      </c>
    </row>
    <row r="1666">
      <c r="A1666" s="22" t="n">
        <v>29.5</v>
      </c>
      <c r="B1666" s="22" t="inlineStr">
        <is>
          <t>Клуб Рослин</t>
        </is>
      </c>
      <c r="C1666" s="22" t="inlineStr">
        <is>
          <t>8159</t>
        </is>
      </c>
      <c r="D1666" s="22" t="inlineStr">
        <is>
          <t>8159</t>
        </is>
      </c>
      <c r="E1666" s="21" t="inlineStr">
        <is>
          <t>Добриво Азорган-Н / Azorgan-N 20 л Bioera Іспанія</t>
        </is>
      </c>
      <c r="F1666" s="21" t="inlineStr">
        <is>
          <t>Вейгела квітуча Александра PC21 C7,5 / H45-50</t>
        </is>
      </c>
      <c r="G1666" s="23" t="n">
        <v>11398</v>
      </c>
      <c r="H1666" s="23" t="n">
        <v>288</v>
      </c>
      <c r="I1666" s="21" t="inlineStr">
        <is>
          <t>ID постачальника збігся, але назви різні</t>
        </is>
      </c>
    </row>
    <row r="1667">
      <c r="A1667" s="22" t="n">
        <v>29.5</v>
      </c>
      <c r="B1667" s="22" t="inlineStr">
        <is>
          <t>Клуб Рослин</t>
        </is>
      </c>
      <c r="C1667" s="22" t="inlineStr">
        <is>
          <t>2004</t>
        </is>
      </c>
      <c r="D1667" s="22" t="inlineStr">
        <is>
          <t>2004</t>
        </is>
      </c>
      <c r="E1667" s="21" t="inlineStr">
        <is>
          <t>Інсектицид Енжіо 247 SC КС 5 л Syngenta Сингента Швейцарія</t>
        </is>
      </c>
      <c r="F1667" s="21" t="inlineStr">
        <is>
          <t>Гібіскус сірійський Дук де Брабант C2</t>
        </is>
      </c>
      <c r="G1667" s="23" t="n">
        <v>10348</v>
      </c>
      <c r="H1667" s="23" t="n">
        <v>192</v>
      </c>
      <c r="I1667" s="21" t="inlineStr">
        <is>
          <t>ID постачальника збігся, але назви різні</t>
        </is>
      </c>
    </row>
    <row r="1668">
      <c r="A1668" s="22" t="n">
        <v>29.5</v>
      </c>
      <c r="B1668" s="22" t="inlineStr">
        <is>
          <t>Клуб Рослин</t>
        </is>
      </c>
      <c r="C1668" s="22" t="inlineStr">
        <is>
          <t>7954</t>
        </is>
      </c>
      <c r="D1668" s="22" t="inlineStr">
        <is>
          <t>7954</t>
        </is>
      </c>
      <c r="E1668" s="21" t="inlineStr">
        <is>
          <t>Добриво Герфос К / Gerfos K 10 л L.Gobbi Італія</t>
        </is>
      </c>
      <c r="F1668" s="21" t="inlineStr">
        <is>
          <t>Туя складчата Форева Голді PC20 C35 / H140-160</t>
        </is>
      </c>
      <c r="G1668" s="23" t="n">
        <v>6948</v>
      </c>
      <c r="H1668" s="23" t="n">
        <v>5400</v>
      </c>
      <c r="I1668" s="21" t="inlineStr">
        <is>
          <t>ID постачальника збігся, але назви різні</t>
        </is>
      </c>
    </row>
    <row r="1669">
      <c r="A1669" s="22" t="n">
        <v>29.5</v>
      </c>
      <c r="B1669" s="22" t="inlineStr">
        <is>
          <t>Клуб Рослин</t>
        </is>
      </c>
      <c r="C1669" s="22" t="inlineStr">
        <is>
          <t>7574</t>
        </is>
      </c>
      <c r="D1669" s="22" t="inlineStr">
        <is>
          <t>7574</t>
        </is>
      </c>
      <c r="E1669" s="21" t="inlineStr">
        <is>
          <t>Рідке добриво Мерістем Кайран / Meristem Cairan 10 л Іспанія</t>
        </is>
      </c>
      <c r="F1669" s="21" t="inlineStr">
        <is>
          <t>Тис ягідний (а) Спіраль C70 / H125+</t>
        </is>
      </c>
      <c r="G1669" s="23" t="n">
        <v>5102</v>
      </c>
      <c r="H1669" s="23" t="n">
        <v>11592</v>
      </c>
      <c r="I1669" s="21" t="inlineStr">
        <is>
          <t>ID постачальника збігся, але назви різні</t>
        </is>
      </c>
    </row>
    <row r="1670">
      <c r="A1670" s="22" t="n">
        <v>29.5</v>
      </c>
      <c r="B1670" s="22" t="inlineStr">
        <is>
          <t>Клуб Рослин</t>
        </is>
      </c>
      <c r="C1670" s="22" t="inlineStr">
        <is>
          <t>3405</t>
        </is>
      </c>
      <c r="D1670" s="22" t="inlineStr">
        <is>
          <t>3405</t>
        </is>
      </c>
      <c r="E1670" s="21" t="inlineStr">
        <is>
          <t>Фунгіцид Прента 5 л Нертус Угорщина</t>
        </is>
      </c>
      <c r="F1670" s="21" t="inlineStr">
        <is>
          <t>Магнолія гібридний(а) Транквіліті Штамб PC21 C10 / Pa180</t>
        </is>
      </c>
      <c r="G1670" s="23" t="n">
        <v>4413</v>
      </c>
      <c r="H1670" s="23" t="n">
        <v>3600</v>
      </c>
      <c r="I1670" s="21" t="inlineStr">
        <is>
          <t>ID постачальника збігся, але назви різні</t>
        </is>
      </c>
    </row>
    <row r="1671">
      <c r="A1671" s="22" t="n">
        <v>29.5</v>
      </c>
      <c r="B1671" s="22" t="inlineStr">
        <is>
          <t>Клуб Рослин</t>
        </is>
      </c>
      <c r="C1671" s="22" t="inlineStr">
        <is>
          <t>7325</t>
        </is>
      </c>
      <c r="D1671" s="22" t="inlineStr">
        <is>
          <t>7325</t>
        </is>
      </c>
      <c r="E1671" s="21" t="inlineStr">
        <is>
          <t>Добриво Кафом Мідь / Kafom Cu 5 л Meristem Мерістем Іспанія</t>
        </is>
      </c>
      <c r="F1671" s="21" t="inlineStr">
        <is>
          <t>Горобина x проміжний (а) K G / o25-30 / Pa100</t>
        </is>
      </c>
      <c r="G1671" s="23" t="n">
        <v>3498</v>
      </c>
      <c r="H1671" s="23" t="n">
        <v>4800</v>
      </c>
      <c r="I1671" s="21" t="inlineStr">
        <is>
          <t>ID постачальника збігся, але назви різні</t>
        </is>
      </c>
    </row>
    <row r="1672">
      <c r="A1672" s="22" t="n">
        <v>29.5</v>
      </c>
      <c r="B1672" s="22" t="inlineStr">
        <is>
          <t>Клуб Рослин</t>
        </is>
      </c>
      <c r="C1672" s="22" t="inlineStr">
        <is>
          <t>2069</t>
        </is>
      </c>
      <c r="D1672" s="22" t="inlineStr">
        <is>
          <t>2069</t>
        </is>
      </c>
      <c r="E1672" s="21" t="inlineStr">
        <is>
          <t>Інсектицид Децис Ф Люкс к е 5 л Bayer Байєр Німеччина</t>
        </is>
      </c>
      <c r="F1672" s="21" t="inlineStr">
        <is>
          <t>Гібіскус сірійський Рашн Віолет C7,5 / H60-80</t>
        </is>
      </c>
      <c r="G1672" s="23" t="n">
        <v>3120</v>
      </c>
      <c r="H1672" s="23" t="n">
        <v>275</v>
      </c>
      <c r="I1672" s="21" t="inlineStr">
        <is>
          <t>ID постачальника збігся, але назви різні</t>
        </is>
      </c>
    </row>
    <row r="1673">
      <c r="A1673" s="22" t="n">
        <v>29.5</v>
      </c>
      <c r="B1673" s="22" t="inlineStr">
        <is>
          <t>Клуб Рослин</t>
        </is>
      </c>
      <c r="C1673" s="22" t="inlineStr">
        <is>
          <t>4001</t>
        </is>
      </c>
      <c r="D1673" s="22" t="inlineStr">
        <is>
          <t>4001</t>
        </is>
      </c>
      <c r="E1673" s="21" t="inlineStr">
        <is>
          <t>Родентицид Бромадіолон 0.25% 5 л Olkar Олкар Україна</t>
        </is>
      </c>
      <c r="F1673" s="21" t="inlineStr">
        <is>
          <t>Ялина звичайна Віргата Woodenbox 300 / H300-350</t>
        </is>
      </c>
      <c r="G1673" s="23" t="n">
        <v>2870</v>
      </c>
      <c r="H1673" s="23" t="n">
        <v>23184</v>
      </c>
      <c r="I1673" s="21" t="inlineStr">
        <is>
          <t>ID постачальника збігся, але різні бренди</t>
        </is>
      </c>
    </row>
    <row r="1674">
      <c r="A1674" s="22" t="n">
        <v>29.5</v>
      </c>
      <c r="B1674" s="22" t="inlineStr">
        <is>
          <t>Клуб Рослин</t>
        </is>
      </c>
      <c r="C1674" s="22" t="inlineStr">
        <is>
          <t>9031</t>
        </is>
      </c>
      <c r="D1674" s="22" t="inlineStr">
        <is>
          <t>9031</t>
        </is>
      </c>
      <c r="E1674" s="21" t="inlineStr">
        <is>
          <t>Прилипач Тандем 20 л Ukravit Укравіт Україна</t>
        </is>
      </c>
      <c r="F1674" s="21" t="inlineStr">
        <is>
          <t>Держак Bellota M3034.B для грабель віялових (1400мм)</t>
        </is>
      </c>
      <c r="G1674" s="23" t="n">
        <v>2200</v>
      </c>
      <c r="H1674" s="23" t="n">
        <v>411</v>
      </c>
      <c r="I1674" s="21" t="inlineStr">
        <is>
          <t>ID постачальника збігся, але різні об'єми або розміри</t>
        </is>
      </c>
    </row>
    <row r="1675">
      <c r="A1675" s="22" t="n">
        <v>29.5</v>
      </c>
      <c r="B1675" s="22" t="inlineStr">
        <is>
          <t>Клуб Рослин</t>
        </is>
      </c>
      <c r="C1675" s="22" t="inlineStr">
        <is>
          <t>3320</t>
        </is>
      </c>
      <c r="D1675" s="22" t="inlineStr">
        <is>
          <t>3320</t>
        </is>
      </c>
      <c r="E1675" s="21" t="inlineStr">
        <is>
          <t>Фунгіцид Зорвек Інкантія 250 мл (розлив) Corteva Кортева США</t>
        </is>
      </c>
      <c r="F1675" s="21" t="inlineStr">
        <is>
          <t>Магнолія гола Єллоу Рівер C20 / H200-220</t>
        </is>
      </c>
      <c r="G1675" s="23" t="n">
        <v>1250</v>
      </c>
      <c r="H1675" s="23" t="n">
        <v>3809</v>
      </c>
      <c r="I1675" s="21" t="inlineStr">
        <is>
          <t>ID постачальника збігся, але назви різні</t>
        </is>
      </c>
    </row>
    <row r="1676">
      <c r="A1676" s="22" t="n">
        <v>29.5</v>
      </c>
      <c r="B1676" s="22" t="inlineStr">
        <is>
          <t>Клуб Рослин</t>
        </is>
      </c>
      <c r="C1676" s="22" t="inlineStr">
        <is>
          <t>2038</t>
        </is>
      </c>
      <c r="D1676" s="22" t="inlineStr">
        <is>
          <t>2038</t>
        </is>
      </c>
      <c r="E1676" s="21" t="inlineStr">
        <is>
          <t>Акарицид Таурус 1 кг Хімагромаркетинг Україна</t>
        </is>
      </c>
      <c r="F1676" s="21" t="inlineStr">
        <is>
          <t>Гібіскус сірійський Майке PC22 C7,5 / H100-120</t>
        </is>
      </c>
      <c r="G1676" s="23" t="n">
        <v>898</v>
      </c>
      <c r="H1676" s="23" t="n">
        <v>260</v>
      </c>
      <c r="I1676" s="21" t="inlineStr">
        <is>
          <t>ID постачальника збігся, але назви різні</t>
        </is>
      </c>
    </row>
    <row r="1677">
      <c r="A1677" s="22" t="n">
        <v>29.5</v>
      </c>
      <c r="B1677" s="22" t="inlineStr">
        <is>
          <t>Клуб Рослин</t>
        </is>
      </c>
      <c r="C1677" s="22" t="inlineStr">
        <is>
          <t>7763</t>
        </is>
      </c>
      <c r="D1677" s="22" t="inlineStr">
        <is>
          <t>7763</t>
        </is>
      </c>
      <c r="E1677" s="21" t="inlineStr">
        <is>
          <t>Добриво Ікар Бор / Ikar B 170 (NB 5-17) 1 л Литва</t>
        </is>
      </c>
      <c r="F1677" s="21" t="inlineStr">
        <is>
          <t>Туя західна (ий) Литл Джаінт PC20 C5 / H35-40 / L30</t>
        </is>
      </c>
      <c r="G1677" s="23" t="n">
        <v>460</v>
      </c>
      <c r="H1677" s="23" t="n">
        <v>324</v>
      </c>
      <c r="I1677" s="21" t="inlineStr">
        <is>
          <t>ID постачальника збігся, але назви різні</t>
        </is>
      </c>
    </row>
    <row r="1678">
      <c r="A1678" s="22" t="n">
        <v>29.5</v>
      </c>
      <c r="B1678" s="22" t="inlineStr">
        <is>
          <t>Клуб Рослин</t>
        </is>
      </c>
      <c r="C1678" s="22" t="inlineStr">
        <is>
          <t>7928</t>
        </is>
      </c>
      <c r="D1678" s="22" t="inlineStr">
        <is>
          <t>7928</t>
        </is>
      </c>
      <c r="E1678" s="21" t="inlineStr">
        <is>
          <t>Добриво Ікар Калісто (Калій) / Ikar Kalisto 0.5 л Литва</t>
        </is>
      </c>
      <c r="F1678" s="21" t="inlineStr">
        <is>
          <t>Туя західна (ий) Смарагд Штамб C20 / L40-50 / Pa100</t>
        </is>
      </c>
      <c r="G1678" s="23" t="n">
        <v>370</v>
      </c>
      <c r="H1678" s="23" t="n">
        <v>2640</v>
      </c>
      <c r="I1678" s="21" t="inlineStr">
        <is>
          <t>ID постачальника збігся, але назви різні</t>
        </is>
      </c>
    </row>
    <row r="1679">
      <c r="A1679" s="22" t="n">
        <v>29.5</v>
      </c>
      <c r="B1679" s="22" t="inlineStr">
        <is>
          <t>Клуб Рослин</t>
        </is>
      </c>
      <c r="C1679" s="22" t="inlineStr">
        <is>
          <t>3303</t>
        </is>
      </c>
      <c r="D1679" s="22" t="inlineStr">
        <is>
          <t>3303</t>
        </is>
      </c>
      <c r="E1679" s="21" t="inlineStr">
        <is>
          <t>Фунгіцид Феномен Прайм 250 г Ukravit Укравіт Україна</t>
        </is>
      </c>
      <c r="F1679" s="21" t="inlineStr">
        <is>
          <t>Жимолость приморська (плетиста) Серотіна C7,5</t>
        </is>
      </c>
      <c r="G1679" s="23" t="n">
        <v>225</v>
      </c>
      <c r="H1679" s="23" t="n">
        <v>331</v>
      </c>
      <c r="I1679" s="21" t="inlineStr">
        <is>
          <t>ID постачальника збігся, але назви різні</t>
        </is>
      </c>
    </row>
    <row r="1680">
      <c r="A1680" s="22" t="n">
        <v>29.5</v>
      </c>
      <c r="B1680" s="22" t="inlineStr">
        <is>
          <t>Клуб Рослин</t>
        </is>
      </c>
      <c r="C1680" s="22" t="inlineStr">
        <is>
          <t>2213</t>
        </is>
      </c>
      <c r="D1680" s="22" t="inlineStr">
        <is>
          <t>2213</t>
        </is>
      </c>
      <c r="E1680" s="21" t="inlineStr">
        <is>
          <t>Інсектицид Ампліго 150 ZC 40 мл Syngenta Сингента Швейцарія</t>
        </is>
      </c>
      <c r="F1680" s="21" t="inlineStr">
        <is>
          <t>Гортензія волотиста Грандіфлора C7,5</t>
        </is>
      </c>
      <c r="G1680" s="23" t="n">
        <v>225</v>
      </c>
      <c r="H1680" s="23" t="n">
        <v>366</v>
      </c>
      <c r="I1680" s="21" t="inlineStr">
        <is>
          <t>ID постачальника збігся, але назви різні</t>
        </is>
      </c>
    </row>
    <row r="1681">
      <c r="A1681" s="22" t="n">
        <v>29.5</v>
      </c>
      <c r="B1681" s="22" t="inlineStr">
        <is>
          <t>Клуб Рослин</t>
        </is>
      </c>
      <c r="C1681" s="22" t="inlineStr">
        <is>
          <t>7716</t>
        </is>
      </c>
      <c r="D1681" s="22" t="inlineStr">
        <is>
          <t>7716</t>
        </is>
      </c>
      <c r="E1681" s="21" t="inlineStr">
        <is>
          <t>Мікродобриво Бороплюс Boroplus 100 мл Valagro Валагро Італія</t>
        </is>
      </c>
      <c r="F1681" s="21" t="inlineStr">
        <is>
          <t>Туя західна (ий) Даніка PC22 C5 / L20-30</t>
        </is>
      </c>
      <c r="G1681" s="23" t="n">
        <v>115</v>
      </c>
      <c r="H1681" s="23" t="n">
        <v>420</v>
      </c>
      <c r="I1681" s="21" t="inlineStr">
        <is>
          <t>ID постачальника збігся, але назви різні</t>
        </is>
      </c>
    </row>
    <row r="1682">
      <c r="A1682" s="22" t="n">
        <v>29.4</v>
      </c>
      <c r="B1682" s="22" t="inlineStr">
        <is>
          <t>Клуб Рослин</t>
        </is>
      </c>
      <c r="C1682" s="22" t="inlineStr">
        <is>
          <t>7593</t>
        </is>
      </c>
      <c r="D1682" s="22" t="inlineStr">
        <is>
          <t>7593</t>
        </is>
      </c>
      <c r="E1682" s="21" t="inlineStr">
        <is>
          <t>Стимулятор росту Гуміфілд Форте Брікс 20 л Humin Tech Німеччина</t>
        </is>
      </c>
      <c r="F1682" s="21" t="inlineStr">
        <is>
          <t>Тис гострокінцевий Бонсай C1000 / H250-300</t>
        </is>
      </c>
      <c r="G1682" s="23" t="n">
        <v>11625</v>
      </c>
      <c r="H1682" s="23" t="n">
        <v>120255</v>
      </c>
      <c r="I1682" s="21" t="inlineStr">
        <is>
          <t>ID постачальника збігся, але назви різні</t>
        </is>
      </c>
    </row>
    <row r="1683">
      <c r="A1683" s="22" t="n">
        <v>29.4</v>
      </c>
      <c r="B1683" s="22" t="inlineStr">
        <is>
          <t>Клуб Рослин</t>
        </is>
      </c>
      <c r="C1683" s="22" t="inlineStr">
        <is>
          <t>5037</t>
        </is>
      </c>
      <c r="D1683" s="22" t="inlineStr">
        <is>
          <t>5037</t>
        </is>
      </c>
      <c r="E1683" s="21" t="inlineStr">
        <is>
          <t>Протруйник Triolan / Тріолан 5 л Хімагромаркетинг Україна</t>
        </is>
      </c>
      <c r="F1683" s="21" t="inlineStr">
        <is>
          <t>Сосна гнучка Ван дер Волфс Пірамід C130 / H175-200</t>
        </is>
      </c>
      <c r="G1683" s="23" t="n">
        <v>4998</v>
      </c>
      <c r="H1683" s="23" t="n">
        <v>15000</v>
      </c>
      <c r="I1683" s="21" t="inlineStr">
        <is>
          <t>ID постачальника збігся, але назви різні</t>
        </is>
      </c>
    </row>
    <row r="1684">
      <c r="A1684" s="22" t="n">
        <v>29.4</v>
      </c>
      <c r="B1684" s="22" t="inlineStr">
        <is>
          <t>Клуб Рослин</t>
        </is>
      </c>
      <c r="C1684" s="22" t="inlineStr">
        <is>
          <t>7070</t>
        </is>
      </c>
      <c r="D1684" s="22" t="inlineStr">
        <is>
          <t>7070</t>
        </is>
      </c>
      <c r="E1684" s="21" t="inlineStr">
        <is>
          <t>Добриво ЕДТА 5SG EDTA 5 кг Valagro Валагро Італія</t>
        </is>
      </c>
      <c r="F1684" s="21" t="inlineStr">
        <is>
          <t>Акація псевдоакація Умбракуліфера PC18 C100 / o12-14-16 / Pa200-220</t>
        </is>
      </c>
      <c r="G1684" s="23" t="n">
        <v>4648</v>
      </c>
      <c r="H1684" s="23" t="n">
        <v>4637</v>
      </c>
      <c r="I1684" s="21" t="inlineStr">
        <is>
          <t>ID постачальника збігся, але назви різні</t>
        </is>
      </c>
    </row>
    <row r="1685">
      <c r="A1685" s="22" t="n">
        <v>29.4</v>
      </c>
      <c r="B1685" s="22" t="inlineStr">
        <is>
          <t>Клуб Рослин</t>
        </is>
      </c>
      <c r="C1685" s="22" t="inlineStr">
        <is>
          <t>7578</t>
        </is>
      </c>
      <c r="D1685" s="22" t="inlineStr">
        <is>
          <t>7578</t>
        </is>
      </c>
      <c r="E1685" s="21" t="inlineStr">
        <is>
          <t>Добриво Калтемі / Kaltemi 10 л Meristem Меристем Іспанія</t>
        </is>
      </c>
      <c r="F1685" s="21" t="inlineStr">
        <is>
          <t>Тис ягідний (а) Топіар, Складна Фігура C100 / H200-250</t>
        </is>
      </c>
      <c r="G1685" s="23" t="n">
        <v>4606</v>
      </c>
      <c r="H1685" s="23" t="n">
        <v>29808</v>
      </c>
      <c r="I1685" s="21" t="inlineStr">
        <is>
          <t>ID постачальника збігся, але назви різні</t>
        </is>
      </c>
    </row>
    <row r="1686">
      <c r="A1686" s="22" t="n">
        <v>29.4</v>
      </c>
      <c r="B1686" s="22" t="inlineStr">
        <is>
          <t>Клуб Рослин</t>
        </is>
      </c>
      <c r="C1686" s="22" t="inlineStr">
        <is>
          <t>2245</t>
        </is>
      </c>
      <c r="D1686" s="22" t="inlineStr">
        <is>
          <t>2245</t>
        </is>
      </c>
      <c r="E1686" s="21" t="inlineStr">
        <is>
          <t>Інсектицид Еміприд Про 5 л Агрохімічні Технології Україна</t>
        </is>
      </c>
      <c r="F1686" s="21" t="inlineStr">
        <is>
          <t>Гортензія волотиста Лаймлайт Штамб C7,5 / Pa100</t>
        </is>
      </c>
      <c r="G1686" s="23" t="n">
        <v>4348</v>
      </c>
      <c r="H1686" s="23" t="n">
        <v>1656</v>
      </c>
      <c r="I1686" s="21" t="inlineStr">
        <is>
          <t>ID постачальника збігся, але назви різні</t>
        </is>
      </c>
    </row>
    <row r="1687">
      <c r="A1687" s="22" t="n">
        <v>29.4</v>
      </c>
      <c r="B1687" s="22" t="inlineStr">
        <is>
          <t>Клуб Рослин</t>
        </is>
      </c>
      <c r="C1687" s="22" t="inlineStr">
        <is>
          <t>5053</t>
        </is>
      </c>
      <c r="D1687" s="22" t="inlineStr">
        <is>
          <t>5053</t>
        </is>
      </c>
      <c r="E1687" s="21" t="inlineStr">
        <is>
          <t>Протруйник Селест Топ 1 л (розлив) Syngenta Сингента Швейцарія</t>
        </is>
      </c>
      <c r="F1687" s="21" t="inlineStr">
        <is>
          <t>Сосна гнучка Ван дер Волфс Пірамід PC20 C20 / H80-90</t>
        </is>
      </c>
      <c r="G1687" s="23" t="n">
        <v>3400</v>
      </c>
      <c r="H1687" s="23" t="n">
        <v>1.56</v>
      </c>
      <c r="I1687" s="21" t="inlineStr">
        <is>
          <t>ID постачальника збігся, але назви різні</t>
        </is>
      </c>
    </row>
    <row r="1688">
      <c r="A1688" s="22" t="n">
        <v>29.4</v>
      </c>
      <c r="B1688" s="22" t="inlineStr">
        <is>
          <t>Клуб Рослин</t>
        </is>
      </c>
      <c r="C1688" s="22" t="inlineStr">
        <is>
          <t>2124</t>
        </is>
      </c>
      <c r="D1688" s="22" t="inlineStr">
        <is>
          <t>2124</t>
        </is>
      </c>
      <c r="E1688" s="21" t="inlineStr">
        <is>
          <t>Інсектицид Трансформ ВРГ Transform WG 250 г Сorveta Кортева</t>
        </is>
      </c>
      <c r="F1688" s="21" t="inlineStr">
        <is>
          <t>Гортензія великолисткова Фест Уайт C5 / H30-40</t>
        </is>
      </c>
      <c r="G1688" s="23" t="n">
        <v>2998</v>
      </c>
      <c r="H1688" s="23" t="n">
        <v>325</v>
      </c>
      <c r="I1688" s="21" t="inlineStr">
        <is>
          <t>ID постачальника збігся, але назви різні</t>
        </is>
      </c>
    </row>
    <row r="1689">
      <c r="A1689" s="22" t="n">
        <v>29.4</v>
      </c>
      <c r="B1689" s="22" t="inlineStr">
        <is>
          <t>Клуб Рослин</t>
        </is>
      </c>
      <c r="C1689" s="22" t="inlineStr">
        <is>
          <t>2258</t>
        </is>
      </c>
      <c r="D1689" s="22" t="inlineStr">
        <is>
          <t>2258</t>
        </is>
      </c>
      <c r="E1689" s="21" t="inlineStr">
        <is>
          <t>Грунтовий інсектицид Тефлікс 10 кг Globachem Бельгія</t>
        </is>
      </c>
      <c r="F1689" s="21" t="inlineStr">
        <is>
          <t>Гортензія волотиста Літтл Лайм (Джейн) PC20 C3 / H70-80</t>
        </is>
      </c>
      <c r="G1689" s="23" t="n">
        <v>2898</v>
      </c>
      <c r="H1689" s="23" t="n">
        <v>240</v>
      </c>
      <c r="I1689" s="21" t="inlineStr">
        <is>
          <t>ID постачальника збігся, але назви різні</t>
        </is>
      </c>
    </row>
    <row r="1690">
      <c r="A1690" s="22" t="n">
        <v>29.4</v>
      </c>
      <c r="B1690" s="22" t="inlineStr">
        <is>
          <t>Клуб Рослин</t>
        </is>
      </c>
      <c r="C1690" s="22" t="inlineStr">
        <is>
          <t>7.107</t>
        </is>
      </c>
      <c r="D1690" s="22" t="inlineStr">
        <is>
          <t>7107</t>
        </is>
      </c>
      <c r="E1690" s="21" t="inlineStr">
        <is>
          <t>LOWE Original 7.107 Садовий секатор з наковаленкою Німеччина</t>
        </is>
      </c>
      <c r="F1690" s="21" t="inlineStr">
        <is>
          <t>Троянда плетиста Нью Даун DP PC19 C5 / H20-30</t>
        </is>
      </c>
      <c r="G1690" s="23" t="n">
        <v>2850</v>
      </c>
      <c r="H1690" s="23" t="n">
        <v>174</v>
      </c>
      <c r="I1690" s="21" t="inlineStr">
        <is>
          <t>ID постачальника збігся, але різні бренди</t>
        </is>
      </c>
    </row>
    <row r="1691">
      <c r="A1691" s="22" t="n">
        <v>29.4</v>
      </c>
      <c r="B1691" s="22" t="inlineStr">
        <is>
          <t>Клуб Рослин</t>
        </is>
      </c>
      <c r="C1691" s="22" t="inlineStr">
        <is>
          <t>3300</t>
        </is>
      </c>
      <c r="D1691" s="22" t="inlineStr">
        <is>
          <t>3300</t>
        </is>
      </c>
      <c r="E1691" s="21" t="inlineStr">
        <is>
          <t>Фунгіцид Антракол ВГ 1 кг (розсип) Bayer Байєр Німеччина</t>
        </is>
      </c>
      <c r="F1691" s="21" t="inlineStr">
        <is>
          <t>Жимолость приморська (плетиста) Бельгіка Select PC21 C7,5</t>
        </is>
      </c>
      <c r="G1691" s="23" t="n">
        <v>998</v>
      </c>
      <c r="H1691" s="23" t="n">
        <v>415</v>
      </c>
      <c r="I1691" s="21" t="inlineStr">
        <is>
          <t>ID постачальника збігся, але різні бренди</t>
        </is>
      </c>
    </row>
    <row r="1692">
      <c r="A1692" s="22" t="n">
        <v>29.4</v>
      </c>
      <c r="B1692" s="22" t="inlineStr">
        <is>
          <t>Клуб Рослин</t>
        </is>
      </c>
      <c r="C1692" s="22" t="inlineStr">
        <is>
          <t>7144</t>
        </is>
      </c>
      <c r="D1692" s="22" t="inlineStr">
        <is>
          <t>7144</t>
        </is>
      </c>
      <c r="E1692" s="21" t="inlineStr">
        <is>
          <t>Добриво Вуксал Мікроплант рН Wyxal Microplant рН 1 л Unifer Унифер Німеччина</t>
        </is>
      </c>
      <c r="F1692" s="21" t="inlineStr">
        <is>
          <t>Троянда гібридний(а) (Анжеліка DP PC20 C7,5</t>
        </is>
      </c>
      <c r="G1692" s="23" t="n">
        <v>850</v>
      </c>
      <c r="H1692" s="23" t="n">
        <v>290</v>
      </c>
      <c r="I1692" s="21" t="inlineStr">
        <is>
          <t>ID постачальника збігся, але різні бренди</t>
        </is>
      </c>
    </row>
    <row r="1693">
      <c r="A1693" s="22" t="n">
        <v>29.4</v>
      </c>
      <c r="B1693" s="22" t="inlineStr">
        <is>
          <t>Клуб Рослин</t>
        </is>
      </c>
      <c r="C1693" s="22" t="inlineStr">
        <is>
          <t>7984</t>
        </is>
      </c>
      <c r="D1693" s="22" t="inlineStr">
        <is>
          <t>7984</t>
        </is>
      </c>
      <c r="E1693" s="21" t="inlineStr">
        <is>
          <t>Добриво Леда Гель Старт / Leda Gel Start 10-40-20+ТЕ 1 л Велика Британія</t>
        </is>
      </c>
      <c r="F1693" s="21" t="inlineStr">
        <is>
          <t>Липа американська (чорна) PC17 C27,5</t>
        </is>
      </c>
      <c r="G1693" s="23" t="n">
        <v>762</v>
      </c>
      <c r="H1693" s="23" t="n">
        <v>3000</v>
      </c>
      <c r="I1693" s="21" t="inlineStr">
        <is>
          <t>ID постачальника збігся, але назви різні</t>
        </is>
      </c>
    </row>
    <row r="1694">
      <c r="A1694" s="22" t="n">
        <v>29.4</v>
      </c>
      <c r="B1694" s="22" t="inlineStr">
        <is>
          <t>Клуб Рослин</t>
        </is>
      </c>
      <c r="C1694" s="22" t="inlineStr">
        <is>
          <t>2003</t>
        </is>
      </c>
      <c r="D1694" s="22" t="inlineStr">
        <is>
          <t>2003</t>
        </is>
      </c>
      <c r="E1694" s="21" t="inlineStr">
        <is>
          <t>Інсектицид Апплауд ЗП 500 г Sumiagro Самміт Агро Японія</t>
        </is>
      </c>
      <c r="F1694" s="21" t="inlineStr">
        <is>
          <t>Гібіскус сірійський Чайна Шифон ® PC21 C7,5 / H80-90</t>
        </is>
      </c>
      <c r="G1694" s="23" t="n">
        <v>700</v>
      </c>
      <c r="H1694" s="23" t="n">
        <v>260</v>
      </c>
      <c r="I1694" s="21" t="inlineStr">
        <is>
          <t>ID постачальника збігся, але назви різні</t>
        </is>
      </c>
    </row>
    <row r="1695">
      <c r="A1695" s="22" t="n">
        <v>29.4</v>
      </c>
      <c r="B1695" s="22" t="inlineStr">
        <is>
          <t>Клуб Рослин</t>
        </is>
      </c>
      <c r="C1695" s="22" t="inlineStr">
        <is>
          <t>7559</t>
        </is>
      </c>
      <c r="D1695" s="22" t="inlineStr">
        <is>
          <t>7559</t>
        </is>
      </c>
      <c r="E1695" s="21" t="inlineStr">
        <is>
          <t>Добриво імунорегулятор рослин Софтгард SoftGuard 1 л Leili Лейлі</t>
        </is>
      </c>
      <c r="F1695" s="21" t="inlineStr">
        <is>
          <t>Тис ягідний (а) Шварцгрун Бонсай C130 / H150 / L120</t>
        </is>
      </c>
      <c r="G1695" s="23" t="n">
        <v>525</v>
      </c>
      <c r="H1695" s="23" t="n">
        <v>34776</v>
      </c>
      <c r="I1695" s="21" t="inlineStr">
        <is>
          <t>ID постачальника збігся, але назви різні</t>
        </is>
      </c>
    </row>
    <row r="1696">
      <c r="A1696" s="22" t="n">
        <v>29.4</v>
      </c>
      <c r="B1696" s="22" t="inlineStr">
        <is>
          <t>Клуб Рослин</t>
        </is>
      </c>
      <c r="C1696" s="22" t="inlineStr">
        <is>
          <t>7932</t>
        </is>
      </c>
      <c r="D1696" s="22" t="inlineStr">
        <is>
          <t>7932</t>
        </is>
      </c>
      <c r="E1696" s="21" t="inlineStr">
        <is>
          <t>Добриво Ікар Зінто (Цинк) / Ikar Zinto 0.5 л Литва</t>
        </is>
      </c>
      <c r="F1696" s="21" t="inlineStr">
        <is>
          <t>Туя західна (ий) Смарагд Топіар, Складна Фігура C80 / H100-120</t>
        </is>
      </c>
      <c r="G1696" s="23" t="n">
        <v>517</v>
      </c>
      <c r="H1696" s="23" t="n">
        <v>3600</v>
      </c>
      <c r="I1696" s="21" t="inlineStr">
        <is>
          <t>ID постачальника збігся, але назви різні</t>
        </is>
      </c>
    </row>
    <row r="1697">
      <c r="A1697" s="22" t="n">
        <v>29.4</v>
      </c>
      <c r="B1697" s="22" t="inlineStr">
        <is>
          <t>Клуб Рослин</t>
        </is>
      </c>
      <c r="C1697" s="22" t="inlineStr">
        <is>
          <t>1057</t>
        </is>
      </c>
      <c r="D1697" s="22" t="inlineStr">
        <is>
          <t>1057</t>
        </is>
      </c>
      <c r="E1697" s="21" t="inlineStr">
        <is>
          <t>Гербіцид Пермаклін Ліквід 100 мл Protect Garden Німеччина</t>
        </is>
      </c>
      <c r="F1697" s="21" t="inlineStr">
        <is>
          <t>Береза плакуча (ий) Штамб №25 C250 / H500-600 / o20-25</t>
        </is>
      </c>
      <c r="G1697" s="23" t="n">
        <v>465</v>
      </c>
      <c r="H1697" s="23" t="n">
        <v>750</v>
      </c>
      <c r="I1697" s="21" t="inlineStr">
        <is>
          <t>ID постачальника збігся, але назви різні</t>
        </is>
      </c>
    </row>
    <row r="1698">
      <c r="A1698" s="22" t="n">
        <v>29.4</v>
      </c>
      <c r="B1698" s="22" t="inlineStr">
        <is>
          <t>Клуб Рослин</t>
        </is>
      </c>
      <c r="C1698" s="22" t="inlineStr">
        <is>
          <t>1263</t>
        </is>
      </c>
      <c r="D1698" s="22" t="inlineStr">
        <is>
          <t>1263</t>
        </is>
      </c>
      <c r="E1698" s="21" t="inlineStr">
        <is>
          <t>Добриво Леда / Leda NPK 8-17-42+TE+GS+Amino 1 кг Нідерланди</t>
        </is>
      </c>
      <c r="F1698" s="21" t="inlineStr">
        <is>
          <t>Кедр атласький Глаука Пендула Штамб C290 / H300-400 / Pa250</t>
        </is>
      </c>
      <c r="G1698" s="23" t="n">
        <v>225</v>
      </c>
      <c r="H1698" s="23" t="n">
        <v>49680</v>
      </c>
      <c r="I1698" s="21" t="inlineStr">
        <is>
          <t>ID постачальника збігся, але назви різні</t>
        </is>
      </c>
    </row>
    <row r="1699">
      <c r="A1699" s="22" t="n">
        <v>29.4</v>
      </c>
      <c r="B1699" s="22" t="inlineStr">
        <is>
          <t>Клуб Рослин</t>
        </is>
      </c>
      <c r="C1699" s="22" t="inlineStr">
        <is>
          <t>7545</t>
        </is>
      </c>
      <c r="D1699" s="22" t="inlineStr">
        <is>
          <t>7545</t>
        </is>
      </c>
      <c r="E1699" s="21" t="inlineStr">
        <is>
          <t>Добриво Кеміра для газону NPK 12-11-18 1 кг Yara Яра Норвегія</t>
        </is>
      </c>
      <c r="F1699" s="21" t="inlineStr">
        <is>
          <t>Тис ягідний (а) Піраміда Woodenbox 500 / H175-200 / L70-80</t>
        </is>
      </c>
      <c r="G1699" s="23" t="n">
        <v>225</v>
      </c>
      <c r="H1699" s="23" t="n">
        <v>19083</v>
      </c>
      <c r="I1699" s="21" t="inlineStr">
        <is>
          <t>ID постачальника збігся, але різні бренди</t>
        </is>
      </c>
    </row>
    <row r="1700">
      <c r="A1700" s="22" t="n">
        <v>29.4</v>
      </c>
      <c r="B1700" s="22" t="inlineStr">
        <is>
          <t>Клуб Рослин</t>
        </is>
      </c>
      <c r="C1700" s="22" t="inlineStr">
        <is>
          <t>7126</t>
        </is>
      </c>
      <c r="D1700" s="22" t="inlineStr">
        <is>
          <t>7126</t>
        </is>
      </c>
      <c r="E1700" s="21" t="inlineStr">
        <is>
          <t>Стимулятор росту Ізабіон 100 мл Syngenta Сингента Швейцарія</t>
        </is>
      </c>
      <c r="F1700" s="21" t="inlineStr">
        <is>
          <t>Троянда англійська Зе Прінцес траст PC17 C2</t>
        </is>
      </c>
      <c r="G1700" s="23" t="n">
        <v>115</v>
      </c>
      <c r="H1700" s="23" t="n">
        <v>90</v>
      </c>
      <c r="I1700" s="21" t="inlineStr">
        <is>
          <t>ID постачальника збігся, але назви різні</t>
        </is>
      </c>
    </row>
    <row r="1701">
      <c r="A1701" s="22" t="n">
        <v>29.3</v>
      </c>
      <c r="B1701" s="22" t="inlineStr">
        <is>
          <t>Клуб Рослин</t>
        </is>
      </c>
      <c r="C1701" s="22" t="inlineStr">
        <is>
          <t>8154</t>
        </is>
      </c>
      <c r="D1701" s="22" t="inlineStr">
        <is>
          <t>8154</t>
        </is>
      </c>
      <c r="E1701" s="21" t="inlineStr">
        <is>
          <t>Регулятор росту НеоВіво / NeoVivo 20 л Neova Фінляндія</t>
        </is>
      </c>
      <c r="F1701" s="21" t="inlineStr">
        <is>
          <t>Вейгела Брістол Рубі PC17 C7,5</t>
        </is>
      </c>
      <c r="G1701" s="23" t="n">
        <v>13923</v>
      </c>
      <c r="H1701" s="23" t="n">
        <v>166</v>
      </c>
      <c r="I1701" s="21" t="inlineStr">
        <is>
          <t>ID постачальника збігся, але назви різні</t>
        </is>
      </c>
    </row>
    <row r="1702">
      <c r="A1702" s="22" t="n">
        <v>29.3</v>
      </c>
      <c r="B1702" s="22" t="inlineStr">
        <is>
          <t>Клуб Рослин</t>
        </is>
      </c>
      <c r="C1702" s="22" t="inlineStr">
        <is>
          <t>7332</t>
        </is>
      </c>
      <c r="D1702" s="22" t="inlineStr">
        <is>
          <t>7332</t>
        </is>
      </c>
      <c r="E1702" s="21" t="inlineStr">
        <is>
          <t>Добриво Кафом Цинк-Марганець / Kafom Zn-Mn 20 л Meristem Мерістем Іспанія</t>
        </is>
      </c>
      <c r="F1702" s="21" t="inlineStr">
        <is>
          <t>Спірея японська Ентоні Ватерер K19 C100 / H80-100</t>
        </is>
      </c>
      <c r="G1702" s="23" t="n">
        <v>13500</v>
      </c>
      <c r="H1702" s="23" t="n">
        <v>480</v>
      </c>
      <c r="I1702" s="21" t="inlineStr">
        <is>
          <t>ID постачальника збігся, але назви різні</t>
        </is>
      </c>
    </row>
    <row r="1703">
      <c r="A1703" s="22" t="n">
        <v>29.3</v>
      </c>
      <c r="B1703" s="22" t="inlineStr">
        <is>
          <t>Клуб Рослин</t>
        </is>
      </c>
      <c r="C1703" s="22" t="inlineStr">
        <is>
          <t>1191</t>
        </is>
      </c>
      <c r="D1703" s="22" t="inlineStr">
        <is>
          <t>1191</t>
        </is>
      </c>
      <c r="E1703" s="21" t="inlineStr">
        <is>
          <t>Гербіцид Ефірон 20 л Нертус Україна</t>
        </is>
      </c>
      <c r="F1703" s="21" t="inlineStr">
        <is>
          <t>Осока птахонога Варієгата PC15 P10 / H10-15</t>
        </is>
      </c>
      <c r="G1703" s="23" t="n">
        <v>7130</v>
      </c>
      <c r="H1703" s="23" t="n">
        <v>55</v>
      </c>
      <c r="I1703" s="21" t="inlineStr">
        <is>
          <t>ID постачальника збігся, але назви різні</t>
        </is>
      </c>
    </row>
    <row r="1704">
      <c r="A1704" s="22" t="n">
        <v>29.3</v>
      </c>
      <c r="B1704" s="22" t="inlineStr">
        <is>
          <t>Клуб Рослин</t>
        </is>
      </c>
      <c r="C1704" s="22" t="inlineStr">
        <is>
          <t>3166</t>
        </is>
      </c>
      <c r="D1704" s="22" t="inlineStr">
        <is>
          <t>3166</t>
        </is>
      </c>
      <c r="E1704" s="21" t="inlineStr">
        <is>
          <t>Фунгіцид Джек Пот 5 л КЕ Ukravit Укравіт Україна</t>
        </is>
      </c>
      <c r="F1704" s="21" t="inlineStr">
        <is>
          <t>Лілія ЛО-гібридна Тріумфатор 12\14</t>
        </is>
      </c>
      <c r="G1704" s="23" t="n">
        <v>6198</v>
      </c>
      <c r="H1704" s="23" t="n">
        <v>50</v>
      </c>
      <c r="I1704" s="21" t="inlineStr">
        <is>
          <t>ID постачальника збігся, але назви різні</t>
        </is>
      </c>
    </row>
    <row r="1705">
      <c r="A1705" s="22" t="n">
        <v>29.3</v>
      </c>
      <c r="B1705" s="22" t="inlineStr">
        <is>
          <t>Клуб Рослин</t>
        </is>
      </c>
      <c r="C1705" s="22" t="inlineStr">
        <is>
          <t>7557</t>
        </is>
      </c>
      <c r="D1705" s="22" t="inlineStr">
        <is>
          <t>7557</t>
        </is>
      </c>
      <c r="E1705" s="21" t="inlineStr">
        <is>
          <t>Добриво Келькат Цинк / Kelkat Zinc 5 кг Вітера Atlantica Agricola Іспанія</t>
        </is>
      </c>
      <c r="F1705" s="21" t="inlineStr">
        <is>
          <t>Тис ягідний (а) Шварцгрун Бонсай C130 / H120 / L110</t>
        </is>
      </c>
      <c r="G1705" s="23" t="n">
        <v>4852</v>
      </c>
      <c r="H1705" s="23" t="n">
        <v>26496</v>
      </c>
      <c r="I1705" s="21" t="inlineStr">
        <is>
          <t>ID постачальника збігся, але назви різні</t>
        </is>
      </c>
    </row>
    <row r="1706">
      <c r="A1706" s="22" t="n">
        <v>29.3</v>
      </c>
      <c r="B1706" s="22" t="inlineStr">
        <is>
          <t>Клуб Рослин</t>
        </is>
      </c>
      <c r="C1706" s="22" t="inlineStr">
        <is>
          <t>2283</t>
        </is>
      </c>
      <c r="D1706" s="22" t="inlineStr">
        <is>
          <t>2283</t>
        </is>
      </c>
      <c r="E1706" s="21" t="inlineStr">
        <is>
          <t>Інсектициди Актоцид EXTRA 5 л Кіссон Україна</t>
        </is>
      </c>
      <c r="F1706" s="21" t="inlineStr">
        <is>
          <t>Гортензія волотиста Меджикал Фаєр ® C7,5</t>
        </is>
      </c>
      <c r="G1706" s="23" t="n">
        <v>2775</v>
      </c>
      <c r="H1706" s="23" t="n">
        <v>366</v>
      </c>
      <c r="I1706" s="21" t="inlineStr">
        <is>
          <t>ID постачальника збігся, але назви різні</t>
        </is>
      </c>
    </row>
    <row r="1707">
      <c r="A1707" s="22" t="n">
        <v>29.3</v>
      </c>
      <c r="B1707" s="22" t="inlineStr">
        <is>
          <t>Клуб Рослин</t>
        </is>
      </c>
      <c r="C1707" s="22" t="inlineStr">
        <is>
          <t>3263</t>
        </is>
      </c>
      <c r="D1707" s="22" t="inlineStr">
        <is>
          <t>3263</t>
        </is>
      </c>
      <c r="E1707" s="21" t="inlineStr">
        <is>
          <t>Фунгіцид Варос 5 л Alfa Smart Agro Альфа Смарт Агро Україна</t>
        </is>
      </c>
      <c r="F1707" s="21" t="inlineStr">
        <is>
          <t>Ліріодендрон (Тюльпанове дерево) тюльпановий Штамб C30 / o10-12 / Pa220</t>
        </is>
      </c>
      <c r="G1707" s="23" t="n">
        <v>2000</v>
      </c>
      <c r="H1707" s="23" t="n">
        <v>9000</v>
      </c>
      <c r="I1707" s="21" t="inlineStr">
        <is>
          <t>ID постачальника збігся, але назви різні</t>
        </is>
      </c>
    </row>
    <row r="1708">
      <c r="A1708" s="22" t="n">
        <v>29.3</v>
      </c>
      <c r="B1708" s="22" t="inlineStr">
        <is>
          <t>Клуб Рослин</t>
        </is>
      </c>
      <c r="C1708" s="22" t="inlineStr">
        <is>
          <t>1162</t>
        </is>
      </c>
      <c r="D1708" s="22" t="inlineStr">
        <is>
          <t>1162</t>
        </is>
      </c>
      <c r="E1708" s="21" t="inlineStr">
        <is>
          <t>Гербіцид Імі-Віт 5 л Ukravit Укравіт Україна</t>
        </is>
      </c>
      <c r="F1708" s="21" t="inlineStr">
        <is>
          <t>Кампсіс укорінливий Фламенко C2</t>
        </is>
      </c>
      <c r="G1708" s="23" t="n">
        <v>1998</v>
      </c>
      <c r="H1708" s="23" t="n">
        <v>144</v>
      </c>
      <c r="I1708" s="21" t="inlineStr">
        <is>
          <t>ID постачальника збігся, але назви різні</t>
        </is>
      </c>
    </row>
    <row r="1709">
      <c r="A1709" s="22" t="n">
        <v>29.3</v>
      </c>
      <c r="B1709" s="22" t="inlineStr">
        <is>
          <t>Клуб Рослин</t>
        </is>
      </c>
      <c r="C1709" s="22" t="inlineStr">
        <is>
          <t>7650</t>
        </is>
      </c>
      <c r="D1709" s="22" t="inlineStr">
        <is>
          <t>7650</t>
        </is>
      </c>
      <c r="E1709" s="21" t="inlineStr">
        <is>
          <t>Біостимулятор Egrow Розвиток кореневої системи 1 л Grupo Inesta Іспанія</t>
        </is>
      </c>
      <c r="F1709" s="21" t="inlineStr">
        <is>
          <t>Туя (Платікладус) східна Ауреа Нана G+C20 / H40-60</t>
        </is>
      </c>
      <c r="G1709" s="23" t="n">
        <v>798</v>
      </c>
      <c r="H1709" s="23" t="n">
        <v>1656</v>
      </c>
      <c r="I1709" s="21" t="inlineStr">
        <is>
          <t>ID постачальника збігся, але назви різні</t>
        </is>
      </c>
    </row>
    <row r="1710">
      <c r="A1710" s="22" t="n">
        <v>29.3</v>
      </c>
      <c r="B1710" s="22" t="inlineStr">
        <is>
          <t>Клуб Рослин</t>
        </is>
      </c>
      <c r="C1710" s="22" t="inlineStr">
        <is>
          <t>5057</t>
        </is>
      </c>
      <c r="D1710" s="22" t="inlineStr">
        <is>
          <t>5057</t>
        </is>
      </c>
      <c r="E1710" s="21" t="inlineStr">
        <is>
          <t>Протруйник Кайзер 1 л Нертус Угорщина</t>
        </is>
      </c>
      <c r="F1710" s="21" t="inlineStr">
        <is>
          <t>Сосна корейська Шібамічі K20 C65 / H60-80</t>
        </is>
      </c>
      <c r="G1710" s="23" t="n">
        <v>725</v>
      </c>
      <c r="H1710" s="23" t="n">
        <v>2640</v>
      </c>
      <c r="I1710" s="21" t="inlineStr">
        <is>
          <t>ID постачальника збігся, але назви різні</t>
        </is>
      </c>
    </row>
    <row r="1711">
      <c r="A1711" s="22" t="n">
        <v>29.3</v>
      </c>
      <c r="B1711" s="22" t="inlineStr">
        <is>
          <t>Клуб Рослин</t>
        </is>
      </c>
      <c r="C1711" s="22" t="inlineStr">
        <is>
          <t>7188</t>
        </is>
      </c>
      <c r="D1711" s="22" t="inlineStr">
        <is>
          <t>7188</t>
        </is>
      </c>
      <c r="E1711" s="21" t="inlineStr">
        <is>
          <t>Добриво Мікрокат Кальцій (Microcat Ca) 1 л Вітера Vitera Atlantica Agricola Іспанія</t>
        </is>
      </c>
      <c r="F1711" s="21" t="inlineStr">
        <is>
          <t>Троянда гібридний(а) Ландора Штамб GK / Pa100</t>
        </is>
      </c>
      <c r="G1711" s="23" t="n">
        <v>552</v>
      </c>
      <c r="H1711" s="23" t="n">
        <v>420</v>
      </c>
      <c r="I1711" s="21" t="inlineStr">
        <is>
          <t>ID постачальника збігся, але різні бренди</t>
        </is>
      </c>
    </row>
    <row r="1712">
      <c r="A1712" s="22" t="n">
        <v>29.3</v>
      </c>
      <c r="B1712" s="22" t="inlineStr">
        <is>
          <t>Клуб Рослин</t>
        </is>
      </c>
      <c r="C1712" s="22" t="inlineStr">
        <is>
          <t>2095</t>
        </is>
      </c>
      <c r="D1712" s="22" t="inlineStr">
        <is>
          <t>2095</t>
        </is>
      </c>
      <c r="E1712" s="21" t="inlineStr">
        <is>
          <t>Грунтовий інсектицид Бізар 250 мл Агро-Захист Україна</t>
        </is>
      </c>
      <c r="F1712" s="21" t="inlineStr">
        <is>
          <t>Гортензія черешкова C5 / H80-100</t>
        </is>
      </c>
      <c r="G1712" s="23" t="n">
        <v>398</v>
      </c>
      <c r="H1712" s="23" t="n">
        <v>460</v>
      </c>
      <c r="I1712" s="21" t="inlineStr">
        <is>
          <t>ID постачальника збігся, але назви різні</t>
        </is>
      </c>
    </row>
    <row r="1713">
      <c r="A1713" s="22" t="n">
        <v>29.3</v>
      </c>
      <c r="B1713" s="22" t="inlineStr">
        <is>
          <t>Клуб Рослин</t>
        </is>
      </c>
      <c r="C1713" s="22" t="inlineStr">
        <is>
          <t>3428</t>
        </is>
      </c>
      <c r="D1713" s="22" t="inlineStr">
        <is>
          <t>3428</t>
        </is>
      </c>
      <c r="E1713" s="21" t="inlineStr">
        <is>
          <t>Фунгіцид СпороМакс В 1 кг Імекс Агро Україна</t>
        </is>
      </c>
      <c r="F1713" s="21" t="inlineStr">
        <is>
          <t>Магнолія Лебнера Меррілл PC20 C3 / H20-30</t>
        </is>
      </c>
      <c r="G1713" s="23" t="n">
        <v>348</v>
      </c>
      <c r="H1713" s="23" t="n">
        <v>216</v>
      </c>
      <c r="I1713" s="21" t="inlineStr">
        <is>
          <t>ID постачальника збігся, але назви різні</t>
        </is>
      </c>
    </row>
    <row r="1714">
      <c r="A1714" s="22" t="n">
        <v>29.3</v>
      </c>
      <c r="B1714" s="22" t="inlineStr">
        <is>
          <t>Клуб Рослин</t>
        </is>
      </c>
      <c r="C1714" s="22" t="inlineStr">
        <is>
          <t>8097</t>
        </is>
      </c>
      <c r="D1714" s="22" t="inlineStr">
        <is>
          <t>8097</t>
        </is>
      </c>
      <c r="E1714" s="21" t="inlineStr">
        <is>
          <t>Добриво Osmocote / Хобі Осмокот для газону 15-5-5 (2-3 М) 1 кг ICL Нідерланди</t>
        </is>
      </c>
      <c r="F1714" s="21" t="inlineStr">
        <is>
          <t>Чорниця висока (Голубика, Лохина) Блюкроп PC20 C15 / H40-60</t>
        </is>
      </c>
      <c r="G1714" s="23" t="n">
        <v>310</v>
      </c>
      <c r="H1714" s="23" t="n">
        <v>828</v>
      </c>
      <c r="I1714" s="21" t="inlineStr">
        <is>
          <t>ID постачальника збігся, але назви різні</t>
        </is>
      </c>
    </row>
    <row r="1715">
      <c r="A1715" s="22" t="n">
        <v>29.3</v>
      </c>
      <c r="B1715" s="22" t="inlineStr">
        <is>
          <t>Клуб Рослин</t>
        </is>
      </c>
      <c r="C1715" s="22" t="inlineStr">
        <is>
          <t>7068</t>
        </is>
      </c>
      <c r="D1715" s="22" t="inlineStr">
        <is>
          <t>7068</t>
        </is>
      </c>
      <c r="E1715" s="21" t="inlineStr">
        <is>
          <t>Біостимулятор МаксіКроп Крем Maxicrop Cream 100 мл Valagro Валагро Італія</t>
        </is>
      </c>
      <c r="F1715" s="21" t="inlineStr">
        <is>
          <t>Акація псевдоакація Умбракуліфера C55 / o10-12</t>
        </is>
      </c>
      <c r="G1715" s="23" t="n">
        <v>215</v>
      </c>
      <c r="H1715" s="23" t="n">
        <v>5760</v>
      </c>
      <c r="I1715" s="21" t="inlineStr">
        <is>
          <t>ID постачальника збігся, але назви різні</t>
        </is>
      </c>
    </row>
    <row r="1716">
      <c r="A1716" s="22" t="n">
        <v>29.2</v>
      </c>
      <c r="B1716" s="22" t="inlineStr">
        <is>
          <t>Клуб Рослин</t>
        </is>
      </c>
      <c r="C1716" s="22" t="inlineStr">
        <is>
          <t>3324</t>
        </is>
      </c>
      <c r="D1716" s="22" t="inlineStr">
        <is>
          <t>3324</t>
        </is>
      </c>
      <c r="E1716" s="21" t="inlineStr">
        <is>
          <t>Фунгіцид Фитолекарь (Fitolekar) 20 л Хімагромаркетинг Україна</t>
        </is>
      </c>
      <c r="F1716" s="21" t="inlineStr">
        <is>
          <t>Магнолія гола Юлан C35 / H125-150</t>
        </is>
      </c>
      <c r="G1716" s="23" t="n">
        <v>7998</v>
      </c>
      <c r="H1716" s="23" t="n">
        <v>5760</v>
      </c>
      <c r="I1716" s="21" t="inlineStr">
        <is>
          <t>ID постачальника збігся, але назви різні</t>
        </is>
      </c>
    </row>
    <row r="1717">
      <c r="A1717" s="22" t="n">
        <v>29.2</v>
      </c>
      <c r="B1717" s="22" t="inlineStr">
        <is>
          <t>Клуб Рослин</t>
        </is>
      </c>
      <c r="C1717" s="22" t="inlineStr">
        <is>
          <t>3088</t>
        </is>
      </c>
      <c r="D1717" s="22" t="inlineStr">
        <is>
          <t>3088</t>
        </is>
      </c>
      <c r="E1717" s="21" t="inlineStr">
        <is>
          <t>Фунгіцид Делавіт 5 л Ukravit Укравит Украина</t>
        </is>
      </c>
      <c r="F1717" s="21" t="inlineStr">
        <is>
          <t>Модрина європейська Пендула Штамб K14 G+C45 / Pa150-200</t>
        </is>
      </c>
      <c r="G1717" s="23" t="n">
        <v>5498</v>
      </c>
      <c r="H1717" s="23" t="n">
        <v>2425</v>
      </c>
      <c r="I1717" s="21" t="inlineStr">
        <is>
          <t>ID постачальника збігся, але різні об'єми або розміри</t>
        </is>
      </c>
    </row>
    <row r="1718">
      <c r="A1718" s="22" t="n">
        <v>29.2</v>
      </c>
      <c r="B1718" s="22" t="inlineStr">
        <is>
          <t>Клуб Рослин</t>
        </is>
      </c>
      <c r="C1718" s="22" t="inlineStr">
        <is>
          <t>5013</t>
        </is>
      </c>
      <c r="D1718" s="22" t="inlineStr">
        <is>
          <t>5013</t>
        </is>
      </c>
      <c r="E1718" s="21" t="inlineStr">
        <is>
          <t>Протруйник Серкадіс 1 л Basf Басф Німеччина</t>
        </is>
      </c>
      <c r="F1718" s="21" t="inlineStr">
        <is>
          <t>Сосна густоквіткова Умбракуліфера K19 G / H80-100</t>
        </is>
      </c>
      <c r="G1718" s="23" t="n">
        <v>5200</v>
      </c>
      <c r="H1718" s="23" t="n">
        <v>1200</v>
      </c>
      <c r="I1718" s="21" t="inlineStr">
        <is>
          <t>ID постачальника збігся, але різні об'єми або розміри</t>
        </is>
      </c>
    </row>
    <row r="1719">
      <c r="A1719" s="22" t="n">
        <v>29.2</v>
      </c>
      <c r="B1719" s="22" t="inlineStr">
        <is>
          <t>Клуб Рослин</t>
        </is>
      </c>
      <c r="C1719" s="22" t="inlineStr">
        <is>
          <t>2335</t>
        </is>
      </c>
      <c r="D1719" s="22" t="inlineStr">
        <is>
          <t>2335</t>
        </is>
      </c>
      <c r="E1719" s="21" t="inlineStr">
        <is>
          <t>Інсектицид Міст Супер 5 л Хімагромаркетинг Україна</t>
        </is>
      </c>
      <c r="F1719" s="21" t="inlineStr">
        <is>
          <t>Гортензія волотиста Mix (в асортименті) PC15 C10</t>
        </is>
      </c>
      <c r="G1719" s="23" t="n">
        <v>3525</v>
      </c>
      <c r="H1719" s="23" t="n">
        <v>480</v>
      </c>
      <c r="I1719" s="21" t="inlineStr">
        <is>
          <t>ID постачальника збігся, але назви різні</t>
        </is>
      </c>
    </row>
    <row r="1720">
      <c r="A1720" s="22" t="n">
        <v>29.2</v>
      </c>
      <c r="B1720" s="22" t="inlineStr">
        <is>
          <t>Клуб Рослин</t>
        </is>
      </c>
      <c r="C1720" s="22" t="inlineStr">
        <is>
          <t>104-27</t>
        </is>
      </c>
      <c r="D1720" s="22" t="inlineStr">
        <is>
          <t>10427</t>
        </is>
      </c>
      <c r="E1720" s="21" t="inlineStr">
        <is>
          <t>Пила садова із чохлом Silky Gomtaro 270-13 (104-27) Японія</t>
        </is>
      </c>
      <c r="F1720" s="21" t="inlineStr">
        <is>
          <t>Лезо для пили ARS UV-32E-1 (АРС UV-32E-1)</t>
        </is>
      </c>
      <c r="G1720" s="23" t="n">
        <v>2950</v>
      </c>
      <c r="H1720" s="23" t="n">
        <v>844</v>
      </c>
      <c r="I1720" s="21" t="inlineStr">
        <is>
          <t>ID постачальника збігся, але різні бренди</t>
        </is>
      </c>
    </row>
    <row r="1721">
      <c r="A1721" s="22" t="n">
        <v>29.2</v>
      </c>
      <c r="B1721" s="22" t="inlineStr">
        <is>
          <t>Клуб Рослин</t>
        </is>
      </c>
      <c r="C1721" s="22" t="inlineStr">
        <is>
          <t>7207</t>
        </is>
      </c>
      <c r="D1721" s="22" t="inlineStr">
        <is>
          <t>7207</t>
        </is>
      </c>
      <c r="E1721" s="21" t="inlineStr">
        <is>
          <t>Добриво Мікрокат Залізо 5 л Вітера Atlantica Agricola Іспанія</t>
        </is>
      </c>
      <c r="F1721" s="21" t="inlineStr">
        <is>
          <t>Троянда гібридний(а) Ред Берлін SP G</t>
        </is>
      </c>
      <c r="G1721" s="23" t="n">
        <v>2532</v>
      </c>
      <c r="H1721" s="23" t="n">
        <v>44</v>
      </c>
      <c r="I1721" s="21" t="inlineStr">
        <is>
          <t>ID постачальника збігся, але різні бренди</t>
        </is>
      </c>
    </row>
    <row r="1722">
      <c r="A1722" s="22" t="n">
        <v>29.2</v>
      </c>
      <c r="B1722" s="22" t="inlineStr">
        <is>
          <t>Клуб Рослин</t>
        </is>
      </c>
      <c r="C1722" s="22" t="inlineStr">
        <is>
          <t>7229</t>
        </is>
      </c>
      <c r="D1722" s="22" t="inlineStr">
        <is>
          <t>7229</t>
        </is>
      </c>
      <c r="E1722" s="21" t="inlineStr">
        <is>
          <t>Біостимулятор Разормін 1 л Вітера Atlantica Agricola Іспанія</t>
        </is>
      </c>
      <c r="F1722" s="21" t="inlineStr">
        <is>
          <t>Троянда Кордеса Роткепчен DP PC20 C2</t>
        </is>
      </c>
      <c r="G1722" s="23" t="n">
        <v>1940</v>
      </c>
      <c r="H1722" s="23" t="n">
        <v>174</v>
      </c>
      <c r="I1722" s="21" t="inlineStr">
        <is>
          <t>ID постачальника збігся, але різні бренди</t>
        </is>
      </c>
    </row>
    <row r="1723">
      <c r="A1723" s="22" t="n">
        <v>29.2</v>
      </c>
      <c r="B1723" s="22" t="inlineStr">
        <is>
          <t>Клуб Рослин</t>
        </is>
      </c>
      <c r="C1723" s="22" t="inlineStr">
        <is>
          <t>1035</t>
        </is>
      </c>
      <c r="D1723" s="22" t="inlineStr">
        <is>
          <t>1035</t>
        </is>
      </c>
      <c r="E1723" s="21" t="inlineStr">
        <is>
          <t>Гербіцид Зенкор Ліквід 1 л (розлив) Bayer Байєр Німеччина</t>
        </is>
      </c>
      <c r="F1723" s="21" t="inlineStr">
        <is>
          <t>Барбарис Тунберга Вулкано PC22 C7,5 / H30-40</t>
        </is>
      </c>
      <c r="G1723" s="23" t="n">
        <v>1898</v>
      </c>
      <c r="H1723" s="23" t="n">
        <v>319</v>
      </c>
      <c r="I1723" s="21" t="inlineStr">
        <is>
          <t>ID постачальника збігся, але назви різні</t>
        </is>
      </c>
    </row>
    <row r="1724">
      <c r="A1724" s="22" t="n">
        <v>29.2</v>
      </c>
      <c r="B1724" s="22" t="inlineStr">
        <is>
          <t>Клуб Рослин</t>
        </is>
      </c>
      <c r="C1724" s="22" t="inlineStr">
        <is>
          <t>3284</t>
        </is>
      </c>
      <c r="D1724" s="22" t="inlineStr">
        <is>
          <t>3284</t>
        </is>
      </c>
      <c r="E1724" s="21" t="inlineStr">
        <is>
          <t>Фунгіцид Штефікур 5 л Stefes / Штефес Ліхтенштейн</t>
        </is>
      </c>
      <c r="F1724" s="21" t="inlineStr">
        <is>
          <t>Жимолость східна Ленінградський Велікан C2</t>
        </is>
      </c>
      <c r="G1724" s="23" t="n">
        <v>1848</v>
      </c>
      <c r="H1724" s="23" t="n">
        <v>100</v>
      </c>
      <c r="I1724" s="21" t="inlineStr">
        <is>
          <t>ID постачальника збігся, але назви різні</t>
        </is>
      </c>
    </row>
    <row r="1725">
      <c r="A1725" s="22" t="n">
        <v>29.2</v>
      </c>
      <c r="B1725" s="22" t="inlineStr">
        <is>
          <t>Клуб Рослин</t>
        </is>
      </c>
      <c r="C1725" s="22" t="inlineStr">
        <is>
          <t>2263</t>
        </is>
      </c>
      <c r="D1725" s="22" t="inlineStr">
        <is>
          <t>2263</t>
        </is>
      </c>
      <c r="E1725" s="21" t="inlineStr">
        <is>
          <t>Інсектицид Ріджбек 1 л Corteva Кортева США</t>
        </is>
      </c>
      <c r="F1725" s="21" t="inlineStr">
        <is>
          <t>Гортензія волотиста Меджікал Андс PC20 C3 / H50-55</t>
        </is>
      </c>
      <c r="G1725" s="23" t="n">
        <v>1575</v>
      </c>
      <c r="H1725" s="23" t="n">
        <v>290</v>
      </c>
      <c r="I1725" s="21" t="inlineStr">
        <is>
          <t>ID постачальника збігся, але назви різні</t>
        </is>
      </c>
    </row>
    <row r="1726">
      <c r="A1726" s="22" t="n">
        <v>29.2</v>
      </c>
      <c r="B1726" s="22" t="inlineStr">
        <is>
          <t>Клуб Рослин</t>
        </is>
      </c>
      <c r="C1726" s="22" t="inlineStr">
        <is>
          <t>9024</t>
        </is>
      </c>
      <c r="D1726" s="22" t="inlineStr">
        <is>
          <t>9024</t>
        </is>
      </c>
      <c r="E1726" s="21" t="inlineStr">
        <is>
          <t>Прилипач Меро EC810 5 л Bayer Байєр Німеччина</t>
        </is>
      </c>
      <c r="F1726" s="21" t="inlineStr">
        <is>
          <t>Дерев'яний контейнер 120см * 120см * 60см</t>
        </is>
      </c>
      <c r="G1726" s="23" t="n">
        <v>1820</v>
      </c>
      <c r="H1726" s="23" t="n">
        <v>3194.4</v>
      </c>
      <c r="I1726" s="21" t="inlineStr">
        <is>
          <t>ID постачальника збігся, але різні об'єми або розміри</t>
        </is>
      </c>
    </row>
    <row r="1727">
      <c r="A1727" s="22" t="n">
        <v>29.2</v>
      </c>
      <c r="B1727" s="22" t="inlineStr">
        <is>
          <t>Клуб Рослин</t>
        </is>
      </c>
      <c r="C1727" s="22" t="inlineStr">
        <is>
          <t>7687</t>
        </is>
      </c>
      <c r="D1727" s="22" t="inlineStr">
        <is>
          <t>7687</t>
        </is>
      </c>
      <c r="E1727" s="21" t="inlineStr">
        <is>
          <t>Регулятор росту Хелатин Фіто 10 л Кіссон Україна</t>
        </is>
      </c>
      <c r="F1727" s="21" t="inlineStr">
        <is>
          <t>Туя західна (ий) Клос оф Голд K20 C45 / H60-80</t>
        </is>
      </c>
      <c r="G1727" s="23" t="n">
        <v>1770</v>
      </c>
      <c r="H1727" s="23" t="n">
        <v>960</v>
      </c>
      <c r="I1727" s="21" t="inlineStr">
        <is>
          <t>ID постачальника збігся, але назви різні</t>
        </is>
      </c>
    </row>
    <row r="1728">
      <c r="A1728" s="22" t="n">
        <v>29.2</v>
      </c>
      <c r="B1728" s="22" t="inlineStr">
        <is>
          <t>Клуб Рослин</t>
        </is>
      </c>
      <c r="C1728" s="22" t="inlineStr">
        <is>
          <t>3094</t>
        </is>
      </c>
      <c r="D1728" s="22" t="inlineStr">
        <is>
          <t>3094</t>
        </is>
      </c>
      <c r="E1728" s="21" t="inlineStr">
        <is>
          <t>Фунгіцид Самшит КС 1 л (розлив) Ukravit Укравіт Україна</t>
        </is>
      </c>
      <c r="F1728" s="21" t="inlineStr">
        <is>
          <t>Модрина японська Бонсай Spirale C60 / H175-200</t>
        </is>
      </c>
      <c r="G1728" s="23" t="n">
        <v>1475</v>
      </c>
      <c r="H1728" s="23" t="n">
        <v>34580</v>
      </c>
      <c r="I1728" s="21" t="inlineStr">
        <is>
          <t>ID постачальника збігся, але різні бренди</t>
        </is>
      </c>
    </row>
    <row r="1729">
      <c r="A1729" s="22" t="n">
        <v>29.2</v>
      </c>
      <c r="B1729" s="22" t="inlineStr">
        <is>
          <t>Клуб Рослин</t>
        </is>
      </c>
      <c r="C1729" s="22" t="inlineStr">
        <is>
          <t>2293</t>
        </is>
      </c>
      <c r="D1729" s="22" t="inlineStr">
        <is>
          <t>2293</t>
        </is>
      </c>
      <c r="E1729" s="21" t="inlineStr">
        <is>
          <t>Біоінсектицид Мікрокат Бон (Microcat Bon) 1 л Вітера Atlantica Agricola Іспанія</t>
        </is>
      </c>
      <c r="F1729" s="21" t="inlineStr">
        <is>
          <t>Гортензія волотиста Меджікал Гімалайа PC22 C7,5 / H60-70</t>
        </is>
      </c>
      <c r="G1729" s="23" t="n">
        <v>1149</v>
      </c>
      <c r="H1729" s="23" t="n">
        <v>420</v>
      </c>
      <c r="I1729" s="21" t="inlineStr">
        <is>
          <t>ID постачальника збігся, але назви різні</t>
        </is>
      </c>
    </row>
    <row r="1730">
      <c r="A1730" s="22" t="n">
        <v>29.2</v>
      </c>
      <c r="B1730" s="22" t="inlineStr">
        <is>
          <t>Клуб Рослин</t>
        </is>
      </c>
      <c r="C1730" s="22" t="inlineStr">
        <is>
          <t>7465</t>
        </is>
      </c>
      <c r="D1730" s="22" t="inlineStr">
        <is>
          <t>7465</t>
        </is>
      </c>
      <c r="E1730" s="21" t="inlineStr">
        <is>
          <t>Біостимулятор росту Alga Care Альга Кер 1 кг Leili Лейлі</t>
        </is>
      </c>
      <c r="F1730" s="21" t="inlineStr">
        <is>
          <t>Тис ягідний (а) Бонсай C110 / H100-125</t>
        </is>
      </c>
      <c r="G1730" s="23" t="n">
        <v>1125</v>
      </c>
      <c r="H1730" s="23" t="n">
        <v>19202</v>
      </c>
      <c r="I1730" s="21" t="inlineStr">
        <is>
          <t>ID постачальника збігся, але назви різні</t>
        </is>
      </c>
    </row>
    <row r="1731">
      <c r="A1731" s="22" t="n">
        <v>29.2</v>
      </c>
      <c r="B1731" s="22" t="inlineStr">
        <is>
          <t>Клуб Рослин</t>
        </is>
      </c>
      <c r="C1731" s="22" t="inlineStr">
        <is>
          <t>1261</t>
        </is>
      </c>
      <c r="D1731" s="22" t="inlineStr">
        <is>
          <t>1261</t>
        </is>
      </c>
      <c r="E1731" s="21" t="inlineStr">
        <is>
          <t>Гербіцид Огородник 1 кг Хімагромаркетинг Україна</t>
        </is>
      </c>
      <c r="F1731" s="21" t="inlineStr">
        <is>
          <t>Кедр атласький Глаука Бонсай C230 / H300-350</t>
        </is>
      </c>
      <c r="G1731" s="23" t="n">
        <v>998</v>
      </c>
      <c r="H1731" s="23" t="n">
        <v>41400</v>
      </c>
      <c r="I1731" s="21" t="inlineStr">
        <is>
          <t>ID постачальника збігся, але назви різні</t>
        </is>
      </c>
    </row>
    <row r="1732">
      <c r="A1732" s="22" t="n">
        <v>29.2</v>
      </c>
      <c r="B1732" s="22" t="inlineStr">
        <is>
          <t>Клуб Рослин</t>
        </is>
      </c>
      <c r="C1732" s="22" t="inlineStr">
        <is>
          <t>7160</t>
        </is>
      </c>
      <c r="D1732" s="22" t="inlineStr">
        <is>
          <t>7160</t>
        </is>
      </c>
      <c r="E1732" s="21" t="inlineStr">
        <is>
          <t>Добриво Келік Калій - Кремній (Kelik Potassium-Silicon) 1 л Вітера Atlantica Agricola Іспанія</t>
        </is>
      </c>
      <c r="F1732" s="21" t="inlineStr">
        <is>
          <t>Троянда гібридний(а) Шопен DP PC20 C2 / H20-30</t>
        </is>
      </c>
      <c r="G1732" s="23" t="n">
        <v>915</v>
      </c>
      <c r="H1732" s="23" t="n">
        <v>144</v>
      </c>
      <c r="I1732" s="21" t="inlineStr">
        <is>
          <t>ID постачальника збігся, але різні бренди</t>
        </is>
      </c>
    </row>
    <row r="1733">
      <c r="A1733" s="22" t="n">
        <v>29.2</v>
      </c>
      <c r="B1733" s="22" t="inlineStr">
        <is>
          <t>Клуб Рослин</t>
        </is>
      </c>
      <c r="C1733" s="22" t="inlineStr">
        <is>
          <t>7187</t>
        </is>
      </c>
      <c r="D1733" s="22" t="inlineStr">
        <is>
          <t>7187</t>
        </is>
      </c>
      <c r="E1733" s="21" t="inlineStr">
        <is>
          <t>Добриво Мікрокат Кальцій-Бор (Microcat Са-В) 1 л Вітера Vitera Atlantica Agricola Іспания</t>
        </is>
      </c>
      <c r="F1733" s="21" t="inlineStr">
        <is>
          <t>Троянда гібридний(а) Ландора Штамб C12 / Pa100</t>
        </is>
      </c>
      <c r="G1733" s="23" t="n">
        <v>698</v>
      </c>
      <c r="H1733" s="23" t="n">
        <v>580</v>
      </c>
      <c r="I1733" s="21" t="inlineStr">
        <is>
          <t>ID постачальника збігся, але назви різні</t>
        </is>
      </c>
    </row>
    <row r="1734">
      <c r="A1734" s="22" t="n">
        <v>29.2</v>
      </c>
      <c r="B1734" s="22" t="inlineStr">
        <is>
          <t>Клуб Рослин</t>
        </is>
      </c>
      <c r="C1734" s="22" t="inlineStr">
        <is>
          <t>2281</t>
        </is>
      </c>
      <c r="D1734" s="22" t="inlineStr">
        <is>
          <t>2281</t>
        </is>
      </c>
      <c r="E1734" s="21" t="inlineStr">
        <is>
          <t>Біоінсектицид Бітоксибацилін КС 1 л БТУ Центр Україна</t>
        </is>
      </c>
      <c r="F1734" s="21" t="inlineStr">
        <is>
          <t>Гортензія волотиста Межджікал Кендл PC22 C5</t>
        </is>
      </c>
      <c r="G1734" s="23" t="n">
        <v>265</v>
      </c>
      <c r="H1734" s="23" t="n">
        <v>360</v>
      </c>
      <c r="I1734" s="21" t="inlineStr">
        <is>
          <t>ID постачальника збігся, але назви різні</t>
        </is>
      </c>
    </row>
    <row r="1735">
      <c r="A1735" s="22" t="n">
        <v>29.1</v>
      </c>
      <c r="B1735" s="22" t="inlineStr">
        <is>
          <t>Клуб Рослин</t>
        </is>
      </c>
      <c r="C1735" s="22" t="inlineStr">
        <is>
          <t>7592</t>
        </is>
      </c>
      <c r="D1735" s="22" t="inlineStr">
        <is>
          <t>7592</t>
        </is>
      </c>
      <c r="E1735" s="21" t="inlineStr">
        <is>
          <t>Стимулятор росту Гуміфілд Форте Фульвік 20 л Humin Tech Німеччина</t>
        </is>
      </c>
      <c r="F1735" s="21" t="inlineStr">
        <is>
          <t>Тис гострокінцевий Бонсай 150*250 C500</t>
        </is>
      </c>
      <c r="G1735" s="23" t="n">
        <v>9498</v>
      </c>
      <c r="H1735" s="23" t="n">
        <v>84180</v>
      </c>
      <c r="I1735" s="21" t="inlineStr">
        <is>
          <t>ID постачальника збігся, але назви різні</t>
        </is>
      </c>
    </row>
    <row r="1736">
      <c r="A1736" s="22" t="n">
        <v>29.1</v>
      </c>
      <c r="B1736" s="22" t="inlineStr">
        <is>
          <t>Клуб Рослин</t>
        </is>
      </c>
      <c r="C1736" s="22" t="inlineStr">
        <is>
          <t>3108</t>
        </is>
      </c>
      <c r="D1736" s="22" t="inlineStr">
        <is>
          <t>3108</t>
        </is>
      </c>
      <c r="E1736" s="21" t="inlineStr">
        <is>
          <t>Фунгіцид Казумін 2Л РК 5 л SumiagroСумі Агро Японія</t>
        </is>
      </c>
      <c r="F1736" s="21" t="inlineStr">
        <is>
          <t>Модрина японська Стів Віпер Штамб K14 G+C45 / Pa150-200</t>
        </is>
      </c>
      <c r="G1736" s="23" t="n">
        <v>6225</v>
      </c>
      <c r="H1736" s="23" t="n">
        <v>2425</v>
      </c>
      <c r="I1736" s="21" t="inlineStr">
        <is>
          <t>ID постачальника збігся, але різні об'єми або розміри</t>
        </is>
      </c>
    </row>
    <row r="1737">
      <c r="A1737" s="22" t="n">
        <v>29.1</v>
      </c>
      <c r="B1737" s="22" t="inlineStr">
        <is>
          <t>Клуб Рослин</t>
        </is>
      </c>
      <c r="C1737" s="22" t="inlineStr">
        <is>
          <t>7159</t>
        </is>
      </c>
      <c r="D1737" s="22" t="inlineStr">
        <is>
          <t>7159</t>
        </is>
      </c>
      <c r="E1737" s="21" t="inlineStr">
        <is>
          <t>Добриво Келік Калій - Кремній (Kelik K-Si) 5 л Вітера Atlantica Agricola Іспанія</t>
        </is>
      </c>
      <c r="F1737" s="21" t="inlineStr">
        <is>
          <t>Троянда гібридний(а) Шопен DP PC19 C5 / H20-30</t>
        </is>
      </c>
      <c r="G1737" s="23" t="n">
        <v>4065</v>
      </c>
      <c r="H1737" s="23" t="n">
        <v>145</v>
      </c>
      <c r="I1737" s="21" t="inlineStr">
        <is>
          <t>ID постачальника збігся, але різні бренди</t>
        </is>
      </c>
    </row>
    <row r="1738">
      <c r="A1738" s="22" t="n">
        <v>29.1</v>
      </c>
      <c r="B1738" s="22" t="inlineStr">
        <is>
          <t>Клуб Рослин</t>
        </is>
      </c>
      <c r="C1738" s="22" t="inlineStr">
        <is>
          <t>9036</t>
        </is>
      </c>
      <c r="D1738" s="22" t="inlineStr">
        <is>
          <t>9036</t>
        </is>
      </c>
      <c r="E1738" s="21" t="inlineStr">
        <is>
          <t>Прилипач Ріпо 20 л Stefes / Штефес Ліхтенштейн</t>
        </is>
      </c>
      <c r="F1738" s="21" t="inlineStr">
        <is>
          <t>Держак Bellota M901 AC75.B для вил з У-подібним закінченням (750мм)</t>
        </is>
      </c>
      <c r="G1738" s="23" t="n">
        <v>4000</v>
      </c>
      <c r="H1738" s="23" t="n">
        <v>633</v>
      </c>
      <c r="I1738" s="21" t="inlineStr">
        <is>
          <t>ID постачальника збігся, але різні об'єми або розміри</t>
        </is>
      </c>
    </row>
    <row r="1739">
      <c r="A1739" s="22" t="n">
        <v>29.1</v>
      </c>
      <c r="B1739" s="22" t="inlineStr">
        <is>
          <t>Клуб Рослин</t>
        </is>
      </c>
      <c r="C1739" s="22" t="inlineStr">
        <is>
          <t>7203</t>
        </is>
      </c>
      <c r="D1739" s="22" t="inlineStr">
        <is>
          <t>7203</t>
        </is>
      </c>
      <c r="E1739" s="21" t="inlineStr">
        <is>
          <t>Добриво Мікрокат Цинк-Бор Zn-B 5 л Вітера Atlantica Agricola Іспанія</t>
        </is>
      </c>
      <c r="F1739" s="21" t="inlineStr">
        <is>
          <t>Троянда гібридний(а) Куїн оф Хертс DP PC19 C5 / H20-30</t>
        </is>
      </c>
      <c r="G1739" s="23" t="n">
        <v>3666</v>
      </c>
      <c r="H1739" s="23" t="n">
        <v>145</v>
      </c>
      <c r="I1739" s="21" t="inlineStr">
        <is>
          <t>ID постачальника збігся, але різні бренди</t>
        </is>
      </c>
    </row>
    <row r="1740">
      <c r="A1740" s="22" t="n">
        <v>29.1</v>
      </c>
      <c r="B1740" s="22" t="inlineStr">
        <is>
          <t>Клуб Рослин</t>
        </is>
      </c>
      <c r="C1740" s="22" t="inlineStr">
        <is>
          <t>8.104</t>
        </is>
      </c>
      <c r="D1740" s="22" t="inlineStr">
        <is>
          <t>8104</t>
        </is>
      </c>
      <c r="E1740" s="21" t="inlineStr">
        <is>
          <t>Садовий секатор з наковаленкою LOWE Original 8.104</t>
        </is>
      </c>
      <c r="F1740" s="21" t="inlineStr">
        <is>
          <t>Чорниця висока (Голубика, Лохина) Чендлер PC20 C30 / H60-80</t>
        </is>
      </c>
      <c r="G1740" s="23" t="n">
        <v>2990</v>
      </c>
      <c r="H1740" s="23" t="n">
        <v>1159</v>
      </c>
      <c r="I1740" s="21" t="inlineStr">
        <is>
          <t>ID постачальника збігся, але назви різні</t>
        </is>
      </c>
    </row>
    <row r="1741">
      <c r="A1741" s="22" t="n">
        <v>29.1</v>
      </c>
      <c r="B1741" s="22" t="inlineStr">
        <is>
          <t>Клуб Рослин</t>
        </is>
      </c>
      <c r="C1741" s="22" t="inlineStr">
        <is>
          <t>2126</t>
        </is>
      </c>
      <c r="D1741" s="22" t="inlineStr">
        <is>
          <t>2126</t>
        </is>
      </c>
      <c r="E1741" s="21" t="inlineStr">
        <is>
          <t>Інсектицид Еміприд 1 кг Агрохімічні технології Україна</t>
        </is>
      </c>
      <c r="F1741" s="21" t="inlineStr">
        <is>
          <t>Гортензія великолисткова Форевер &amp; Евер Ред ® PC19 C5</t>
        </is>
      </c>
      <c r="G1741" s="23" t="n">
        <v>2782</v>
      </c>
      <c r="H1741" s="23" t="n">
        <v>600</v>
      </c>
      <c r="I1741" s="21" t="inlineStr">
        <is>
          <t>ID постачальника збігся, але назви різні</t>
        </is>
      </c>
    </row>
    <row r="1742">
      <c r="A1742" s="22" t="n">
        <v>29.1</v>
      </c>
      <c r="B1742" s="22" t="inlineStr">
        <is>
          <t>Клуб Рослин</t>
        </is>
      </c>
      <c r="C1742" s="22" t="inlineStr">
        <is>
          <t>1059</t>
        </is>
      </c>
      <c r="D1742" s="22" t="inlineStr">
        <is>
          <t>1059</t>
        </is>
      </c>
      <c r="E1742" s="21" t="inlineStr">
        <is>
          <t>Гербіцид Триатлон 500 г Alfa Smart Agro Альфа Смарт Агро Україна</t>
        </is>
      </c>
      <c r="F1742" s="21" t="inlineStr">
        <is>
          <t>Береза плакуча (ий) Янгіі C30 / o10-12 / Pa120</t>
        </is>
      </c>
      <c r="G1742" s="23" t="n">
        <v>2496</v>
      </c>
      <c r="H1742" s="23" t="n">
        <v>1400</v>
      </c>
      <c r="I1742" s="21" t="inlineStr">
        <is>
          <t>ID постачальника збігся, але назви різні</t>
        </is>
      </c>
    </row>
    <row r="1743">
      <c r="A1743" s="22" t="n">
        <v>29.1</v>
      </c>
      <c r="B1743" s="22" t="inlineStr">
        <is>
          <t>Клуб Рослин</t>
        </is>
      </c>
      <c r="C1743" s="22" t="inlineStr">
        <is>
          <t>9105</t>
        </is>
      </c>
      <c r="D1743" s="22" t="inlineStr">
        <is>
          <t>9105</t>
        </is>
      </c>
      <c r="E1743" s="21" t="inlineStr">
        <is>
          <t>Регулятор кислотності Лимонна кислота безводна / Citric Acid Anhydrous 25 кг Ensign</t>
        </is>
      </c>
      <c r="F1743" s="21" t="inlineStr">
        <is>
          <t>Добриво Ekote Fruit Apple 12-06-12+9CaO+3MgO+B (6 місяців), 25 кг</t>
        </is>
      </c>
      <c r="G1743" s="23" t="n">
        <v>2398</v>
      </c>
      <c r="H1743" s="23" t="n">
        <v>3044</v>
      </c>
      <c r="I1743" s="21" t="inlineStr">
        <is>
          <t>ID постачальника збігся, але різні бренди</t>
        </is>
      </c>
    </row>
    <row r="1744">
      <c r="A1744" s="22" t="n">
        <v>29.1</v>
      </c>
      <c r="B1744" s="22" t="inlineStr">
        <is>
          <t>Клуб Рослин</t>
        </is>
      </c>
      <c r="C1744" s="22" t="inlineStr">
        <is>
          <t>8013</t>
        </is>
      </c>
      <c r="D1744" s="22" t="inlineStr">
        <is>
          <t>8013</t>
        </is>
      </c>
      <c r="E1744" s="21" t="inlineStr">
        <is>
          <t>Добриво Солденсо Гель / Soldenso Gel 18-11-59+2%MgO+TE 5 кг Orange​​​​​​​ Іспанія</t>
        </is>
      </c>
      <c r="F1744" s="21" t="inlineStr">
        <is>
          <t>Липа широколиста Шпалера+Штамб C230 / o20-22 / Pa180</t>
        </is>
      </c>
      <c r="G1744" s="23" t="n">
        <v>1903</v>
      </c>
      <c r="H1744" s="23" t="n">
        <v>10598</v>
      </c>
      <c r="I1744" s="21" t="inlineStr">
        <is>
          <t>ID постачальника збігся, але назви різні</t>
        </is>
      </c>
    </row>
    <row r="1745">
      <c r="A1745" s="22" t="n">
        <v>29.1</v>
      </c>
      <c r="B1745" s="22" t="inlineStr">
        <is>
          <t>Клуб Рослин</t>
        </is>
      </c>
      <c r="C1745" s="22" t="inlineStr">
        <is>
          <t>15-912</t>
        </is>
      </c>
      <c r="D1745" s="22" t="inlineStr">
        <is>
          <t>15912</t>
        </is>
      </c>
      <c r="E1745" s="21" t="inlineStr">
        <is>
          <t>Парник складаний 240x90x90 см ПЕ плівка Neo Tools (15-912)</t>
        </is>
      </c>
      <c r="F1745" s="21" t="inlineStr">
        <is>
          <t>Розчин для калібрування ЕС-метрів Agrario H635 1413us/cm</t>
        </is>
      </c>
      <c r="G1745" s="23" t="n">
        <v>1895</v>
      </c>
      <c r="H1745" s="23" t="n">
        <v>47</v>
      </c>
      <c r="I1745" s="21" t="inlineStr">
        <is>
          <t>ID постачальника збігся, але різні бренди</t>
        </is>
      </c>
    </row>
    <row r="1746">
      <c r="A1746" s="22" t="n">
        <v>29.1</v>
      </c>
      <c r="B1746" s="22" t="inlineStr">
        <is>
          <t>Клуб Рослин</t>
        </is>
      </c>
      <c r="C1746" s="22" t="inlineStr">
        <is>
          <t>7161</t>
        </is>
      </c>
      <c r="D1746" s="22" t="inlineStr">
        <is>
          <t>7161</t>
        </is>
      </c>
      <c r="E1746" s="21" t="inlineStr">
        <is>
          <t>Добриво Фосфорно-калійне Атланте Плюс 1 л Вітера Atlantica Іспанія</t>
        </is>
      </c>
      <c r="F1746" s="21" t="inlineStr">
        <is>
          <t>Троянда гібридний(а) Шопен DP PC20 C7,5 / H20-30</t>
        </is>
      </c>
      <c r="G1746" s="23" t="n">
        <v>1334</v>
      </c>
      <c r="H1746" s="23" t="n">
        <v>290</v>
      </c>
      <c r="I1746" s="21" t="inlineStr">
        <is>
          <t>ID постачальника збігся, але різні бренди</t>
        </is>
      </c>
    </row>
    <row r="1747">
      <c r="A1747" s="22" t="n">
        <v>29.1</v>
      </c>
      <c r="B1747" s="22" t="inlineStr">
        <is>
          <t>Клуб Рослин</t>
        </is>
      </c>
      <c r="C1747" s="22" t="inlineStr">
        <is>
          <t>4033</t>
        </is>
      </c>
      <c r="D1747" s="22" t="inlineStr">
        <is>
          <t>4033</t>
        </is>
      </c>
      <c r="E1747" s="21" t="inlineStr">
        <is>
          <t>Молюскоцид Патруль 5 кг Bingo</t>
        </is>
      </c>
      <c r="F1747" s="21" t="inlineStr">
        <is>
          <t>Ялина двоколірна C15 / H30-40</t>
        </is>
      </c>
      <c r="G1747" s="23" t="n">
        <v>1248</v>
      </c>
      <c r="H1747" s="23" t="n">
        <v>2160</v>
      </c>
      <c r="I1747" s="21" t="inlineStr">
        <is>
          <t>ID постачальника збігся, але назви різні</t>
        </is>
      </c>
    </row>
    <row r="1748">
      <c r="A1748" s="22" t="n">
        <v>29.1</v>
      </c>
      <c r="B1748" s="22" t="inlineStr">
        <is>
          <t>Клуб Рослин</t>
        </is>
      </c>
      <c r="C1748" s="22" t="inlineStr">
        <is>
          <t>2148</t>
        </is>
      </c>
      <c r="D1748" s="22" t="inlineStr">
        <is>
          <t>2148</t>
        </is>
      </c>
      <c r="E1748" s="21" t="inlineStr">
        <is>
          <t>Інсектицид Пірінекс КЕ 1 л Adama Адама Ізраїль</t>
        </is>
      </c>
      <c r="F1748" s="21" t="inlineStr">
        <is>
          <t>Гортензія великолисткова Меджікал Блю Беллс PC20 C5 / H30-40</t>
        </is>
      </c>
      <c r="G1748" s="23" t="n">
        <v>655</v>
      </c>
      <c r="H1748" s="23" t="n">
        <v>720</v>
      </c>
      <c r="I1748" s="21" t="inlineStr">
        <is>
          <t>ID постачальника збігся, але назви різні</t>
        </is>
      </c>
    </row>
    <row r="1749">
      <c r="A1749" s="22" t="n">
        <v>29.1</v>
      </c>
      <c r="B1749" s="22" t="inlineStr">
        <is>
          <t>Клуб Рослин</t>
        </is>
      </c>
      <c r="C1749" s="22" t="inlineStr">
        <is>
          <t>9022</t>
        </is>
      </c>
      <c r="D1749" s="22" t="inlineStr">
        <is>
          <t>9022</t>
        </is>
      </c>
      <c r="E1749" s="21" t="inlineStr">
        <is>
          <t>Прилипач Тандем 5 л Ukravit Укравіт Україна</t>
        </is>
      </c>
      <c r="F1749" s="21" t="inlineStr">
        <is>
          <t>Дерев'яний контейнер 90см * 90см * 60см</t>
        </is>
      </c>
      <c r="G1749" s="23" t="n">
        <v>625</v>
      </c>
      <c r="H1749" s="23" t="n">
        <v>2323.19</v>
      </c>
      <c r="I1749" s="21" t="inlineStr">
        <is>
          <t>ID постачальника збігся, але різні об'єми або розміри</t>
        </is>
      </c>
    </row>
    <row r="1750">
      <c r="A1750" s="22" t="n">
        <v>29.1</v>
      </c>
      <c r="B1750" s="22" t="inlineStr">
        <is>
          <t>Клуб Рослин</t>
        </is>
      </c>
      <c r="C1750" s="22" t="inlineStr">
        <is>
          <t>7443</t>
        </is>
      </c>
      <c r="D1750" s="22" t="inlineStr">
        <is>
          <t>7443</t>
        </is>
      </c>
      <c r="E1750" s="21" t="inlineStr">
        <is>
          <t>Добриво GroGreen Файв Фруктус 18-9-36 + 6 CaO + 3 MgO + TE 1 кг Lima Бельгія</t>
        </is>
      </c>
      <c r="F1750" s="21" t="inlineStr">
        <is>
          <t>Тис ягідний (а) Куля C110 / L60-80 / Pa120</t>
        </is>
      </c>
      <c r="G1750" s="23" t="n">
        <v>552</v>
      </c>
      <c r="H1750" s="23" t="n">
        <v>10700</v>
      </c>
      <c r="I1750" s="21" t="inlineStr">
        <is>
          <t>ID постачальника збігся, але назви різні</t>
        </is>
      </c>
    </row>
    <row r="1751">
      <c r="A1751" s="22" t="n">
        <v>29.1</v>
      </c>
      <c r="B1751" s="22" t="inlineStr">
        <is>
          <t>Клуб Рослин</t>
        </is>
      </c>
      <c r="C1751" s="22" t="inlineStr">
        <is>
          <t>8062</t>
        </is>
      </c>
      <c r="D1751" s="22" t="inlineStr">
        <is>
          <t>8062</t>
        </is>
      </c>
      <c r="E1751" s="21" t="inlineStr">
        <is>
          <t>Добриво Сайкін Преміум / Saikin Premium 16-8-22+3MgO+МЕ+ЕАV 2 кг Туреччина</t>
        </is>
      </c>
      <c r="F1751" s="21" t="inlineStr">
        <is>
          <t>Тюльпан махровий пізній Парпл Піон 11\12</t>
        </is>
      </c>
      <c r="G1751" s="23" t="n">
        <v>548</v>
      </c>
      <c r="H1751" s="23" t="n">
        <v>10</v>
      </c>
      <c r="I1751" s="21" t="inlineStr">
        <is>
          <t>ID постачальника збігся, але назви різні</t>
        </is>
      </c>
    </row>
    <row r="1752">
      <c r="A1752" s="22" t="n">
        <v>29.1</v>
      </c>
      <c r="B1752" s="22" t="inlineStr">
        <is>
          <t>Клуб Рослин</t>
        </is>
      </c>
      <c r="C1752" s="22" t="inlineStr">
        <is>
          <t>7927</t>
        </is>
      </c>
      <c r="D1752" s="22" t="inlineStr">
        <is>
          <t>7927</t>
        </is>
      </c>
      <c r="E1752" s="21" t="inlineStr">
        <is>
          <t>Добриво Ікар Калісі (Калій-Фосфор-Кремній) / Ikar Kalisi 0.5 л Литва</t>
        </is>
      </c>
      <c r="F1752" s="21" t="inlineStr">
        <is>
          <t>Туя західна (ий) Смарагд Спіраль XXL C15 / H125-150</t>
        </is>
      </c>
      <c r="G1752" s="23" t="n">
        <v>480</v>
      </c>
      <c r="H1752" s="23" t="n">
        <v>2770</v>
      </c>
      <c r="I1752" s="21" t="inlineStr">
        <is>
          <t>ID постачальника збігся, але різні бренди</t>
        </is>
      </c>
    </row>
    <row r="1753">
      <c r="A1753" s="22" t="n">
        <v>29.1</v>
      </c>
      <c r="B1753" s="22" t="inlineStr">
        <is>
          <t>Клуб Рослин</t>
        </is>
      </c>
      <c r="C1753" s="22" t="inlineStr">
        <is>
          <t>2167</t>
        </is>
      </c>
      <c r="D1753" s="22" t="inlineStr">
        <is>
          <t>2167</t>
        </is>
      </c>
      <c r="E1753" s="21" t="inlineStr">
        <is>
          <t>Інсектицид Фараон 500 мл Хімагромаркетинг Україна</t>
        </is>
      </c>
      <c r="F1753" s="21" t="inlineStr">
        <is>
          <t>Гортензія великолисткова Меджікал Пінк Рубі ® 1gr PC21 C5 / H25-30</t>
        </is>
      </c>
      <c r="G1753" s="23" t="n">
        <v>468</v>
      </c>
      <c r="H1753" s="23" t="n">
        <v>420</v>
      </c>
      <c r="I1753" s="21" t="inlineStr">
        <is>
          <t>ID постачальника збігся, але назви різні</t>
        </is>
      </c>
    </row>
    <row r="1754">
      <c r="A1754" s="22" t="n">
        <v>29.1</v>
      </c>
      <c r="B1754" s="22" t="inlineStr">
        <is>
          <t>Клуб Рослин</t>
        </is>
      </c>
      <c r="C1754" s="22" t="inlineStr">
        <is>
          <t>7925</t>
        </is>
      </c>
      <c r="D1754" s="22" t="inlineStr">
        <is>
          <t>7925</t>
        </is>
      </c>
      <c r="E1754" s="21" t="inlineStr">
        <is>
          <t>Добриво Ікар Інтенс Олійний / Ikar Intense Oil 0.5 л Литва</t>
        </is>
      </c>
      <c r="F1754" s="21" t="inlineStr">
        <is>
          <t>Туя західна (ий) Смарагд Спіраль K20 C230 / H220-240</t>
        </is>
      </c>
      <c r="G1754" s="23" t="n">
        <v>456</v>
      </c>
      <c r="H1754" s="23" t="n">
        <v>4347</v>
      </c>
      <c r="I1754" s="21" t="inlineStr">
        <is>
          <t>ID постачальника збігся, але назви різні</t>
        </is>
      </c>
    </row>
    <row r="1755">
      <c r="A1755" s="22" t="n">
        <v>29.1</v>
      </c>
      <c r="B1755" s="22" t="inlineStr">
        <is>
          <t>Клуб Рослин</t>
        </is>
      </c>
      <c r="C1755" s="22" t="inlineStr">
        <is>
          <t>7615</t>
        </is>
      </c>
      <c r="D1755" s="22" t="inlineStr">
        <is>
          <t>7615</t>
        </is>
      </c>
      <c r="E1755" s="21" t="inlineStr">
        <is>
          <t>Добриво Келік Калій (Kelik Potassium) 250 мл Вітера Atlantica Agricola Іспанія</t>
        </is>
      </c>
      <c r="F1755" s="21" t="inlineStr">
        <is>
          <t>Тис середній Хіксіі Бонсай G+C100 / H200-250</t>
        </is>
      </c>
      <c r="G1755" s="23" t="n">
        <v>313</v>
      </c>
      <c r="H1755" s="23" t="n">
        <v>42000</v>
      </c>
      <c r="I1755" s="21" t="inlineStr">
        <is>
          <t>ID постачальника збігся, але назви різні</t>
        </is>
      </c>
    </row>
    <row r="1756">
      <c r="A1756" s="22" t="n">
        <v>29.1</v>
      </c>
      <c r="B1756" s="22" t="inlineStr">
        <is>
          <t>Клуб Рослин</t>
        </is>
      </c>
      <c r="C1756" s="22" t="inlineStr">
        <is>
          <t>2316</t>
        </is>
      </c>
      <c r="D1756" s="22" t="inlineStr">
        <is>
          <t>2316</t>
        </is>
      </c>
      <c r="E1756" s="21" t="inlineStr">
        <is>
          <t>Інсектицид Антихрущ КС 150 мл Ukravit Укравіт Україна</t>
        </is>
      </c>
      <c r="F1756" s="21" t="inlineStr">
        <is>
          <t>Гортензія волотиста Меджикал Мунлайт ® PC20 C3 / H60-70</t>
        </is>
      </c>
      <c r="G1756" s="23" t="n">
        <v>215</v>
      </c>
      <c r="H1756" s="23" t="n">
        <v>240</v>
      </c>
      <c r="I1756" s="21" t="inlineStr">
        <is>
          <t>ID постачальника збігся, але назви різні</t>
        </is>
      </c>
    </row>
    <row r="1757">
      <c r="A1757" s="22" t="n">
        <v>29</v>
      </c>
      <c r="B1757" s="22" t="inlineStr">
        <is>
          <t>Клуб Рослин</t>
        </is>
      </c>
      <c r="C1757" s="22" t="inlineStr">
        <is>
          <t>4034</t>
        </is>
      </c>
      <c r="D1757" s="22" t="inlineStr">
        <is>
          <t>4034</t>
        </is>
      </c>
      <c r="E1757" s="21" t="inlineStr">
        <is>
          <t>Молюскоцид Патруль 25 кг Bingo</t>
        </is>
      </c>
      <c r="F1757" s="21" t="inlineStr">
        <is>
          <t>Ялина двоколірна C15 / H60-80 / L60-70</t>
        </is>
      </c>
      <c r="G1757" s="23" t="n">
        <v>5525</v>
      </c>
      <c r="H1757" s="23" t="n">
        <v>2915</v>
      </c>
      <c r="I1757" s="21" t="inlineStr">
        <is>
          <t>ID постачальника збігся, але назви різні</t>
        </is>
      </c>
    </row>
    <row r="1758">
      <c r="A1758" s="22" t="n">
        <v>29</v>
      </c>
      <c r="B1758" s="22" t="inlineStr">
        <is>
          <t>Клуб Рослин</t>
        </is>
      </c>
      <c r="C1758" s="22" t="inlineStr">
        <is>
          <t>7289</t>
        </is>
      </c>
      <c r="D1758" s="22" t="inlineStr">
        <is>
          <t>7289</t>
        </is>
      </c>
      <c r="E1758" s="21" t="inlineStr">
        <is>
          <t>Добриво Хелатин МоліБор 10 л Кіссон Україна</t>
        </is>
      </c>
      <c r="F1758" s="21" t="inlineStr">
        <is>
          <t>Троянда Сі Фоам DP PC20 C2</t>
        </is>
      </c>
      <c r="G1758" s="23" t="n">
        <v>4212</v>
      </c>
      <c r="H1758" s="23" t="n">
        <v>174</v>
      </c>
      <c r="I1758" s="21" t="inlineStr">
        <is>
          <t>ID постачальника збігся, але назви різні</t>
        </is>
      </c>
    </row>
    <row r="1759">
      <c r="A1759" s="22" t="n">
        <v>29</v>
      </c>
      <c r="B1759" s="22" t="inlineStr">
        <is>
          <t>Клуб Рослин</t>
        </is>
      </c>
      <c r="C1759" s="22" t="inlineStr">
        <is>
          <t>7271</t>
        </is>
      </c>
      <c r="D1759" s="22" t="inlineStr">
        <is>
          <t>7271</t>
        </is>
      </c>
      <c r="E1759" s="21" t="inlineStr">
        <is>
          <t>Біостимулятор Атлантицел Трихомікс (Atlanticell Trichomix) 1 кг Вітера Atlantica Agricola Іспанія</t>
        </is>
      </c>
      <c r="F1759" s="21" t="inlineStr">
        <is>
          <t>Троянда перська Бебілон Айз Блашінг ® PC21 C5</t>
        </is>
      </c>
      <c r="G1759" s="23" t="n">
        <v>3636</v>
      </c>
      <c r="H1759" s="23" t="n">
        <v>232</v>
      </c>
      <c r="I1759" s="21" t="inlineStr">
        <is>
          <t>ID постачальника збігся, але назви різні</t>
        </is>
      </c>
    </row>
    <row r="1760">
      <c r="A1760" s="22" t="n">
        <v>29</v>
      </c>
      <c r="B1760" s="22" t="inlineStr">
        <is>
          <t>Клуб Рослин</t>
        </is>
      </c>
      <c r="C1760" s="22" t="inlineStr">
        <is>
          <t>7186</t>
        </is>
      </c>
      <c r="D1760" s="22" t="inlineStr">
        <is>
          <t>7186</t>
        </is>
      </c>
      <c r="E1760" s="21" t="inlineStr">
        <is>
          <t>Добриво Мікрокат Кальцій-Бор (Microcat Са-В) 5 л Вітера Vitera Atlantica Agricola Іспания</t>
        </is>
      </c>
      <c r="F1760" s="21" t="inlineStr">
        <is>
          <t>Троянда гібридний(а) Ландора DP PC19 C5 / H20-30</t>
        </is>
      </c>
      <c r="G1760" s="23" t="n">
        <v>2909</v>
      </c>
      <c r="H1760" s="23" t="n">
        <v>144</v>
      </c>
      <c r="I1760" s="21" t="inlineStr">
        <is>
          <t>ID постачальника збігся, але різні бренди</t>
        </is>
      </c>
    </row>
    <row r="1761">
      <c r="A1761" s="22" t="n">
        <v>29</v>
      </c>
      <c r="B1761" s="22" t="inlineStr">
        <is>
          <t>Клуб Рослин</t>
        </is>
      </c>
      <c r="C1761" s="22" t="inlineStr">
        <is>
          <t>7294</t>
        </is>
      </c>
      <c r="D1761" s="22" t="inlineStr">
        <is>
          <t>7294</t>
        </is>
      </c>
      <c r="E1761" s="21" t="inlineStr">
        <is>
          <t>Біостимулятор для обробки насіння Стімакс Сідс / Stimax Seeds 1 л Meristem Мерістем Іспанія</t>
        </is>
      </c>
      <c r="F1761" s="21" t="inlineStr">
        <is>
          <t>Троянда Штамб Mix (в асортименті) C7 / Pa80-110</t>
        </is>
      </c>
      <c r="G1761" s="23" t="n">
        <v>1175</v>
      </c>
      <c r="H1761" s="23" t="n">
        <v>942</v>
      </c>
      <c r="I1761" s="21" t="inlineStr">
        <is>
          <t>ID постачальника збігся, але різні бренди</t>
        </is>
      </c>
    </row>
    <row r="1762">
      <c r="A1762" s="22" t="n">
        <v>29</v>
      </c>
      <c r="B1762" s="22" t="inlineStr">
        <is>
          <t>Клуб Рослин</t>
        </is>
      </c>
      <c r="C1762" s="22" t="inlineStr">
        <is>
          <t>3134</t>
        </is>
      </c>
      <c r="D1762" s="22" t="inlineStr">
        <is>
          <t>3134</t>
        </is>
      </c>
      <c r="E1762" s="21" t="inlineStr">
        <is>
          <t>Біофунгіцид ФітоХелп 1 л БТУ Центр Україна</t>
        </is>
      </c>
      <c r="F1762" s="21" t="inlineStr">
        <is>
          <t>Бірючина звичайна C15 / H60-80</t>
        </is>
      </c>
      <c r="G1762" s="23" t="n">
        <v>444</v>
      </c>
      <c r="H1762" s="23" t="n">
        <v>217</v>
      </c>
      <c r="I1762" s="21" t="inlineStr">
        <is>
          <t>ID постачальника збігся, але назви різні</t>
        </is>
      </c>
    </row>
    <row r="1763">
      <c r="A1763" s="22" t="n">
        <v>28.9</v>
      </c>
      <c r="B1763" s="22" t="inlineStr">
        <is>
          <t>Клуб Рослин</t>
        </is>
      </c>
      <c r="C1763" s="22" t="inlineStr">
        <is>
          <t>3343</t>
        </is>
      </c>
      <c r="D1763" s="22" t="inlineStr">
        <is>
          <t>3343</t>
        </is>
      </c>
      <c r="E1763" s="21" t="inlineStr">
        <is>
          <t>Фунгіцид Парад кс 1 л Sumi Agro Сумі Агро Японія</t>
        </is>
      </c>
      <c r="F1763" s="21" t="inlineStr">
        <is>
          <t>Магнолія Хевен Сент Штамб C20 / Pa130</t>
        </is>
      </c>
      <c r="G1763" s="23" t="n">
        <v>8998</v>
      </c>
      <c r="H1763" s="23" t="n">
        <v>3065</v>
      </c>
      <c r="I1763" s="21" t="inlineStr">
        <is>
          <t>ID постачальника збігся, але назви різні</t>
        </is>
      </c>
    </row>
    <row r="1764">
      <c r="A1764" s="22" t="n">
        <v>28.9</v>
      </c>
      <c r="B1764" s="22" t="inlineStr">
        <is>
          <t>Клуб Рослин</t>
        </is>
      </c>
      <c r="C1764" s="22" t="inlineStr">
        <is>
          <t>3014</t>
        </is>
      </c>
      <c r="D1764" s="22" t="inlineStr">
        <is>
          <t>3014</t>
        </is>
      </c>
      <c r="E1764" s="21" t="inlineStr">
        <is>
          <t>Фунгіцид Пенкоцеб ЗП 25 кг SumiAgro Самміт Агро Японія</t>
        </is>
      </c>
      <c r="F1764" s="21" t="inlineStr">
        <is>
          <t>Ялівець середній Мінт Джулеп PC18 C3</t>
        </is>
      </c>
      <c r="G1764" s="23" t="n">
        <v>9998</v>
      </c>
      <c r="H1764" s="23" t="n">
        <v>155</v>
      </c>
      <c r="I1764" s="21" t="inlineStr">
        <is>
          <t>ID постачальника збігся, але назви різні</t>
        </is>
      </c>
    </row>
    <row r="1765">
      <c r="A1765" s="22" t="n">
        <v>28.9</v>
      </c>
      <c r="B1765" s="22" t="inlineStr">
        <is>
          <t>Клуб Рослин</t>
        </is>
      </c>
      <c r="C1765" s="22" t="inlineStr">
        <is>
          <t>8070</t>
        </is>
      </c>
      <c r="D1765" s="22" t="inlineStr">
        <is>
          <t>8070</t>
        </is>
      </c>
      <c r="E1765" s="21" t="inlineStr">
        <is>
          <t>Добриво Осмокот / Osmocote High K 12-8-19 (3-4 М) 25 кг ICL Нідерланди</t>
        </is>
      </c>
      <c r="F1765" s="21" t="inlineStr">
        <is>
          <t>Тюльпан лілієквітний Бургунді 11/12</t>
        </is>
      </c>
      <c r="G1765" s="23" t="n">
        <v>9067</v>
      </c>
      <c r="H1765" s="23" t="n">
        <v>10</v>
      </c>
      <c r="I1765" s="21" t="inlineStr">
        <is>
          <t>ID постачальника збігся, але назви різні</t>
        </is>
      </c>
    </row>
    <row r="1766">
      <c r="A1766" s="22" t="n">
        <v>28.9</v>
      </c>
      <c r="B1766" s="22" t="inlineStr">
        <is>
          <t>Клуб Рослин</t>
        </is>
      </c>
      <c r="C1766" s="22" t="inlineStr">
        <is>
          <t>2253</t>
        </is>
      </c>
      <c r="D1766" s="22" t="inlineStr">
        <is>
          <t>2253</t>
        </is>
      </c>
      <c r="E1766" s="21" t="inlineStr">
        <is>
          <t>Інсекто-акарицид Рhantom / Фантом 625 мл Basf / Басф Німеччина</t>
        </is>
      </c>
      <c r="F1766" s="21" t="inlineStr">
        <is>
          <t>Гортензія волотиста Літтл Лайм (Джейн) C3</t>
        </is>
      </c>
      <c r="G1766" s="23" t="n">
        <v>8648</v>
      </c>
      <c r="H1766" s="23" t="n">
        <v>270</v>
      </c>
      <c r="I1766" s="21" t="inlineStr">
        <is>
          <t>ID постачальника збігся, але назви різні</t>
        </is>
      </c>
    </row>
    <row r="1767">
      <c r="A1767" s="22" t="n">
        <v>28.9</v>
      </c>
      <c r="B1767" s="22" t="inlineStr">
        <is>
          <t>Клуб Рослин</t>
        </is>
      </c>
      <c r="C1767" s="22" t="inlineStr">
        <is>
          <t>3016</t>
        </is>
      </c>
      <c r="D1767" s="22" t="inlineStr">
        <is>
          <t>3016</t>
        </is>
      </c>
      <c r="E1767" s="21" t="inlineStr">
        <is>
          <t>Фунгіцид Антракол ЗП 10 кг Bayer Байєр Німеччина</t>
        </is>
      </c>
      <c r="F1767" s="21" t="inlineStr">
        <is>
          <t>Ялівець середній Мінт Джулеп PC C15</t>
        </is>
      </c>
      <c r="G1767" s="23" t="n">
        <v>8298</v>
      </c>
      <c r="H1767" s="23" t="n">
        <v>540</v>
      </c>
      <c r="I1767" s="21" t="inlineStr">
        <is>
          <t>ID постачальника збігся, але різні бренди</t>
        </is>
      </c>
    </row>
    <row r="1768">
      <c r="A1768" s="22" t="n">
        <v>28.9</v>
      </c>
      <c r="B1768" s="22" t="inlineStr">
        <is>
          <t>Клуб Рослин</t>
        </is>
      </c>
      <c r="C1768" s="22" t="inlineStr">
        <is>
          <t>1010</t>
        </is>
      </c>
      <c r="D1768" s="22" t="inlineStr">
        <is>
          <t>1010</t>
        </is>
      </c>
      <c r="E1768" s="21" t="inlineStr">
        <is>
          <t>Гербіцид Ураган Форте 20 л Syngenta Сингента Швейцарія</t>
        </is>
      </c>
      <c r="F1768" s="21" t="inlineStr">
        <is>
          <t>Барбарис Тунберга Роуз Глоу PC22 C7,5 / H40-60</t>
        </is>
      </c>
      <c r="G1768" s="23" t="n">
        <v>6998</v>
      </c>
      <c r="H1768" s="23" t="n">
        <v>300</v>
      </c>
      <c r="I1768" s="21" t="inlineStr">
        <is>
          <t>ID постачальника збігся, але назви різні</t>
        </is>
      </c>
    </row>
    <row r="1769">
      <c r="A1769" s="22" t="n">
        <v>28.9</v>
      </c>
      <c r="B1769" s="22" t="inlineStr">
        <is>
          <t>Клуб Рослин</t>
        </is>
      </c>
      <c r="C1769" s="22" t="inlineStr">
        <is>
          <t>7735</t>
        </is>
      </c>
      <c r="D1769" s="22" t="inlineStr">
        <is>
          <t>7735</t>
        </is>
      </c>
      <c r="E1769" s="21" t="inlineStr">
        <is>
          <t>Укорінювач Текамін Раіз / Tecamin Raiz 5 л AgriTecno Іспанія</t>
        </is>
      </c>
      <c r="F1769" s="21" t="inlineStr">
        <is>
          <t>Туя західна (ий) Голден Смарагд ® C3</t>
        </is>
      </c>
      <c r="G1769" s="23" t="n">
        <v>6838</v>
      </c>
      <c r="H1769" s="23" t="n">
        <v>192</v>
      </c>
      <c r="I1769" s="21" t="inlineStr">
        <is>
          <t>ID постачальника збігся, але назви різні</t>
        </is>
      </c>
    </row>
    <row r="1770">
      <c r="A1770" s="22" t="n">
        <v>28.9</v>
      </c>
      <c r="B1770" s="22" t="inlineStr">
        <is>
          <t>Клуб Рослин</t>
        </is>
      </c>
      <c r="C1770" s="22" t="inlineStr">
        <is>
          <t>7521</t>
        </is>
      </c>
      <c r="D1770" s="22" t="inlineStr">
        <is>
          <t>7521</t>
        </is>
      </c>
      <c r="E1770" s="21" t="inlineStr">
        <is>
          <t>Добриво GroGreen NPK 8-17-41+TE 25 кг Lima Бельгія</t>
        </is>
      </c>
      <c r="F1770" s="21" t="inlineStr">
        <is>
          <t>Тис ягідний (а) Фастігіата Ауреа C20 / H100-120</t>
        </is>
      </c>
      <c r="G1770" s="23" t="n">
        <v>5287</v>
      </c>
      <c r="H1770" s="23" t="n">
        <v>2405</v>
      </c>
      <c r="I1770" s="21" t="inlineStr">
        <is>
          <t>ID постачальника збігся, але назви різні</t>
        </is>
      </c>
    </row>
    <row r="1771">
      <c r="A1771" s="22" t="n">
        <v>28.9</v>
      </c>
      <c r="B1771" s="22" t="inlineStr">
        <is>
          <t>Клуб Рослин</t>
        </is>
      </c>
      <c r="C1771" s="22" t="inlineStr">
        <is>
          <t>7380</t>
        </is>
      </c>
      <c r="D1771" s="22" t="inlineStr">
        <is>
          <t>7380</t>
        </is>
      </c>
      <c r="E1771" s="21" t="inlineStr">
        <is>
          <t>Добриво Мікро Павер / Micro Power 10 л SmartGrow Україна</t>
        </is>
      </c>
      <c r="F1771" s="21" t="inlineStr">
        <is>
          <t>Спірея японська Литл Прінцес PC14 P9</t>
        </is>
      </c>
      <c r="G1771" s="23" t="n">
        <v>4496</v>
      </c>
      <c r="H1771" s="23" t="n">
        <v>25</v>
      </c>
      <c r="I1771" s="21" t="inlineStr">
        <is>
          <t>ID постачальника збігся, але назви різні</t>
        </is>
      </c>
    </row>
    <row r="1772">
      <c r="A1772" s="22" t="n">
        <v>28.9</v>
      </c>
      <c r="B1772" s="22" t="inlineStr">
        <is>
          <t>Клуб Рослин</t>
        </is>
      </c>
      <c r="C1772" s="22" t="inlineStr">
        <is>
          <t>7453</t>
        </is>
      </c>
      <c r="D1772" s="22" t="inlineStr">
        <is>
          <t>7453</t>
        </is>
      </c>
      <c r="E1772" s="21" t="inlineStr">
        <is>
          <t>Добриво GroGreen NPK 17-6-18+TE 25 кг Lima Бельгія</t>
        </is>
      </c>
      <c r="F1772" s="21" t="inlineStr">
        <is>
          <t>Тис ягідний (а) Куля C80 / Pa140</t>
        </is>
      </c>
      <c r="G1772" s="23" t="n">
        <v>4332</v>
      </c>
      <c r="H1772" s="23" t="n">
        <v>5606</v>
      </c>
      <c r="I1772" s="21" t="inlineStr">
        <is>
          <t>ID постачальника збігся, але назви різні</t>
        </is>
      </c>
    </row>
    <row r="1773">
      <c r="A1773" s="22" t="n">
        <v>28.9</v>
      </c>
      <c r="B1773" s="22" t="inlineStr">
        <is>
          <t>Клуб Рослин</t>
        </is>
      </c>
      <c r="C1773" s="22" t="inlineStr">
        <is>
          <t>3567</t>
        </is>
      </c>
      <c r="D1773" s="22" t="inlineStr">
        <is>
          <t>3567</t>
        </is>
      </c>
      <c r="E1773" s="21" t="inlineStr">
        <is>
          <t>Фунгіцид Сфінкс Екстра 5 кг Adama Адама Ізраїль</t>
        </is>
      </c>
      <c r="F1773" s="21" t="inlineStr">
        <is>
          <t>Яблуня домашня однорічна Топаз BS GK</t>
        </is>
      </c>
      <c r="G1773" s="23" t="n">
        <v>4160</v>
      </c>
      <c r="H1773" s="23" t="n">
        <v>70</v>
      </c>
      <c r="I1773" s="21" t="inlineStr">
        <is>
          <t>ID постачальника збігся, але різні бренди</t>
        </is>
      </c>
    </row>
    <row r="1774">
      <c r="A1774" s="22" t="n">
        <v>28.9</v>
      </c>
      <c r="B1774" s="22" t="inlineStr">
        <is>
          <t>Клуб Рослин</t>
        </is>
      </c>
      <c r="C1774" s="22" t="inlineStr">
        <is>
          <t>7546</t>
        </is>
      </c>
      <c r="D1774" s="22" t="inlineStr">
        <is>
          <t>7546</t>
        </is>
      </c>
      <c r="E1774" s="21" t="inlineStr">
        <is>
          <t>Інокулянт РизоСтарт 5 л Агро Цезар Україна</t>
        </is>
      </c>
      <c r="F1774" s="21" t="inlineStr">
        <is>
          <t>Тис ягідний (а) Піраміда Woodenbox 700 / H250+</t>
        </is>
      </c>
      <c r="G1774" s="23" t="n">
        <v>4000</v>
      </c>
      <c r="H1774" s="23" t="n">
        <v>28625</v>
      </c>
      <c r="I1774" s="21" t="inlineStr">
        <is>
          <t>ID постачальника збігся, але назви різні</t>
        </is>
      </c>
    </row>
    <row r="1775">
      <c r="A1775" s="22" t="n">
        <v>28.9</v>
      </c>
      <c r="B1775" s="22" t="inlineStr">
        <is>
          <t>Клуб Рослин</t>
        </is>
      </c>
      <c r="C1775" s="22" t="inlineStr">
        <is>
          <t>7958</t>
        </is>
      </c>
      <c r="D1775" s="22" t="inlineStr">
        <is>
          <t>7958</t>
        </is>
      </c>
      <c r="E1775" s="21" t="inlineStr">
        <is>
          <t>Добриво Ел-Джі 81/ LG 81 4 л L.Gobbi Італія</t>
        </is>
      </c>
      <c r="F1775" s="21" t="inlineStr">
        <is>
          <t>Туя складчата Форева Голді Спіраль C25 / H100-125</t>
        </is>
      </c>
      <c r="G1775" s="23" t="n">
        <v>3744</v>
      </c>
      <c r="H1775" s="23" t="n">
        <v>4927</v>
      </c>
      <c r="I1775" s="21" t="inlineStr">
        <is>
          <t>ID постачальника збігся, але назви різні</t>
        </is>
      </c>
    </row>
    <row r="1776">
      <c r="A1776" s="22" t="n">
        <v>28.9</v>
      </c>
      <c r="B1776" s="22" t="inlineStr">
        <is>
          <t>Клуб Рослин</t>
        </is>
      </c>
      <c r="C1776" s="22" t="inlineStr">
        <is>
          <t>7469</t>
        </is>
      </c>
      <c r="D1776" s="22" t="inlineStr">
        <is>
          <t>7469</t>
        </is>
      </c>
      <c r="E1776" s="21" t="inlineStr">
        <is>
          <t>Добриво Кальцій Бор / СaBoron 10 л SmartGrow Україна</t>
        </is>
      </c>
      <c r="F1776" s="21" t="inlineStr">
        <is>
          <t>Тис ягідний (а) Бонсай C180 / H120-140</t>
        </is>
      </c>
      <c r="G1776" s="23" t="n">
        <v>3250</v>
      </c>
      <c r="H1776" s="23" t="n">
        <v>25920</v>
      </c>
      <c r="I1776" s="21" t="inlineStr">
        <is>
          <t>ID постачальника збігся, але назви різні</t>
        </is>
      </c>
    </row>
    <row r="1777">
      <c r="A1777" s="22" t="n">
        <v>28.9</v>
      </c>
      <c r="B1777" s="22" t="inlineStr">
        <is>
          <t>Клуб Рослин</t>
        </is>
      </c>
      <c r="C1777" s="22" t="inlineStr">
        <is>
          <t>7825</t>
        </is>
      </c>
      <c r="D1777" s="22" t="inlineStr">
        <is>
          <t>7825</t>
        </is>
      </c>
      <c r="E1777" s="21" t="inlineStr">
        <is>
          <t>Добриво Азорган-Н / Azorgan-N 5 л Bioera Іспанія</t>
        </is>
      </c>
      <c r="F1777" s="21" t="inlineStr">
        <is>
          <t>Туя західна (ий) Смарагд K19 C20 / H140-160</t>
        </is>
      </c>
      <c r="G1777" s="23" t="n">
        <v>3120</v>
      </c>
      <c r="H1777" s="23" t="n">
        <v>580</v>
      </c>
      <c r="I1777" s="21" t="inlineStr">
        <is>
          <t>ID постачальника збігся, але назви різні</t>
        </is>
      </c>
    </row>
    <row r="1778">
      <c r="A1778" s="22" t="n">
        <v>28.9</v>
      </c>
      <c r="B1778" s="22" t="inlineStr">
        <is>
          <t>Клуб Рослин</t>
        </is>
      </c>
      <c r="C1778" s="22" t="inlineStr">
        <is>
          <t>8067</t>
        </is>
      </c>
      <c r="D1778" s="22" t="inlineStr">
        <is>
          <t>8067</t>
        </is>
      </c>
      <c r="E1778" s="21" t="inlineStr">
        <is>
          <t>Добриво Контролфіт Кремній / Controlphyt Si 5 л AgriTecno Іспанія</t>
        </is>
      </c>
      <c r="F1778" s="21" t="inlineStr">
        <is>
          <t>Тюльпан бахромчастий Канаста 11\12</t>
        </is>
      </c>
      <c r="G1778" s="23" t="n">
        <v>3048</v>
      </c>
      <c r="H1778" s="23" t="n">
        <v>10</v>
      </c>
      <c r="I1778" s="21" t="inlineStr">
        <is>
          <t>ID постачальника збігся, але назви різні</t>
        </is>
      </c>
    </row>
    <row r="1779">
      <c r="A1779" s="22" t="n">
        <v>28.9</v>
      </c>
      <c r="B1779" s="22" t="inlineStr">
        <is>
          <t>Клуб Рослин</t>
        </is>
      </c>
      <c r="C1779" s="22" t="inlineStr">
        <is>
          <t>7573</t>
        </is>
      </c>
      <c r="D1779" s="22" t="inlineStr">
        <is>
          <t>7573</t>
        </is>
      </c>
      <c r="E1779" s="21" t="inlineStr">
        <is>
          <t>Рідке добриво Мерістем Кайран / Meristem Cairan 5 л Іспанія</t>
        </is>
      </c>
      <c r="F1779" s="21" t="inlineStr">
        <is>
          <t>Тис ягідний (а) Спіраль C55 / H140-160</t>
        </is>
      </c>
      <c r="G1779" s="23" t="n">
        <v>2998</v>
      </c>
      <c r="H1779" s="23" t="n">
        <v>8040</v>
      </c>
      <c r="I1779" s="21" t="inlineStr">
        <is>
          <t>ID постачальника збігся, але назви різні</t>
        </is>
      </c>
    </row>
    <row r="1780">
      <c r="A1780" s="22" t="n">
        <v>28.9</v>
      </c>
      <c r="B1780" s="22" t="inlineStr">
        <is>
          <t>Клуб Рослин</t>
        </is>
      </c>
      <c r="C1780" s="22" t="inlineStr">
        <is>
          <t>1.109</t>
        </is>
      </c>
      <c r="D1780" s="22" t="inlineStr">
        <is>
          <t>1109</t>
        </is>
      </c>
      <c r="E1780" s="21" t="inlineStr">
        <is>
          <t>Секатор з ковадлом Lowe Original 1.109 Німеччина</t>
        </is>
      </c>
      <c r="F1780" s="21" t="inlineStr">
        <is>
          <t>Самшит вічнозенений C5 / H20-25</t>
        </is>
      </c>
      <c r="G1780" s="23" t="n">
        <v>2800</v>
      </c>
      <c r="H1780" s="23" t="n">
        <v>180</v>
      </c>
      <c r="I1780" s="21" t="inlineStr">
        <is>
          <t>ID постачальника збігся, але назви різні</t>
        </is>
      </c>
    </row>
    <row r="1781">
      <c r="A1781" s="22" t="n">
        <v>28.9</v>
      </c>
      <c r="B1781" s="22" t="inlineStr">
        <is>
          <t>Клуб Рослин</t>
        </is>
      </c>
      <c r="C1781" s="22" t="inlineStr">
        <is>
          <t>2026</t>
        </is>
      </c>
      <c r="D1781" s="22" t="inlineStr">
        <is>
          <t>2026</t>
        </is>
      </c>
      <c r="E1781" s="21" t="inlineStr">
        <is>
          <t>Інсектицид Маврік 1 л Adama Адама Ізраїль</t>
        </is>
      </c>
      <c r="F1781" s="21" t="inlineStr">
        <is>
          <t>Гібіскус сірійський Хамабо C4 / H40-60</t>
        </is>
      </c>
      <c r="G1781" s="23" t="n">
        <v>2648</v>
      </c>
      <c r="H1781" s="23" t="n">
        <v>195</v>
      </c>
      <c r="I1781" s="21" t="inlineStr">
        <is>
          <t>ID постачальника збігся, але назви різні</t>
        </is>
      </c>
    </row>
    <row r="1782">
      <c r="A1782" s="22" t="n">
        <v>28.9</v>
      </c>
      <c r="B1782" s="22" t="inlineStr">
        <is>
          <t>Клуб Рослин</t>
        </is>
      </c>
      <c r="C1782" s="22" t="inlineStr">
        <is>
          <t>1237</t>
        </is>
      </c>
      <c r="D1782" s="22" t="inlineStr">
        <is>
          <t>1237</t>
        </is>
      </c>
      <c r="E1782" s="21" t="inlineStr">
        <is>
          <t>Гербіцид Сокіл 5 л Нертус Угорщина</t>
        </is>
      </c>
      <c r="F1782" s="21" t="inlineStr">
        <is>
          <t>Катальпа бігнонієвидна Нана Штамб C30 / o10-12 / Pa200</t>
        </is>
      </c>
      <c r="G1782" s="23" t="n">
        <v>2289</v>
      </c>
      <c r="H1782" s="23" t="n">
        <v>3643</v>
      </c>
      <c r="I1782" s="21" t="inlineStr">
        <is>
          <t>ID постачальника збігся, але назви різні</t>
        </is>
      </c>
    </row>
    <row r="1783">
      <c r="A1783" s="22" t="n">
        <v>28.9</v>
      </c>
      <c r="B1783" s="22" t="inlineStr">
        <is>
          <t>Клуб Рослин</t>
        </is>
      </c>
      <c r="C1783" s="22" t="inlineStr">
        <is>
          <t>7909</t>
        </is>
      </c>
      <c r="D1783" s="22" t="inlineStr">
        <is>
          <t>7909</t>
        </is>
      </c>
      <c r="E1783" s="21" t="inlineStr">
        <is>
          <t>Добриво Леда Сульфат калію / Leda Kalasul 0-0-50 +45SO3 25 кг Бельгія</t>
        </is>
      </c>
      <c r="F1783" s="21" t="inlineStr">
        <is>
          <t>Туя західна (ий) Смарагд Пон-Пон C55 / H120-140</t>
        </is>
      </c>
      <c r="G1783" s="23" t="n">
        <v>2124</v>
      </c>
      <c r="H1783" s="23" t="n">
        <v>5796</v>
      </c>
      <c r="I1783" s="21" t="inlineStr">
        <is>
          <t>ID постачальника збігся, але назви різні</t>
        </is>
      </c>
    </row>
    <row r="1784">
      <c r="A1784" s="22" t="n">
        <v>28.9</v>
      </c>
      <c r="B1784" s="22" t="inlineStr">
        <is>
          <t>Клуб Рослин</t>
        </is>
      </c>
      <c r="C1784" s="22" t="inlineStr">
        <is>
          <t>2075</t>
        </is>
      </c>
      <c r="D1784" s="22" t="inlineStr">
        <is>
          <t>2075</t>
        </is>
      </c>
      <c r="E1784" s="21" t="inlineStr">
        <is>
          <t>Інсектицид Фуфанон 5 л FMC ФМС США</t>
        </is>
      </c>
      <c r="F1784" s="21" t="inlineStr">
        <is>
          <t>Гібіскус сірійський Триколор Штамб C3 / Pa50</t>
        </is>
      </c>
      <c r="G1784" s="23" t="n">
        <v>1998</v>
      </c>
      <c r="H1784" s="23" t="n">
        <v>720</v>
      </c>
      <c r="I1784" s="21" t="inlineStr">
        <is>
          <t>ID постачальника збігся, але назви різні</t>
        </is>
      </c>
    </row>
    <row r="1785">
      <c r="A1785" s="22" t="n">
        <v>28.9</v>
      </c>
      <c r="B1785" s="22" t="inlineStr">
        <is>
          <t>Клуб Рослин</t>
        </is>
      </c>
      <c r="C1785" s="22" t="inlineStr">
        <is>
          <t>7693</t>
        </is>
      </c>
      <c r="D1785" s="22" t="inlineStr">
        <is>
          <t>7693</t>
        </is>
      </c>
      <c r="E1785" s="21" t="inlineStr">
        <is>
          <t>Добриво Хелатин МегаБор 10 л Кіссон Україна</t>
        </is>
      </c>
      <c r="F1785" s="21" t="inlineStr">
        <is>
          <t>Туя західна (ий) Даніка K C40 / H40-50</t>
        </is>
      </c>
      <c r="G1785" s="23" t="n">
        <v>1931</v>
      </c>
      <c r="H1785" s="23" t="n">
        <v>653</v>
      </c>
      <c r="I1785" s="21" t="inlineStr">
        <is>
          <t>ID постачальника збігся, але назви різні</t>
        </is>
      </c>
    </row>
    <row r="1786">
      <c r="A1786" s="22" t="n">
        <v>28.9</v>
      </c>
      <c r="B1786" s="22" t="inlineStr">
        <is>
          <t>Клуб Рослин</t>
        </is>
      </c>
      <c r="C1786" s="22" t="inlineStr">
        <is>
          <t>1055</t>
        </is>
      </c>
      <c r="D1786" s="22" t="inlineStr">
        <is>
          <t>1055</t>
        </is>
      </c>
      <c r="E1786" s="21" t="inlineStr">
        <is>
          <t>Гербицид Квін Стар Макс 5 л Ukravit Укравіт Україна</t>
        </is>
      </c>
      <c r="F1786" s="21" t="inlineStr">
        <is>
          <t>Береза плакуча (ий) Штамб K20 C290 / H300-400 / o20-25</t>
        </is>
      </c>
      <c r="G1786" s="23" t="n">
        <v>1825</v>
      </c>
      <c r="H1786" s="23" t="n">
        <v>6000</v>
      </c>
      <c r="I1786" s="21" t="inlineStr">
        <is>
          <t>ID постачальника збігся, але назви різні</t>
        </is>
      </c>
    </row>
    <row r="1787">
      <c r="A1787" s="22" t="n">
        <v>28.9</v>
      </c>
      <c r="B1787" s="22" t="inlineStr">
        <is>
          <t>Клуб Рослин</t>
        </is>
      </c>
      <c r="C1787" s="22" t="inlineStr">
        <is>
          <t>7382</t>
        </is>
      </c>
      <c r="D1787" s="22" t="inlineStr">
        <is>
          <t>7382</t>
        </is>
      </c>
      <c r="E1787" s="21" t="inlineStr">
        <is>
          <t>Добриво Бор-150 / Boron-150 (В) 10 л SmartGrow Україна</t>
        </is>
      </c>
      <c r="F1787" s="21" t="inlineStr">
        <is>
          <t>Спірея японська Литл Прінцес PC18 C5 / L35-40</t>
        </is>
      </c>
      <c r="G1787" s="23" t="n">
        <v>1675</v>
      </c>
      <c r="H1787" s="23" t="n">
        <v>156</v>
      </c>
      <c r="I1787" s="21" t="inlineStr">
        <is>
          <t>ID постачальника збігся, але назви різні</t>
        </is>
      </c>
    </row>
    <row r="1788">
      <c r="A1788" s="22" t="n">
        <v>28.9</v>
      </c>
      <c r="B1788" s="22" t="inlineStr">
        <is>
          <t>Клуб Рослин</t>
        </is>
      </c>
      <c r="C1788" s="22" t="inlineStr">
        <is>
          <t>2254</t>
        </is>
      </c>
      <c r="D1788" s="22" t="inlineStr">
        <is>
          <t>2254</t>
        </is>
      </c>
      <c r="E1788" s="21" t="inlineStr">
        <is>
          <t>Біоінсектицид Актоверм 1.8 % КЕ 1 л БТУ Центр Україна</t>
        </is>
      </c>
      <c r="F1788" s="21" t="inlineStr">
        <is>
          <t>Гортензія волотиста Літтл Лайм (Джейн) C5</t>
        </is>
      </c>
      <c r="G1788" s="23" t="n">
        <v>1648</v>
      </c>
      <c r="H1788" s="23" t="n">
        <v>300</v>
      </c>
      <c r="I1788" s="21" t="inlineStr">
        <is>
          <t>ID постачальника збігся, але назви різні</t>
        </is>
      </c>
    </row>
    <row r="1789">
      <c r="A1789" s="22" t="n">
        <v>28.9</v>
      </c>
      <c r="B1789" s="22" t="inlineStr">
        <is>
          <t>Клуб Рослин</t>
        </is>
      </c>
      <c r="C1789" s="22" t="inlineStr">
        <is>
          <t>7800</t>
        </is>
      </c>
      <c r="D1789" s="22" t="inlineStr">
        <is>
          <t>7800</t>
        </is>
      </c>
      <c r="E1789" s="21" t="inlineStr">
        <is>
          <t>Добриво Ікар Бор / Ikar B 150 5 л Литва</t>
        </is>
      </c>
      <c r="F1789" s="21" t="inlineStr">
        <is>
          <t>Туя західна (ий) Смарагд Extra K G / H80-100</t>
        </is>
      </c>
      <c r="G1789" s="23" t="n">
        <v>1377</v>
      </c>
      <c r="H1789" s="23" t="n">
        <v>300</v>
      </c>
      <c r="I1789" s="21" t="inlineStr">
        <is>
          <t>ID постачальника збігся, але різні бренди</t>
        </is>
      </c>
    </row>
    <row r="1790">
      <c r="A1790" s="22" t="n">
        <v>28.9</v>
      </c>
      <c r="B1790" s="22" t="inlineStr">
        <is>
          <t>Клуб Рослин</t>
        </is>
      </c>
      <c r="C1790" s="22" t="inlineStr">
        <is>
          <t>7492</t>
        </is>
      </c>
      <c r="D1790" s="22" t="inlineStr">
        <is>
          <t>7492</t>
        </is>
      </c>
      <c r="E1790" s="21" t="inlineStr">
        <is>
          <t>Мікродобриво Оракул Колофермін Молібдену 1 л Долина Україна</t>
        </is>
      </c>
      <c r="F1790" s="21" t="inlineStr">
        <is>
          <t>Тис ягідний (а) Конус C130 / H80-100</t>
        </is>
      </c>
      <c r="G1790" s="23" t="n">
        <v>1375</v>
      </c>
      <c r="H1790" s="23" t="n">
        <v>9936</v>
      </c>
      <c r="I1790" s="21" t="inlineStr">
        <is>
          <t>ID постачальника збігся, але назви різні</t>
        </is>
      </c>
    </row>
    <row r="1791">
      <c r="A1791" s="22" t="n">
        <v>28.9</v>
      </c>
      <c r="B1791" s="22" t="inlineStr">
        <is>
          <t>Клуб Рослин</t>
        </is>
      </c>
      <c r="C1791" s="22" t="inlineStr">
        <is>
          <t>7478</t>
        </is>
      </c>
      <c r="D1791" s="22" t="inlineStr">
        <is>
          <t>7478</t>
        </is>
      </c>
      <c r="E1791" s="21" t="inlineStr">
        <is>
          <t>Мікродобриво Оракул Колофермін Бору 5 л Долина Україна</t>
        </is>
      </c>
      <c r="F1791" s="21" t="inlineStr">
        <is>
          <t>Тис ягідний (а) Бонсай C55 / H100</t>
        </is>
      </c>
      <c r="G1791" s="23" t="n">
        <v>1278</v>
      </c>
      <c r="H1791" s="23" t="n">
        <v>16560</v>
      </c>
      <c r="I1791" s="21" t="inlineStr">
        <is>
          <t>ID постачальника збігся, але назви різні</t>
        </is>
      </c>
    </row>
    <row r="1792">
      <c r="A1792" s="22" t="n">
        <v>28.9</v>
      </c>
      <c r="B1792" s="22" t="inlineStr">
        <is>
          <t>Клуб Рослин</t>
        </is>
      </c>
      <c r="C1792" s="22" t="inlineStr">
        <is>
          <t>9808</t>
        </is>
      </c>
      <c r="D1792" s="22" t="inlineStr">
        <is>
          <t>9808</t>
        </is>
      </c>
      <c r="E1792" s="21" t="inlineStr">
        <is>
          <t>Чохол шкіряний Lowe (9808) Льове Німеччина</t>
        </is>
      </c>
      <c r="F1792" s="21" t="inlineStr">
        <is>
          <t>Змінне ріжуче лезо до сучкоріза Bahco R160A</t>
        </is>
      </c>
      <c r="G1792" s="23" t="n">
        <v>1190</v>
      </c>
      <c r="H1792" s="23" t="n">
        <v>1160</v>
      </c>
      <c r="I1792" s="21" t="inlineStr">
        <is>
          <t>ID постачальника збігся, але різні бренди</t>
        </is>
      </c>
    </row>
    <row r="1793">
      <c r="A1793" s="22" t="n">
        <v>28.9</v>
      </c>
      <c r="B1793" s="22" t="inlineStr">
        <is>
          <t>Клуб Рослин</t>
        </is>
      </c>
      <c r="C1793" s="22" t="inlineStr">
        <is>
          <t>7689</t>
        </is>
      </c>
      <c r="D1793" s="22" t="inlineStr">
        <is>
          <t>7689</t>
        </is>
      </c>
      <c r="E1793" s="21" t="inlineStr">
        <is>
          <t>Добриво Хелатин Олійні 10 л Кіссон Україна</t>
        </is>
      </c>
      <c r="F1793" s="21" t="inlineStr">
        <is>
          <t>Туя західна (ий) Клос оф Голд K20 C65 / H60-80</t>
        </is>
      </c>
      <c r="G1793" s="23" t="n">
        <v>983</v>
      </c>
      <c r="H1793" s="23" t="n">
        <v>2160</v>
      </c>
      <c r="I1793" s="21" t="inlineStr">
        <is>
          <t>ID постачальника збігся, але назви різні</t>
        </is>
      </c>
    </row>
    <row r="1794">
      <c r="A1794" s="22" t="n">
        <v>28.9</v>
      </c>
      <c r="B1794" s="22" t="inlineStr">
        <is>
          <t>Клуб Рослин</t>
        </is>
      </c>
      <c r="C1794" s="22" t="inlineStr">
        <is>
          <t>7694</t>
        </is>
      </c>
      <c r="D1794" s="22" t="inlineStr">
        <is>
          <t>7694</t>
        </is>
      </c>
      <c r="E1794" s="21" t="inlineStr">
        <is>
          <t>Добриво Хелатин Марганець 10 л Кіссон Україна</t>
        </is>
      </c>
      <c r="F1794" s="21" t="inlineStr">
        <is>
          <t>Туя західна (ий) Даніка K G / H40-50</t>
        </is>
      </c>
      <c r="G1794" s="23" t="n">
        <v>885</v>
      </c>
      <c r="H1794" s="23" t="n">
        <v>480</v>
      </c>
      <c r="I1794" s="21" t="inlineStr">
        <is>
          <t>ID постачальника збігся, але назви різні</t>
        </is>
      </c>
    </row>
    <row r="1795">
      <c r="A1795" s="22" t="n">
        <v>28.9</v>
      </c>
      <c r="B1795" s="22" t="inlineStr">
        <is>
          <t>Клуб Рослин</t>
        </is>
      </c>
      <c r="C1795" s="22" t="inlineStr">
        <is>
          <t>7572</t>
        </is>
      </c>
      <c r="D1795" s="22" t="inlineStr">
        <is>
          <t>7572</t>
        </is>
      </c>
      <c r="E1795" s="21" t="inlineStr">
        <is>
          <t>Рідке добриво Мерістем Кайран / Meristem Cairan 1 л Іспанія</t>
        </is>
      </c>
      <c r="F1795" s="21" t="inlineStr">
        <is>
          <t>Тис ягідний (а) Спіраль C55 / H120-130</t>
        </is>
      </c>
      <c r="G1795" s="23" t="n">
        <v>698</v>
      </c>
      <c r="H1795" s="23" t="n">
        <v>11592</v>
      </c>
      <c r="I1795" s="21" t="inlineStr">
        <is>
          <t>ID постачальника збігся, але назви різні</t>
        </is>
      </c>
    </row>
    <row r="1796">
      <c r="A1796" s="22" t="n">
        <v>28.9</v>
      </c>
      <c r="B1796" s="22" t="inlineStr">
        <is>
          <t>Клуб Рослин</t>
        </is>
      </c>
      <c r="C1796" s="22" t="inlineStr">
        <is>
          <t>7037</t>
        </is>
      </c>
      <c r="D1796" s="22" t="inlineStr">
        <is>
          <t>7037</t>
        </is>
      </c>
      <c r="E1796" s="21" t="inlineStr">
        <is>
          <t>Добриво Брексіл Цинк Brexil Zn 1 кг Valagro Валагро Італія</t>
        </is>
      </c>
      <c r="F1796" s="21" t="inlineStr">
        <is>
          <t>Рододендрон клейкий Каміндуфт C10 / H60-80</t>
        </is>
      </c>
      <c r="G1796" s="23" t="n">
        <v>650</v>
      </c>
      <c r="H1796" s="23" t="n">
        <v>2153</v>
      </c>
      <c r="I1796" s="21" t="inlineStr">
        <is>
          <t>ID постачальника збігся, але назви різні</t>
        </is>
      </c>
    </row>
    <row r="1797">
      <c r="A1797" s="22" t="n">
        <v>28.9</v>
      </c>
      <c r="B1797" s="22" t="inlineStr">
        <is>
          <t>Клуб Рослин</t>
        </is>
      </c>
      <c r="C1797" s="22" t="inlineStr">
        <is>
          <t>7474</t>
        </is>
      </c>
      <c r="D1797" s="22" t="inlineStr">
        <is>
          <t>7474</t>
        </is>
      </c>
      <c r="E1797" s="21" t="inlineStr">
        <is>
          <t>Регулятор росту Вимпел К 1 кг Долина Україна</t>
        </is>
      </c>
      <c r="F1797" s="21" t="inlineStr">
        <is>
          <t>Тис ягідний (а) Бонсай C30 / H100-140</t>
        </is>
      </c>
      <c r="G1797" s="23" t="n">
        <v>648</v>
      </c>
      <c r="H1797" s="23" t="n">
        <v>19872</v>
      </c>
      <c r="I1797" s="21" t="inlineStr">
        <is>
          <t>ID постачальника збігся, але назви різні</t>
        </is>
      </c>
    </row>
    <row r="1798">
      <c r="A1798" s="22" t="n">
        <v>28.9</v>
      </c>
      <c r="B1798" s="22" t="inlineStr">
        <is>
          <t>Клуб Рослин</t>
        </is>
      </c>
      <c r="C1798" s="22" t="inlineStr">
        <is>
          <t>7930</t>
        </is>
      </c>
      <c r="D1798" s="22" t="inlineStr">
        <is>
          <t>7930</t>
        </is>
      </c>
      <c r="E1798" s="21" t="inlineStr">
        <is>
          <t>Добриво Ікар Менделєніум / Ikar Mendelenium 0.5 л Литва</t>
        </is>
      </c>
      <c r="F1798" s="21" t="inlineStr">
        <is>
          <t>Туя західна (ий) Смарагд Штамб C45 / L40-50 / Pa100</t>
        </is>
      </c>
      <c r="G1798" s="23" t="n">
        <v>560</v>
      </c>
      <c r="H1798" s="23" t="n">
        <v>2760</v>
      </c>
      <c r="I1798" s="21" t="inlineStr">
        <is>
          <t>ID постачальника збігся, але назви різні</t>
        </is>
      </c>
    </row>
    <row r="1799">
      <c r="A1799" s="22" t="n">
        <v>28.9</v>
      </c>
      <c r="B1799" s="22" t="inlineStr">
        <is>
          <t>Клуб Рослин</t>
        </is>
      </c>
      <c r="C1799" s="22" t="inlineStr">
        <is>
          <t>7708</t>
        </is>
      </c>
      <c r="D1799" s="22" t="inlineStr">
        <is>
          <t>7708</t>
        </is>
      </c>
      <c r="E1799" s="21" t="inlineStr">
        <is>
          <t>Добриво Мікроплант Сірка / Microplant Sulfur 5 кг Кіссон Україна</t>
        </is>
      </c>
      <c r="F1799" s="21" t="inlineStr">
        <is>
          <t>Туя західна (ий) Даніка PC14 C3 / H15-20</t>
        </is>
      </c>
      <c r="G1799" s="23" t="n">
        <v>556</v>
      </c>
      <c r="H1799" s="23" t="n">
        <v>120</v>
      </c>
      <c r="I1799" s="21" t="inlineStr">
        <is>
          <t>ID постачальника збігся, але назви різні</t>
        </is>
      </c>
    </row>
    <row r="1800">
      <c r="A1800" s="22" t="n">
        <v>28.9</v>
      </c>
      <c r="B1800" s="22" t="inlineStr">
        <is>
          <t>Клуб Рослин</t>
        </is>
      </c>
      <c r="C1800" s="22" t="inlineStr">
        <is>
          <t>7376</t>
        </is>
      </c>
      <c r="D1800" s="22" t="inlineStr">
        <is>
          <t>7376</t>
        </is>
      </c>
      <c r="E1800" s="21" t="inlineStr">
        <is>
          <t>Добриво Мікро Павер / Micro Power 1 л SmartGrow Україна</t>
        </is>
      </c>
      <c r="F1800" s="21" t="inlineStr">
        <is>
          <t>Спірея японська Джапаніс Дварф PC14 C3 / L20-30</t>
        </is>
      </c>
      <c r="G1800" s="23" t="n">
        <v>541</v>
      </c>
      <c r="H1800" s="23" t="n">
        <v>90</v>
      </c>
      <c r="I1800" s="21" t="inlineStr">
        <is>
          <t>ID постачальника збігся, але назви різні</t>
        </is>
      </c>
    </row>
    <row r="1801">
      <c r="A1801" s="22" t="n">
        <v>28.9</v>
      </c>
      <c r="B1801" s="22" t="inlineStr">
        <is>
          <t>Клуб Рослин</t>
        </is>
      </c>
      <c r="C1801" s="22" t="inlineStr">
        <is>
          <t>7812</t>
        </is>
      </c>
      <c r="D1801" s="22" t="inlineStr">
        <is>
          <t>7812</t>
        </is>
      </c>
      <c r="E1801" s="21" t="inlineStr">
        <is>
          <t>Укорінювач Вітамакс / Vitamax 250 мл Bioera Іспанія</t>
        </is>
      </c>
      <c r="F1801" s="21" t="inlineStr">
        <is>
          <t>Туя західна (ий) Смарагд K G / H120-140</t>
        </is>
      </c>
      <c r="G1801" s="23" t="n">
        <v>520</v>
      </c>
      <c r="H1801" s="23" t="n">
        <v>576</v>
      </c>
      <c r="I1801" s="21" t="inlineStr">
        <is>
          <t>ID постачальника збігся, але назви різні</t>
        </is>
      </c>
    </row>
    <row r="1802">
      <c r="A1802" s="22" t="n">
        <v>28.9</v>
      </c>
      <c r="B1802" s="22" t="inlineStr">
        <is>
          <t>Клуб Рослин</t>
        </is>
      </c>
      <c r="C1802" s="22" t="inlineStr">
        <is>
          <t>2089</t>
        </is>
      </c>
      <c r="D1802" s="22" t="inlineStr">
        <is>
          <t>2089</t>
        </is>
      </c>
      <c r="E1802" s="21" t="inlineStr">
        <is>
          <t>Інсектицид Нокаут 1 л Alfa Smart Agro Альфа Смарт Агро Україна</t>
        </is>
      </c>
      <c r="F1802" s="21" t="inlineStr">
        <is>
          <t>Гіацинт Сіті оф Харлем 15\16</t>
        </is>
      </c>
      <c r="G1802" s="23" t="n">
        <v>312</v>
      </c>
      <c r="H1802" s="23" t="n">
        <v>25</v>
      </c>
      <c r="I1802" s="21" t="inlineStr">
        <is>
          <t>ID постачальника збігся, але назви різні</t>
        </is>
      </c>
    </row>
    <row r="1803">
      <c r="A1803" s="22" t="n">
        <v>28.9</v>
      </c>
      <c r="B1803" s="22" t="inlineStr">
        <is>
          <t>Клуб Рослин</t>
        </is>
      </c>
      <c r="C1803" s="22" t="inlineStr">
        <is>
          <t>2028</t>
        </is>
      </c>
      <c r="D1803" s="22" t="inlineStr">
        <is>
          <t>2028</t>
        </is>
      </c>
      <c r="E1803" s="21" t="inlineStr">
        <is>
          <t>Інсектицид Ін Сет 100 г Agrosfera Агросфера</t>
        </is>
      </c>
      <c r="F1803" s="21" t="inlineStr">
        <is>
          <t>Гібіскус сірійський Хамабо Штамб C5 / Pa80</t>
        </is>
      </c>
      <c r="G1803" s="23" t="n">
        <v>200</v>
      </c>
      <c r="H1803" s="23" t="n">
        <v>545</v>
      </c>
      <c r="I1803" s="21" t="inlineStr">
        <is>
          <t>ID постачальника збігся, але назви різні</t>
        </is>
      </c>
    </row>
    <row r="1804">
      <c r="A1804" s="22" t="n">
        <v>28.9</v>
      </c>
      <c r="B1804" s="22" t="inlineStr">
        <is>
          <t>Клуб Рослин</t>
        </is>
      </c>
      <c r="C1804" s="22" t="inlineStr">
        <is>
          <t>1064</t>
        </is>
      </c>
      <c r="D1804" s="22" t="inlineStr">
        <is>
          <t>1064</t>
        </is>
      </c>
      <c r="E1804" s="21" t="inlineStr">
        <is>
          <t>Гербіцид Тівітус 50 г Ukravit Укравіт Україна</t>
        </is>
      </c>
      <c r="F1804" s="21" t="inlineStr">
        <is>
          <t>Береза плакуча (ий) Янгіі K19 C80 / H300-400 / o18-20</t>
        </is>
      </c>
      <c r="G1804" s="23" t="n">
        <v>182</v>
      </c>
      <c r="H1804" s="23" t="n">
        <v>4968</v>
      </c>
      <c r="I1804" s="21" t="inlineStr">
        <is>
          <t>ID постачальника збігся, але назви різні</t>
        </is>
      </c>
    </row>
    <row r="1805">
      <c r="A1805" s="22" t="n">
        <v>28.9</v>
      </c>
      <c r="B1805" s="22" t="inlineStr">
        <is>
          <t>Клуб Рослин</t>
        </is>
      </c>
      <c r="C1805" s="22" t="inlineStr">
        <is>
          <t>2247</t>
        </is>
      </c>
      <c r="D1805" s="22" t="inlineStr">
        <is>
          <t>2247</t>
        </is>
      </c>
      <c r="E1805" s="21" t="inlineStr">
        <is>
          <t>Інсектицид Сілкер КЕ 50 мл Sumi Agro Сумі Агро Японія</t>
        </is>
      </c>
      <c r="F1805" s="21" t="inlineStr">
        <is>
          <t>Гортензія волотиста Лаймлайт Штамб C7,5 / Pa90</t>
        </is>
      </c>
      <c r="G1805" s="23" t="n">
        <v>175</v>
      </c>
      <c r="H1805" s="23" t="n">
        <v>1680</v>
      </c>
      <c r="I1805" s="21" t="inlineStr">
        <is>
          <t>ID постачальника збігся, але назви різні</t>
        </is>
      </c>
    </row>
    <row r="1806">
      <c r="A1806" s="22" t="n">
        <v>28.8</v>
      </c>
      <c r="B1806" s="22" t="inlineStr">
        <is>
          <t>Клуб Рослин</t>
        </is>
      </c>
      <c r="C1806" s="22" t="inlineStr">
        <is>
          <t>5052</t>
        </is>
      </c>
      <c r="D1806" s="22" t="inlineStr">
        <is>
          <t>5052</t>
        </is>
      </c>
      <c r="E1806" s="21" t="inlineStr">
        <is>
          <t>Протруйник Селест Топ 312.5 FS 5 л Syngenta Сингента Швейцарія</t>
        </is>
      </c>
      <c r="F1806" s="21" t="inlineStr">
        <is>
          <t>Сосна гнучка Ван дер Волфс Пірамід PC18 C3</t>
        </is>
      </c>
      <c r="G1806" s="23" t="n">
        <v>15998</v>
      </c>
      <c r="H1806" s="23" t="n">
        <v>358</v>
      </c>
      <c r="I1806" s="21" t="inlineStr">
        <is>
          <t>ID постачальника збігся, але назви різні</t>
        </is>
      </c>
    </row>
    <row r="1807">
      <c r="A1807" s="22" t="n">
        <v>28.8</v>
      </c>
      <c r="B1807" s="22" t="inlineStr">
        <is>
          <t>Клуб Рослин</t>
        </is>
      </c>
      <c r="C1807" s="22" t="inlineStr">
        <is>
          <t>7084</t>
        </is>
      </c>
      <c r="D1807" s="22" t="inlineStr">
        <is>
          <t>7084</t>
        </is>
      </c>
      <c r="E1807" s="21" t="inlineStr">
        <is>
          <t>Добриво Опіфол Вегетація / Opifol Vegetative 30-15-5 25 кг Valagro Валагро Італія</t>
        </is>
      </c>
      <c r="F1807" s="21" t="inlineStr">
        <is>
          <t>Троянда плетиста Блю Мун DP PC19 C5 / H30-40</t>
        </is>
      </c>
      <c r="G1807" s="23" t="n">
        <v>4500</v>
      </c>
      <c r="H1807" s="23" t="n">
        <v>145</v>
      </c>
      <c r="I1807" s="21" t="inlineStr">
        <is>
          <t>ID постачальника збігся, але різні бренди</t>
        </is>
      </c>
    </row>
    <row r="1808">
      <c r="A1808" s="22" t="n">
        <v>28.8</v>
      </c>
      <c r="B1808" s="22" t="inlineStr">
        <is>
          <t>Клуб Рослин</t>
        </is>
      </c>
      <c r="C1808" s="22" t="inlineStr">
        <is>
          <t>2050</t>
        </is>
      </c>
      <c r="D1808" s="22" t="inlineStr">
        <is>
          <t>2050</t>
        </is>
      </c>
      <c r="E1808" s="21" t="inlineStr">
        <is>
          <t>Інсектицид Супербізон 10 л Alfa Smart Agro Альфа Смарт Агро Україна</t>
        </is>
      </c>
      <c r="F1808" s="21" t="inlineStr">
        <is>
          <t>Гібіскус сірійський Вазо Бло Штамб ® C7,5 / Pa50</t>
        </is>
      </c>
      <c r="G1808" s="23" t="n">
        <v>2750</v>
      </c>
      <c r="H1808" s="23" t="n">
        <v>540</v>
      </c>
      <c r="I1808" s="21" t="inlineStr">
        <is>
          <t>ID постачальника збігся, але назви різні</t>
        </is>
      </c>
    </row>
    <row r="1809">
      <c r="A1809" s="22" t="n">
        <v>28.8</v>
      </c>
      <c r="B1809" s="22" t="inlineStr">
        <is>
          <t>Клуб Рослин</t>
        </is>
      </c>
      <c r="C1809" s="22" t="inlineStr">
        <is>
          <t>7189</t>
        </is>
      </c>
      <c r="D1809" s="22" t="inlineStr">
        <is>
          <t>7189</t>
        </is>
      </c>
      <c r="E1809" s="21" t="inlineStr">
        <is>
          <t>Добриво Мікрокат Кальцій (Microcat Ca) 5 л Вітера Vitera Atlantica Agricola Іспанія</t>
        </is>
      </c>
      <c r="F1809" s="21" t="inlineStr">
        <is>
          <t>Троянда гібридний(а) Люстиге DP PC19 C3 / H20-30</t>
        </is>
      </c>
      <c r="G1809" s="23" t="n">
        <v>2356</v>
      </c>
      <c r="H1809" s="23" t="n">
        <v>144</v>
      </c>
      <c r="I1809" s="21" t="inlineStr">
        <is>
          <t>ID постачальника збігся, але різні бренди</t>
        </is>
      </c>
    </row>
    <row r="1810">
      <c r="A1810" s="22" t="n">
        <v>28.8</v>
      </c>
      <c r="B1810" s="22" t="inlineStr">
        <is>
          <t>Клуб Рослин</t>
        </is>
      </c>
      <c r="C1810" s="22" t="inlineStr">
        <is>
          <t>7612</t>
        </is>
      </c>
      <c r="D1810" s="22" t="inlineStr">
        <is>
          <t>7612</t>
        </is>
      </c>
      <c r="E1810" s="21" t="inlineStr">
        <is>
          <t>Біостимулятор Атлантицел Трихомікс (Atlanticell Trichomix) 250 г Вітера Atlantica Agricola Іспанія</t>
        </is>
      </c>
      <c r="F1810" s="21" t="inlineStr">
        <is>
          <t>Тис середній Хіксіі Бонсай G / H100-120</t>
        </is>
      </c>
      <c r="G1810" s="23" t="n">
        <v>1248</v>
      </c>
      <c r="H1810" s="23" t="n">
        <v>9601</v>
      </c>
      <c r="I1810" s="21" t="inlineStr">
        <is>
          <t>ID постачальника збігся, але назви різні</t>
        </is>
      </c>
    </row>
    <row r="1811">
      <c r="A1811" s="22" t="n">
        <v>28.8</v>
      </c>
      <c r="B1811" s="22" t="inlineStr">
        <is>
          <t>Клуб Рослин</t>
        </is>
      </c>
      <c r="C1811" s="22" t="inlineStr">
        <is>
          <t>2194</t>
        </is>
      </c>
      <c r="D1811" s="22" t="inlineStr">
        <is>
          <t>2194</t>
        </is>
      </c>
      <c r="E1811" s="21" t="inlineStr">
        <is>
          <t>Інсектицид Стар 20 Star 20 1 кг Хімагромаркетинг Україна</t>
        </is>
      </c>
      <c r="F1811" s="21" t="inlineStr">
        <is>
          <t>Гортензія волотиста Бобо ® C7,5</t>
        </is>
      </c>
      <c r="G1811" s="23" t="n">
        <v>754</v>
      </c>
      <c r="H1811" s="23" t="n">
        <v>360</v>
      </c>
      <c r="I1811" s="21" t="inlineStr">
        <is>
          <t>ID постачальника збігся, але назви різні</t>
        </is>
      </c>
    </row>
    <row r="1812">
      <c r="A1812" s="22" t="n">
        <v>28.8</v>
      </c>
      <c r="B1812" s="22" t="inlineStr">
        <is>
          <t>Клуб Рослин</t>
        </is>
      </c>
      <c r="C1812" s="22" t="inlineStr">
        <is>
          <t>2081</t>
        </is>
      </c>
      <c r="D1812" s="22" t="inlineStr">
        <is>
          <t>2081</t>
        </is>
      </c>
      <c r="E1812" s="21" t="inlineStr">
        <is>
          <t>Грунтовий інсектицид Регент 1 кг (розсип) Basf Басф Німеччина</t>
        </is>
      </c>
      <c r="F1812" s="21" t="inlineStr">
        <is>
          <t>Гібіскус сірійський Уайт Шифон ® XXL C15 / H80-100</t>
        </is>
      </c>
      <c r="G1812" s="23" t="n">
        <v>650</v>
      </c>
      <c r="H1812" s="23" t="n">
        <v>2170</v>
      </c>
      <c r="I1812" s="21" t="inlineStr">
        <is>
          <t>ID постачальника збігся, але різні бренди</t>
        </is>
      </c>
    </row>
    <row r="1813">
      <c r="A1813" s="22" t="n">
        <v>28.8</v>
      </c>
      <c r="B1813" s="22" t="inlineStr">
        <is>
          <t>Клуб Рослин</t>
        </is>
      </c>
      <c r="C1813" s="22" t="inlineStr">
        <is>
          <t>7019</t>
        </is>
      </c>
      <c r="D1813" s="22" t="inlineStr">
        <is>
          <t>7019</t>
        </is>
      </c>
      <c r="E1813" s="21" t="inlineStr">
        <is>
          <t>Добриво Мастер Master 17+6+18 1 кг Valagro Валагро Італія</t>
        </is>
      </c>
      <c r="F1813" s="21" t="inlineStr">
        <is>
          <t>Рододендрон гібридний Віржинія Річардс C5 / H40-60</t>
        </is>
      </c>
      <c r="G1813" s="23" t="n">
        <v>350</v>
      </c>
      <c r="H1813" s="23" t="n">
        <v>485</v>
      </c>
      <c r="I1813" s="21" t="inlineStr">
        <is>
          <t>ID постачальника збігся, але назви різні</t>
        </is>
      </c>
    </row>
    <row r="1814">
      <c r="A1814" s="22" t="n">
        <v>28.8</v>
      </c>
      <c r="B1814" s="22" t="inlineStr">
        <is>
          <t>Клуб Рослин</t>
        </is>
      </c>
      <c r="C1814" s="22" t="inlineStr">
        <is>
          <t>3150</t>
        </is>
      </c>
      <c r="D1814" s="22" t="inlineStr">
        <is>
          <t>3150</t>
        </is>
      </c>
      <c r="E1814" s="21" t="inlineStr">
        <is>
          <t>Біофунгіцид Viridin Триходермін 1 кг Enzim Biotech Agro / Ензим Біотех Агро Україна</t>
        </is>
      </c>
      <c r="F1814" s="21" t="inlineStr">
        <is>
          <t>Лілія азіатська гібридна Марлен 14\16</t>
        </is>
      </c>
      <c r="G1814" s="23" t="n">
        <v>337</v>
      </c>
      <c r="H1814" s="23" t="n">
        <v>50</v>
      </c>
      <c r="I1814" s="21" t="inlineStr">
        <is>
          <t>ID постачальника збігся, але назви різні</t>
        </is>
      </c>
    </row>
    <row r="1815">
      <c r="A1815" s="22" t="n">
        <v>28.8</v>
      </c>
      <c r="B1815" s="22" t="inlineStr">
        <is>
          <t>Клуб Рослин</t>
        </is>
      </c>
      <c r="C1815" s="22" t="inlineStr">
        <is>
          <t>7595</t>
        </is>
      </c>
      <c r="D1815" s="22" t="inlineStr">
        <is>
          <t>7595</t>
        </is>
      </c>
      <c r="E1815" s="21" t="inlineStr">
        <is>
          <t>Добриво GroGreen Gel Starter / ГроГрін Гель Стартер NPK 16-69-16+TE 200 г Lima Бельгія</t>
        </is>
      </c>
      <c r="F1815" s="21" t="inlineStr">
        <is>
          <t>Тис середній Бонсай Woodenbox 700 / H120 / L120</t>
        </is>
      </c>
      <c r="G1815" s="23" t="n">
        <v>263</v>
      </c>
      <c r="H1815" s="23" t="n">
        <v>33120</v>
      </c>
      <c r="I1815" s="21" t="inlineStr">
        <is>
          <t>ID постачальника збігся, але різні бренди</t>
        </is>
      </c>
    </row>
    <row r="1816">
      <c r="A1816" s="22" t="n">
        <v>28.8</v>
      </c>
      <c r="B1816" s="22" t="inlineStr">
        <is>
          <t>Клуб Рослин</t>
        </is>
      </c>
      <c r="C1816" s="22" t="inlineStr">
        <is>
          <t>7619</t>
        </is>
      </c>
      <c r="D1816" s="22" t="inlineStr">
        <is>
          <t>7619</t>
        </is>
      </c>
      <c r="E1816" s="21" t="inlineStr">
        <is>
          <t>Добриво Мікрокат Мікс (Microcat Mix) 250 мл Вітера Atlantica Agricola Іспанія</t>
        </is>
      </c>
      <c r="F1816" s="21" t="inlineStr">
        <is>
          <t>Тис середній Хіксіі C25 / H60-80</t>
        </is>
      </c>
      <c r="G1816" s="23" t="n">
        <v>242</v>
      </c>
      <c r="H1816" s="23" t="n">
        <v>780</v>
      </c>
      <c r="I1816" s="21" t="inlineStr">
        <is>
          <t>ID постачальника збігся, але назви різні</t>
        </is>
      </c>
    </row>
    <row r="1817">
      <c r="A1817" s="22" t="n">
        <v>28.7</v>
      </c>
      <c r="B1817" s="22" t="inlineStr">
        <is>
          <t>Клуб Рослин</t>
        </is>
      </c>
      <c r="C1817" s="22" t="inlineStr">
        <is>
          <t>7049</t>
        </is>
      </c>
      <c r="D1817" s="22" t="inlineStr">
        <is>
          <t>7049</t>
        </is>
      </c>
      <c r="E1817" s="21" t="inlineStr">
        <is>
          <t>Біостимулятор Кендал ТЕ Kendal ТЕ 1 л Valagro Валагро Італія</t>
        </is>
      </c>
      <c r="F1817" s="21" t="inlineStr">
        <is>
          <t>Смородина чорна Софіївська BS GK</t>
        </is>
      </c>
      <c r="G1817" s="23" t="n">
        <v>1398</v>
      </c>
      <c r="H1817" s="23" t="n">
        <v>30</v>
      </c>
      <c r="I1817" s="21" t="inlineStr">
        <is>
          <t>ID постачальника збігся, але різні бренди</t>
        </is>
      </c>
    </row>
    <row r="1818">
      <c r="A1818" s="22" t="n">
        <v>28.6</v>
      </c>
      <c r="B1818" s="22" t="inlineStr">
        <is>
          <t>Клуб Рослин</t>
        </is>
      </c>
      <c r="C1818" s="22" t="inlineStr">
        <is>
          <t>7205</t>
        </is>
      </c>
      <c r="D1818" s="22" t="inlineStr">
        <is>
          <t>7205</t>
        </is>
      </c>
      <c r="E1818" s="21" t="inlineStr">
        <is>
          <t>Добриво Мікрокат Мікс (Microcat Mix) 25 л Вітера Atlantica Agricola Іспанія</t>
        </is>
      </c>
      <c r="F1818" s="21" t="inlineStr">
        <is>
          <t>Троянда гібридний(а) Куїн оф Хертс DP PC20 C7,5</t>
        </is>
      </c>
      <c r="G1818" s="23" t="n">
        <v>13817</v>
      </c>
      <c r="H1818" s="23" t="n">
        <v>290</v>
      </c>
      <c r="I1818" s="21" t="inlineStr">
        <is>
          <t>ID постачальника збігся, але різні бренди</t>
        </is>
      </c>
    </row>
    <row r="1819">
      <c r="A1819" s="22" t="n">
        <v>28.6</v>
      </c>
      <c r="B1819" s="22" t="inlineStr">
        <is>
          <t>Клуб Рослин</t>
        </is>
      </c>
      <c r="C1819" s="22" t="inlineStr">
        <is>
          <t>7190</t>
        </is>
      </c>
      <c r="D1819" s="22" t="inlineStr">
        <is>
          <t>7190</t>
        </is>
      </c>
      <c r="E1819" s="21" t="inlineStr">
        <is>
          <t>Добриво Мікрокат Кальцій (Microcat Ca) 25 л Вітера Vitera Atlantica Agricola ІспанІя</t>
        </is>
      </c>
      <c r="F1819" s="21" t="inlineStr">
        <is>
          <t>Троянда гібридний(а) Люстиге DP PC20 C2 / H20-30</t>
        </is>
      </c>
      <c r="G1819" s="23" t="n">
        <v>10762</v>
      </c>
      <c r="H1819" s="23" t="n">
        <v>174</v>
      </c>
      <c r="I1819" s="21" t="inlineStr">
        <is>
          <t>ID постачальника збігся, але різні бренди</t>
        </is>
      </c>
    </row>
    <row r="1820">
      <c r="A1820" s="22" t="n">
        <v>28.6</v>
      </c>
      <c r="B1820" s="22" t="inlineStr">
        <is>
          <t>Клуб Рослин</t>
        </is>
      </c>
      <c r="C1820" s="22" t="inlineStr">
        <is>
          <t>7172</t>
        </is>
      </c>
      <c r="D1820" s="22" t="inlineStr">
        <is>
          <t>7172</t>
        </is>
      </c>
      <c r="E1820" s="21" t="inlineStr">
        <is>
          <t>Добриво Нутрівант Плюс Плодовий 12-5-27+8CaO+МЕ 25 кг Вітера ICL Ізраїль</t>
        </is>
      </c>
      <c r="F1820" s="21" t="inlineStr">
        <is>
          <t>Троянда гібридний(а) Єва SP G</t>
        </is>
      </c>
      <c r="G1820" s="23" t="n">
        <v>9835</v>
      </c>
      <c r="H1820" s="23" t="n">
        <v>44</v>
      </c>
      <c r="I1820" s="21" t="inlineStr">
        <is>
          <t>ID постачальника збігся, але різні бренди</t>
        </is>
      </c>
    </row>
    <row r="1821">
      <c r="A1821" s="22" t="n">
        <v>28.6</v>
      </c>
      <c r="B1821" s="22" t="inlineStr">
        <is>
          <t>Клуб Рослин</t>
        </is>
      </c>
      <c r="C1821" s="22" t="inlineStr">
        <is>
          <t>3011</t>
        </is>
      </c>
      <c r="D1821" s="22" t="inlineStr">
        <is>
          <t>3011</t>
        </is>
      </c>
      <c r="E1821" s="21" t="inlineStr">
        <is>
          <t>Фунгіцид Натіво 2 кг Bayer Байєр Німеччина</t>
        </is>
      </c>
      <c r="F1821" s="21" t="inlineStr">
        <is>
          <t>Ялівець середній Мінт Джулеп PC14 C3 / L20-30</t>
        </is>
      </c>
      <c r="G1821" s="23" t="n">
        <v>8998</v>
      </c>
      <c r="H1821" s="23" t="n">
        <v>125</v>
      </c>
      <c r="I1821" s="21" t="inlineStr">
        <is>
          <t>ID постачальника збігся, але назви різні</t>
        </is>
      </c>
    </row>
    <row r="1822">
      <c r="A1822" s="22" t="n">
        <v>28.6</v>
      </c>
      <c r="B1822" s="22" t="inlineStr">
        <is>
          <t>Клуб Рослин</t>
        </is>
      </c>
      <c r="C1822" s="22" t="inlineStr">
        <is>
          <t>2201</t>
        </is>
      </c>
      <c r="D1822" s="22" t="inlineStr">
        <is>
          <t>2201</t>
        </is>
      </c>
      <c r="E1822" s="21" t="inlineStr">
        <is>
          <t>Інсектицид Ініціатор 1 кг Bayer Байєр Німеччина</t>
        </is>
      </c>
      <c r="F1822" s="21" t="inlineStr">
        <is>
          <t>Гортензія волотиста Кенделайт PC18 C5</t>
        </is>
      </c>
      <c r="G1822" s="23" t="n">
        <v>7248</v>
      </c>
      <c r="H1822" s="23" t="n">
        <v>360</v>
      </c>
      <c r="I1822" s="21" t="inlineStr">
        <is>
          <t>ID постачальника збігся, але назви різні</t>
        </is>
      </c>
    </row>
    <row r="1823">
      <c r="A1823" s="22" t="n">
        <v>28.6</v>
      </c>
      <c r="B1823" s="22" t="inlineStr">
        <is>
          <t>Клуб Рослин</t>
        </is>
      </c>
      <c r="C1823" s="22" t="inlineStr">
        <is>
          <t>7129</t>
        </is>
      </c>
      <c r="D1823" s="22" t="inlineStr">
        <is>
          <t>7129</t>
        </is>
      </c>
      <c r="E1823" s="21" t="inlineStr">
        <is>
          <t>Добриво Розасоль 15:45:10+МЕ 25 кг Rosier S A Бельгія</t>
        </is>
      </c>
      <c r="F1823" s="21" t="inlineStr">
        <is>
          <t>Троянда густоквіткова Бургунді Штамб GK / Pa100</t>
        </is>
      </c>
      <c r="G1823" s="23" t="n">
        <v>4650</v>
      </c>
      <c r="H1823" s="23" t="n">
        <v>420</v>
      </c>
      <c r="I1823" s="21" t="inlineStr">
        <is>
          <t>ID постачальника збігся, але різні бренди</t>
        </is>
      </c>
    </row>
    <row r="1824">
      <c r="A1824" s="22" t="n">
        <v>28.6</v>
      </c>
      <c r="B1824" s="22" t="inlineStr">
        <is>
          <t>Клуб Рослин</t>
        </is>
      </c>
      <c r="C1824" s="22" t="inlineStr">
        <is>
          <t>2220</t>
        </is>
      </c>
      <c r="D1824" s="22" t="inlineStr">
        <is>
          <t>2220</t>
        </is>
      </c>
      <c r="E1824" s="21" t="inlineStr">
        <is>
          <t>Інсектицид акарицид Вертимек Нео 018 SL РК 1 л Syngenta Сингента Швейцарія</t>
        </is>
      </c>
      <c r="F1824" s="21" t="inlineStr">
        <is>
          <t>Гортензія волотиста Грандіфлора PC21 C3 / H20-30</t>
        </is>
      </c>
      <c r="G1824" s="23" t="n">
        <v>3900</v>
      </c>
      <c r="H1824" s="23" t="n">
        <v>240</v>
      </c>
      <c r="I1824" s="21" t="inlineStr">
        <is>
          <t>ID постачальника збігся, але назви різні</t>
        </is>
      </c>
    </row>
    <row r="1825">
      <c r="A1825" s="22" t="n">
        <v>28.6</v>
      </c>
      <c r="B1825" s="22" t="inlineStr">
        <is>
          <t>Клуб Рослин</t>
        </is>
      </c>
      <c r="C1825" s="22" t="inlineStr">
        <is>
          <t>1053</t>
        </is>
      </c>
      <c r="D1825" s="22" t="inlineStr">
        <is>
          <t>1053</t>
        </is>
      </c>
      <c r="E1825" s="21" t="inlineStr">
        <is>
          <t>Гербіцид Антисапа Ліквід 5 л Ukravit Укравіт Україна</t>
        </is>
      </c>
      <c r="F1825" s="21" t="inlineStr">
        <is>
          <t>Береза плакуча (ий) Штамб K20 C180 / H300-400 / o20-25</t>
        </is>
      </c>
      <c r="G1825" s="23" t="n">
        <v>4425</v>
      </c>
      <c r="H1825" s="23" t="n">
        <v>4968</v>
      </c>
      <c r="I1825" s="21" t="inlineStr">
        <is>
          <t>ID постачальника збігся, але назви різні</t>
        </is>
      </c>
    </row>
    <row r="1826">
      <c r="A1826" s="22" t="n">
        <v>28.6</v>
      </c>
      <c r="B1826" s="22" t="inlineStr">
        <is>
          <t>Клуб Рослин</t>
        </is>
      </c>
      <c r="C1826" s="22" t="inlineStr">
        <is>
          <t>2353</t>
        </is>
      </c>
      <c r="D1826" s="22" t="inlineStr">
        <is>
          <t>2353</t>
        </is>
      </c>
      <c r="E1826" s="21" t="inlineStr">
        <is>
          <t>Біоінсектицид Німекст / Neemext 1 л Bioera Іспанія</t>
        </is>
      </c>
      <c r="F1826" s="21" t="inlineStr">
        <is>
          <t>Гортензія волотиста Пінк Леді PC14 C5 / H60-70</t>
        </is>
      </c>
      <c r="G1826" s="23" t="n">
        <v>3640</v>
      </c>
      <c r="H1826" s="23" t="n">
        <v>170</v>
      </c>
      <c r="I1826" s="21" t="inlineStr">
        <is>
          <t>ID постачальника збігся, але назви різні</t>
        </is>
      </c>
    </row>
    <row r="1827">
      <c r="A1827" s="22" t="n">
        <v>28.6</v>
      </c>
      <c r="B1827" s="22" t="inlineStr">
        <is>
          <t>Клуб Рослин</t>
        </is>
      </c>
      <c r="C1827" s="22" t="inlineStr">
        <is>
          <t>7761</t>
        </is>
      </c>
      <c r="D1827" s="22" t="inlineStr">
        <is>
          <t>7761</t>
        </is>
      </c>
      <c r="E1827" s="21" t="inlineStr">
        <is>
          <t>Добриво Ікар Молібден / Ikar Mo 300 1 л Литва</t>
        </is>
      </c>
      <c r="F1827" s="21" t="inlineStr">
        <is>
          <t>Туя західна (ий) Литл Джаінт PC18 C5</t>
        </is>
      </c>
      <c r="G1827" s="23" t="n">
        <v>3158</v>
      </c>
      <c r="H1827" s="23" t="n">
        <v>215</v>
      </c>
      <c r="I1827" s="21" t="inlineStr">
        <is>
          <t>ID постачальника збігся, але назви різні</t>
        </is>
      </c>
    </row>
    <row r="1828">
      <c r="A1828" s="22" t="n">
        <v>28.6</v>
      </c>
      <c r="B1828" s="22" t="inlineStr">
        <is>
          <t>Клуб Рослин</t>
        </is>
      </c>
      <c r="C1828" s="22" t="inlineStr">
        <is>
          <t>7473</t>
        </is>
      </c>
      <c r="D1828" s="22" t="inlineStr">
        <is>
          <t>7473</t>
        </is>
      </c>
      <c r="E1828" s="21" t="inlineStr">
        <is>
          <t>Регулятор росту Вимпел К 5 кг Долина Україна</t>
        </is>
      </c>
      <c r="F1828" s="21" t="inlineStr">
        <is>
          <t>Тис ягідний (а) Бонсай C230 / H250-300</t>
        </is>
      </c>
      <c r="G1828" s="23" t="n">
        <v>3060</v>
      </c>
      <c r="H1828" s="23" t="n">
        <v>66240</v>
      </c>
      <c r="I1828" s="21" t="inlineStr">
        <is>
          <t>ID постачальника збігся, але назви різні</t>
        </is>
      </c>
    </row>
    <row r="1829">
      <c r="A1829" s="22" t="n">
        <v>28.6</v>
      </c>
      <c r="B1829" s="22" t="inlineStr">
        <is>
          <t>Клуб Рослин</t>
        </is>
      </c>
      <c r="C1829" s="22" t="inlineStr">
        <is>
          <t>1164</t>
        </is>
      </c>
      <c r="D1829" s="22" t="inlineStr">
        <is>
          <t>1164</t>
        </is>
      </c>
      <c r="E1829" s="21" t="inlineStr">
        <is>
          <t>Гербіцид Селеніт Макс 5 л Ukravit Укравіт Україна</t>
        </is>
      </c>
      <c r="F1829" s="21" t="inlineStr">
        <is>
          <t>Кампсіс укорінливий Флява C2</t>
        </is>
      </c>
      <c r="G1829" s="23" t="n">
        <v>2948</v>
      </c>
      <c r="H1829" s="23" t="n">
        <v>144</v>
      </c>
      <c r="I1829" s="21" t="inlineStr">
        <is>
          <t>ID постачальника збігся, але назви різні</t>
        </is>
      </c>
    </row>
    <row r="1830">
      <c r="A1830" s="22" t="n">
        <v>28.6</v>
      </c>
      <c r="B1830" s="22" t="inlineStr">
        <is>
          <t>Клуб Рослин</t>
        </is>
      </c>
      <c r="C1830" s="22" t="inlineStr">
        <is>
          <t>7195</t>
        </is>
      </c>
      <c r="D1830" s="22" t="inlineStr">
        <is>
          <t>7195</t>
        </is>
      </c>
      <c r="E1830" s="21" t="inlineStr">
        <is>
          <t>Добриво Мікрокат Олійний (Microcat Oil Crops) 5 л Вітера Atlantica Agricola Іспанія</t>
        </is>
      </c>
      <c r="F1830" s="21" t="inlineStr">
        <is>
          <t>Троянда гібридний(а) Малібу SP G</t>
        </is>
      </c>
      <c r="G1830" s="23" t="n">
        <v>2851</v>
      </c>
      <c r="H1830" s="23" t="n">
        <v>44</v>
      </c>
      <c r="I1830" s="21" t="inlineStr">
        <is>
          <t>ID постачальника збігся, але різні бренди</t>
        </is>
      </c>
    </row>
    <row r="1831">
      <c r="A1831" s="22" t="n">
        <v>28.6</v>
      </c>
      <c r="B1831" s="22" t="inlineStr">
        <is>
          <t>Клуб Рослин</t>
        </is>
      </c>
      <c r="C1831" s="22" t="inlineStr">
        <is>
          <t>3290</t>
        </is>
      </c>
      <c r="D1831" s="22" t="inlineStr">
        <is>
          <t>3290</t>
        </is>
      </c>
      <c r="E1831" s="21" t="inlineStr">
        <is>
          <t>Фунгіцид Альфа-Стандарт 10 л Alfa Smart Agro Альфа Смарт Агро Україна</t>
        </is>
      </c>
      <c r="F1831" s="21" t="inlineStr">
        <is>
          <t>Жимолость східна Синєглазка C7,5</t>
        </is>
      </c>
      <c r="G1831" s="23" t="n">
        <v>2750</v>
      </c>
      <c r="H1831" s="23" t="n">
        <v>290</v>
      </c>
      <c r="I1831" s="21" t="inlineStr">
        <is>
          <t>ID постачальника збігся, але назви різні</t>
        </is>
      </c>
    </row>
    <row r="1832">
      <c r="A1832" s="22" t="n">
        <v>28.6</v>
      </c>
      <c r="B1832" s="22" t="inlineStr">
        <is>
          <t>Клуб Рослин</t>
        </is>
      </c>
      <c r="C1832" s="22" t="inlineStr">
        <is>
          <t>7971</t>
        </is>
      </c>
      <c r="D1832" s="22" t="inlineStr">
        <is>
          <t>7971</t>
        </is>
      </c>
      <c r="E1832" s="21" t="inlineStr">
        <is>
          <t>Інокулянт Трікобест / Tricobest 500 г Meristem Мерістем Іспанія</t>
        </is>
      </c>
      <c r="F1832" s="21" t="inlineStr">
        <is>
          <t>Туя складчата Віпкорд Штамб C15 / Pa100</t>
        </is>
      </c>
      <c r="G1832" s="23" t="n">
        <v>2325</v>
      </c>
      <c r="H1832" s="23" t="n">
        <v>3600</v>
      </c>
      <c r="I1832" s="21" t="inlineStr">
        <is>
          <t>ID постачальника збігся, але назви різні</t>
        </is>
      </c>
    </row>
    <row r="1833">
      <c r="A1833" s="22" t="n">
        <v>28.6</v>
      </c>
      <c r="B1833" s="22" t="inlineStr">
        <is>
          <t>Клуб Рослин</t>
        </is>
      </c>
      <c r="C1833" s="22" t="inlineStr">
        <is>
          <t>2068</t>
        </is>
      </c>
      <c r="D1833" s="22" t="inlineStr">
        <is>
          <t>2068</t>
        </is>
      </c>
      <c r="E1833" s="21" t="inlineStr">
        <is>
          <t>Інсектоакарицид Акарамік КЕ 1 л Sumi Agro / Сумі Агро Японія</t>
        </is>
      </c>
      <c r="F1833" s="21" t="inlineStr">
        <is>
          <t>Гібіскус сірійський Рашн Віолет C4 / H40-60</t>
        </is>
      </c>
      <c r="G1833" s="23" t="n">
        <v>2298</v>
      </c>
      <c r="H1833" s="23" t="n">
        <v>195</v>
      </c>
      <c r="I1833" s="21" t="inlineStr">
        <is>
          <t>ID постачальника збігся, але назви різні</t>
        </is>
      </c>
    </row>
    <row r="1834">
      <c r="A1834" s="22" t="n">
        <v>28.6</v>
      </c>
      <c r="B1834" s="22" t="inlineStr">
        <is>
          <t>Клуб Рослин</t>
        </is>
      </c>
      <c r="C1834" s="22" t="inlineStr">
        <is>
          <t>7457</t>
        </is>
      </c>
      <c r="D1834" s="22" t="inlineStr">
        <is>
          <t>7457</t>
        </is>
      </c>
      <c r="E1834" s="21" t="inlineStr">
        <is>
          <t>Добриво GroGreen NPK 15-5-30+3MgO+TE 10 кг Lima Бельгія</t>
        </is>
      </c>
      <c r="F1834" s="21" t="inlineStr">
        <is>
          <t>Тис ягідний (а) Куля G / L50</t>
        </is>
      </c>
      <c r="G1834" s="23" t="n">
        <v>2060</v>
      </c>
      <c r="H1834" s="23" t="n">
        <v>1205</v>
      </c>
      <c r="I1834" s="21" t="inlineStr">
        <is>
          <t>ID постачальника збігся, але назви різні</t>
        </is>
      </c>
    </row>
    <row r="1835">
      <c r="A1835" s="22" t="n">
        <v>28.6</v>
      </c>
      <c r="B1835" s="22" t="inlineStr">
        <is>
          <t>Клуб Рослин</t>
        </is>
      </c>
      <c r="C1835" s="22" t="inlineStr">
        <is>
          <t>2044</t>
        </is>
      </c>
      <c r="D1835" s="22" t="inlineStr">
        <is>
          <t>2044</t>
        </is>
      </c>
      <c r="E1835" s="21" t="inlineStr">
        <is>
          <t>Інсектицид Залп 5 л Alfa Smart Agro / Альфа Смарт Агро Україна</t>
        </is>
      </c>
      <c r="F1835" s="21" t="inlineStr">
        <is>
          <t>Гібіскус сірійський Mix (в асортименті) PC21 C3</t>
        </is>
      </c>
      <c r="G1835" s="23" t="n">
        <v>1898</v>
      </c>
      <c r="H1835" s="23" t="n">
        <v>176</v>
      </c>
      <c r="I1835" s="21" t="inlineStr">
        <is>
          <t>ID постачальника збігся, але різні бренди</t>
        </is>
      </c>
    </row>
    <row r="1836">
      <c r="A1836" s="22" t="n">
        <v>28.6</v>
      </c>
      <c r="B1836" s="22" t="inlineStr">
        <is>
          <t>Клуб Рослин</t>
        </is>
      </c>
      <c r="C1836" s="22" t="inlineStr">
        <is>
          <t>1187</t>
        </is>
      </c>
      <c r="D1836" s="22" t="inlineStr">
        <is>
          <t>1187</t>
        </is>
      </c>
      <c r="E1836" s="21" t="inlineStr">
        <is>
          <t>Гербіцид Ефірон 5 л Нертус Україна</t>
        </is>
      </c>
      <c r="F1836" s="21" t="inlineStr">
        <is>
          <t>Осока Моррова Айс Денс PC20 C2 / H25-30</t>
        </is>
      </c>
      <c r="G1836" s="23" t="n">
        <v>1893</v>
      </c>
      <c r="H1836" s="23" t="n">
        <v>145</v>
      </c>
      <c r="I1836" s="21" t="inlineStr">
        <is>
          <t>ID постачальника збігся, але назви різні</t>
        </is>
      </c>
    </row>
    <row r="1837">
      <c r="A1837" s="22" t="n">
        <v>28.6</v>
      </c>
      <c r="B1837" s="22" t="inlineStr">
        <is>
          <t>Клуб Рослин</t>
        </is>
      </c>
      <c r="C1837" s="22" t="inlineStr">
        <is>
          <t>8001</t>
        </is>
      </c>
      <c r="D1837" s="22" t="inlineStr">
        <is>
          <t>8001</t>
        </is>
      </c>
      <c r="E1837" s="21" t="inlineStr">
        <is>
          <t>Добриво Солденсо Гель / Soldenso Gel NPK 12-44-12+6%CaO+3%MgO 5 кг Orange Іспанія</t>
        </is>
      </c>
      <c r="F1837" s="21" t="inlineStr">
        <is>
          <t>Липа широколиста Фастігіата Штамб K G / o25-30 / Pa175</t>
        </is>
      </c>
      <c r="G1837" s="23" t="n">
        <v>1852</v>
      </c>
      <c r="H1837" s="23" t="n">
        <v>6000</v>
      </c>
      <c r="I1837" s="21" t="inlineStr">
        <is>
          <t>ID постачальника збігся, але назви різні</t>
        </is>
      </c>
    </row>
    <row r="1838">
      <c r="A1838" s="22" t="n">
        <v>28.6</v>
      </c>
      <c r="B1838" s="22" t="inlineStr">
        <is>
          <t>Клуб Рослин</t>
        </is>
      </c>
      <c r="C1838" s="22" t="inlineStr">
        <is>
          <t>7010</t>
        </is>
      </c>
      <c r="D1838" s="22" t="inlineStr">
        <is>
          <t>7010</t>
        </is>
      </c>
      <c r="E1838" s="21" t="inlineStr">
        <is>
          <t>Добриво Plantafol Плантафол 5+15+45 5 кг Syngenta (Valagro) Італія</t>
        </is>
      </c>
      <c r="F1838" s="21" t="inlineStr">
        <is>
          <t>Рододендрон гібридний Сцифокалікс C5 / H30-40</t>
        </is>
      </c>
      <c r="G1838" s="23" t="n">
        <v>1725</v>
      </c>
      <c r="H1838" s="23" t="n">
        <v>855</v>
      </c>
      <c r="I1838" s="21" t="inlineStr">
        <is>
          <t>ID постачальника збігся, але назви різні</t>
        </is>
      </c>
    </row>
    <row r="1839">
      <c r="A1839" s="22" t="n">
        <v>28.6</v>
      </c>
      <c r="B1839" s="22" t="inlineStr">
        <is>
          <t>Клуб Рослин</t>
        </is>
      </c>
      <c r="C1839" s="22" t="inlineStr">
        <is>
          <t>3380</t>
        </is>
      </c>
      <c r="D1839" s="22" t="inlineStr">
        <is>
          <t>3380</t>
        </is>
      </c>
      <c r="E1839" s="21" t="inlineStr">
        <is>
          <t>Фунгіцид Міравіс Прайм 400 SC КС 250 мл (розлив) Syngenta Сингента Швейцарія</t>
        </is>
      </c>
      <c r="F1839" s="21" t="inlineStr">
        <is>
          <t>Магнолія гібридний(а) Джині ® C12 / H150-175</t>
        </is>
      </c>
      <c r="G1839" s="23" t="n">
        <v>1498</v>
      </c>
      <c r="H1839" s="23" t="n">
        <v>1685</v>
      </c>
      <c r="I1839" s="21" t="inlineStr">
        <is>
          <t>ID постачальника збігся, але назви різні</t>
        </is>
      </c>
    </row>
    <row r="1840">
      <c r="A1840" s="22" t="n">
        <v>28.6</v>
      </c>
      <c r="B1840" s="22" t="inlineStr">
        <is>
          <t>Клуб Рослин</t>
        </is>
      </c>
      <c r="C1840" s="22" t="inlineStr">
        <is>
          <t>7913</t>
        </is>
      </c>
      <c r="D1840" s="22" t="inlineStr">
        <is>
          <t>7913</t>
        </is>
      </c>
      <c r="E1840" s="21" t="inlineStr">
        <is>
          <t>Добриво Леда Кальцієва селітра / Leda Calanit NPK: 15.5-0-0 + 26.5CaO 25 кг Бельгія</t>
        </is>
      </c>
      <c r="F1840" s="21" t="inlineStr">
        <is>
          <t>Туя західна (ий) Смарагд Пон-Пон G+C50 / H140-160</t>
        </is>
      </c>
      <c r="G1840" s="23" t="n">
        <v>1425</v>
      </c>
      <c r="H1840" s="23" t="n">
        <v>7200</v>
      </c>
      <c r="I1840" s="21" t="inlineStr">
        <is>
          <t>ID постачальника збігся, але різні коди виробника</t>
        </is>
      </c>
    </row>
    <row r="1841">
      <c r="A1841" s="22" t="n">
        <v>28.6</v>
      </c>
      <c r="B1841" s="22" t="inlineStr">
        <is>
          <t>Клуб Рослин</t>
        </is>
      </c>
      <c r="C1841" s="22" t="inlineStr">
        <is>
          <t>292-1</t>
        </is>
      </c>
      <c r="D1841" s="22" t="inlineStr">
        <is>
          <t>2921</t>
        </is>
      </c>
      <c r="E1841" s="21" t="inlineStr">
        <is>
          <t>Степлер садовий My Garden Pro (292-1) для підв'язування рослин</t>
        </is>
      </c>
      <c r="F1841" s="21" t="inlineStr">
        <is>
          <t>Ялівець віргінський Тріпатіта Бонсай C20 / H80-100</t>
        </is>
      </c>
      <c r="G1841" s="23" t="n">
        <v>1290</v>
      </c>
      <c r="H1841" s="23" t="n">
        <v>2175</v>
      </c>
      <c r="I1841" s="21" t="inlineStr">
        <is>
          <t>ID постачальника збігся, але назви різні</t>
        </is>
      </c>
    </row>
    <row r="1842">
      <c r="A1842" s="22" t="n">
        <v>28.6</v>
      </c>
      <c r="B1842" s="22" t="inlineStr">
        <is>
          <t>Клуб Рослин</t>
        </is>
      </c>
      <c r="C1842" s="22" t="inlineStr">
        <is>
          <t>8132</t>
        </is>
      </c>
      <c r="D1842" s="22" t="inlineStr">
        <is>
          <t>8132</t>
        </is>
      </c>
      <c r="E1842" s="21" t="inlineStr">
        <is>
          <t>Мікродобриво Технічні Зерива / Zeryva 5 л Украина</t>
        </is>
      </c>
      <c r="F1842" s="21" t="inlineStr">
        <is>
          <t>Калина боднантська Шарль Ламон Штамб PC20 C30 / Pa120</t>
        </is>
      </c>
      <c r="G1842" s="23" t="n">
        <v>1250</v>
      </c>
      <c r="H1842" s="23" t="n">
        <v>1560</v>
      </c>
      <c r="I1842" s="21" t="inlineStr">
        <is>
          <t>ID постачальника збігся, але назви різні</t>
        </is>
      </c>
    </row>
    <row r="1843">
      <c r="A1843" s="22" t="n">
        <v>28.6</v>
      </c>
      <c r="B1843" s="22" t="inlineStr">
        <is>
          <t>Клуб Рослин</t>
        </is>
      </c>
      <c r="C1843" s="22" t="inlineStr">
        <is>
          <t>4005</t>
        </is>
      </c>
      <c r="D1843" s="22" t="inlineStr">
        <is>
          <t>4005</t>
        </is>
      </c>
      <c r="E1843" s="21" t="inlineStr">
        <is>
          <t>Родентицид Мишолов 1 л Бродіфакум Нертус Угорщина</t>
        </is>
      </c>
      <c r="F1843" s="21" t="inlineStr">
        <is>
          <t>Ялина звичайна Віллс Цверг C3 / H25-30</t>
        </is>
      </c>
      <c r="G1843" s="23" t="n">
        <v>848</v>
      </c>
      <c r="H1843" s="23" t="n">
        <v>994</v>
      </c>
      <c r="I1843" s="21" t="inlineStr">
        <is>
          <t>ID постачальника збігся, але назви різні</t>
        </is>
      </c>
    </row>
    <row r="1844">
      <c r="A1844" s="22" t="n">
        <v>28.6</v>
      </c>
      <c r="B1844" s="22" t="inlineStr">
        <is>
          <t>Клуб Рослин</t>
        </is>
      </c>
      <c r="C1844" s="22" t="inlineStr">
        <is>
          <t>7709</t>
        </is>
      </c>
      <c r="D1844" s="22" t="inlineStr">
        <is>
          <t>7709</t>
        </is>
      </c>
      <c r="E1844" s="21" t="inlineStr">
        <is>
          <t>Добриво Мікроплант Бор / Microplant Boron 5 кг Кіссон Україна</t>
        </is>
      </c>
      <c r="F1844" s="21" t="inlineStr">
        <is>
          <t>Туя західна (ий) Даніка PC14 P10,5</t>
        </is>
      </c>
      <c r="G1844" s="23" t="n">
        <v>846</v>
      </c>
      <c r="H1844" s="23" t="n">
        <v>25</v>
      </c>
      <c r="I1844" s="21" t="inlineStr">
        <is>
          <t>ID постачальника збігся, але назви різні</t>
        </is>
      </c>
    </row>
    <row r="1845">
      <c r="A1845" s="22" t="n">
        <v>28.6</v>
      </c>
      <c r="B1845" s="22" t="inlineStr">
        <is>
          <t>Клуб Рослин</t>
        </is>
      </c>
      <c r="C1845" s="22" t="inlineStr">
        <is>
          <t>7202</t>
        </is>
      </c>
      <c r="D1845" s="22" t="inlineStr">
        <is>
          <t>7202</t>
        </is>
      </c>
      <c r="E1845" s="21" t="inlineStr">
        <is>
          <t>Добриво Мікрокат Цинк-Бор Zn-B 1 л Вітера Atlantica Agricola Іспанія</t>
        </is>
      </c>
      <c r="F1845" s="21" t="inlineStr">
        <is>
          <t>Троянда гібридний(а) Куїн оф Хертс DP G</t>
        </is>
      </c>
      <c r="G1845" s="23" t="n">
        <v>824</v>
      </c>
      <c r="H1845" s="23" t="n">
        <v>60</v>
      </c>
      <c r="I1845" s="21" t="inlineStr">
        <is>
          <t>ID постачальника збігся, але різні бренди</t>
        </is>
      </c>
    </row>
    <row r="1846">
      <c r="A1846" s="22" t="n">
        <v>28.6</v>
      </c>
      <c r="B1846" s="22" t="inlineStr">
        <is>
          <t>Клуб Рослин</t>
        </is>
      </c>
      <c r="C1846" s="22" t="inlineStr">
        <is>
          <t>2105</t>
        </is>
      </c>
      <c r="D1846" s="22" t="inlineStr">
        <is>
          <t>2105</t>
        </is>
      </c>
      <c r="E1846" s="21" t="inlineStr">
        <is>
          <t>Інсектицид АЦ Люкс ЗП 1 кг Ukravit Укравіт Україна</t>
        </is>
      </c>
      <c r="F1846" s="21" t="inlineStr">
        <is>
          <t>Гортензія великолисткова Бела C7,5</t>
        </is>
      </c>
      <c r="G1846" s="23" t="n">
        <v>754</v>
      </c>
      <c r="H1846" s="23" t="n">
        <v>300</v>
      </c>
      <c r="I1846" s="21" t="inlineStr">
        <is>
          <t>ID постачальника збігся, але назви різні</t>
        </is>
      </c>
    </row>
    <row r="1847">
      <c r="A1847" s="22" t="n">
        <v>28.6</v>
      </c>
      <c r="B1847" s="22" t="inlineStr">
        <is>
          <t>Клуб Рослин</t>
        </is>
      </c>
      <c r="C1847" s="22" t="inlineStr">
        <is>
          <t>7829</t>
        </is>
      </c>
      <c r="D1847" s="22" t="inlineStr">
        <is>
          <t>7829</t>
        </is>
      </c>
      <c r="E1847" s="21" t="inlineStr">
        <is>
          <t>Добриво Азорган-Н / Azorgan–N 1 л Bioera Іспанія</t>
        </is>
      </c>
      <c r="F1847" s="21" t="inlineStr">
        <is>
          <t>Туя західна (ий) Смарагд K19 C25 / H120-140</t>
        </is>
      </c>
      <c r="G1847" s="23" t="n">
        <v>728</v>
      </c>
      <c r="H1847" s="23" t="n">
        <v>508</v>
      </c>
      <c r="I1847" s="21" t="inlineStr">
        <is>
          <t>ID постачальника збігся, але назви різні</t>
        </is>
      </c>
    </row>
    <row r="1848">
      <c r="A1848" s="22" t="n">
        <v>28.6</v>
      </c>
      <c r="B1848" s="22" t="inlineStr">
        <is>
          <t>Клуб Рослин</t>
        </is>
      </c>
      <c r="C1848" s="22" t="inlineStr">
        <is>
          <t>7513</t>
        </is>
      </c>
      <c r="D1848" s="22" t="inlineStr">
        <is>
          <t>7513</t>
        </is>
      </c>
      <c r="E1848" s="21" t="inlineStr">
        <is>
          <t>Інокулянт ХіСтік Соя 0.4 кг Basf Басф Німеччина</t>
        </is>
      </c>
      <c r="F1848" s="21" t="inlineStr">
        <is>
          <t>Тис ягідний (а) Девід Extra C45 / H120-140</t>
        </is>
      </c>
      <c r="G1848" s="23" t="n">
        <v>525</v>
      </c>
      <c r="H1848" s="23" t="n">
        <v>4320</v>
      </c>
      <c r="I1848" s="21" t="inlineStr">
        <is>
          <t>ID постачальника збігся, але різні бренди</t>
        </is>
      </c>
    </row>
    <row r="1849">
      <c r="A1849" s="22" t="n">
        <v>28.6</v>
      </c>
      <c r="B1849" s="22" t="inlineStr">
        <is>
          <t>Клуб Рослин</t>
        </is>
      </c>
      <c r="C1849" s="22" t="inlineStr">
        <is>
          <t>7663</t>
        </is>
      </c>
      <c r="D1849" s="22" t="inlineStr">
        <is>
          <t>7663</t>
        </is>
      </c>
      <c r="E1849" s="21" t="inlineStr">
        <is>
          <t>Добриво BRANDT Reaction / Брендт Реакшн Сірка ДС 21-0-0+23S 1 кг США</t>
        </is>
      </c>
      <c r="F1849" s="21" t="inlineStr">
        <is>
          <t>Туя (Платікладус) східна Ауреа Нана PC18 C3</t>
        </is>
      </c>
      <c r="G1849" s="23" t="n">
        <v>619</v>
      </c>
      <c r="H1849" s="23" t="n">
        <v>300</v>
      </c>
      <c r="I1849" s="21" t="inlineStr">
        <is>
          <t>ID постачальника збігся, але назви різні</t>
        </is>
      </c>
    </row>
    <row r="1850">
      <c r="A1850" s="22" t="n">
        <v>28.6</v>
      </c>
      <c r="B1850" s="22" t="inlineStr">
        <is>
          <t>Клуб Рослин</t>
        </is>
      </c>
      <c r="C1850" s="22" t="inlineStr">
        <is>
          <t>3227</t>
        </is>
      </c>
      <c r="D1850" s="22" t="inlineStr">
        <is>
          <t>3227</t>
        </is>
      </c>
      <c r="E1850" s="21" t="inlineStr">
        <is>
          <t>Фунгіцид Цілитель ЗП 1 кг Ukravit / Укравіт Україна</t>
        </is>
      </c>
      <c r="F1850" s="21" t="inlineStr">
        <is>
          <t>Ліквідамбар (Амброве дерево) смолоносний Мультиштамб C110 / H200-300</t>
        </is>
      </c>
      <c r="G1850" s="23" t="n">
        <v>548</v>
      </c>
      <c r="H1850" s="23" t="n">
        <v>16800</v>
      </c>
      <c r="I1850" s="21" t="inlineStr">
        <is>
          <t>ID постачальника збігся, але назви різні</t>
        </is>
      </c>
    </row>
    <row r="1851">
      <c r="A1851" s="22" t="n">
        <v>28.6</v>
      </c>
      <c r="B1851" s="22" t="inlineStr">
        <is>
          <t>Клуб Рослин</t>
        </is>
      </c>
      <c r="C1851" s="22" t="inlineStr">
        <is>
          <t>8008</t>
        </is>
      </c>
      <c r="D1851" s="22" t="inlineStr">
        <is>
          <t>8008</t>
        </is>
      </c>
      <c r="E1851" s="21" t="inlineStr">
        <is>
          <t>Добриво Солденсо Гель / Soldenso Gel NPK 17-69-17+TE 1 кг Orange​​​​​​​ Іспанія</t>
        </is>
      </c>
      <c r="F1851" s="21" t="inlineStr">
        <is>
          <t>Липа широколиста K14 G / H150-200</t>
        </is>
      </c>
      <c r="G1851" s="23" t="n">
        <v>541</v>
      </c>
      <c r="H1851" s="23" t="n">
        <v>320</v>
      </c>
      <c r="I1851" s="21" t="inlineStr">
        <is>
          <t>ID постачальника збігся, але різні об'єми або розміри</t>
        </is>
      </c>
    </row>
    <row r="1852">
      <c r="A1852" s="22" t="n">
        <v>28.6</v>
      </c>
      <c r="B1852" s="22" t="inlineStr">
        <is>
          <t>Клуб Рослин</t>
        </is>
      </c>
      <c r="C1852" s="22" t="inlineStr">
        <is>
          <t>2001</t>
        </is>
      </c>
      <c r="D1852" s="22" t="inlineStr">
        <is>
          <t>2001</t>
        </is>
      </c>
      <c r="E1852" s="21" t="inlineStr">
        <is>
          <t>Інсектицид Форс 1 кг (розсип) Syngenta Сингента Швейцарія</t>
        </is>
      </c>
      <c r="F1852" s="21" t="inlineStr">
        <is>
          <t>Гібіскус сірійський Чайна Шифон ® C7,5</t>
        </is>
      </c>
      <c r="G1852" s="23" t="n">
        <v>520</v>
      </c>
      <c r="H1852" s="23" t="n">
        <v>260</v>
      </c>
      <c r="I1852" s="21" t="inlineStr">
        <is>
          <t>ID постачальника збігся, але назви різні</t>
        </is>
      </c>
    </row>
    <row r="1853">
      <c r="A1853" s="22" t="n">
        <v>28.6</v>
      </c>
      <c r="B1853" s="22" t="inlineStr">
        <is>
          <t>Клуб Рослин</t>
        </is>
      </c>
      <c r="C1853" s="22" t="inlineStr">
        <is>
          <t>7536</t>
        </is>
      </c>
      <c r="D1853" s="22" t="inlineStr">
        <is>
          <t>7536</t>
        </is>
      </c>
      <c r="E1853" s="21" t="inlineStr">
        <is>
          <t>Добриво Натурвін / Naturwin 21-21-21 + ТЕ 2 кг Libra agro Туреччина</t>
        </is>
      </c>
      <c r="F1853" s="21" t="inlineStr">
        <is>
          <t>Тис ягідний (а) Піраміда 175*150 G+C270</t>
        </is>
      </c>
      <c r="G1853" s="23" t="n">
        <v>478</v>
      </c>
      <c r="H1853" s="23" t="n">
        <v>19500</v>
      </c>
      <c r="I1853" s="21" t="inlineStr">
        <is>
          <t>ID постачальника збігся, але різні об'єми або розміри</t>
        </is>
      </c>
    </row>
    <row r="1854">
      <c r="A1854" s="22" t="n">
        <v>28.6</v>
      </c>
      <c r="B1854" s="22" t="inlineStr">
        <is>
          <t>Клуб Рослин</t>
        </is>
      </c>
      <c r="C1854" s="22" t="inlineStr">
        <is>
          <t>100-50</t>
        </is>
      </c>
      <c r="D1854" s="22" t="inlineStr">
        <is>
          <t>10050</t>
        </is>
      </c>
      <c r="E1854" s="21" t="inlineStr">
        <is>
          <t>Кущоріз Японська якість / Japan Quality з нержавіючої сталі SK-5 (100-50)</t>
        </is>
      </c>
      <c r="F1854" s="21" t="inlineStr">
        <is>
          <t>Ключ для КШД 3/4НР (P-33DK), пластик</t>
        </is>
      </c>
      <c r="G1854" s="23" t="n">
        <v>450</v>
      </c>
      <c r="H1854" s="23" t="n">
        <v>193.6</v>
      </c>
      <c r="I1854" s="21" t="inlineStr">
        <is>
          <t>ID постачальника збігся, але різні коди виробника</t>
        </is>
      </c>
    </row>
    <row r="1855">
      <c r="A1855" s="22" t="n">
        <v>28.6</v>
      </c>
      <c r="B1855" s="22" t="inlineStr">
        <is>
          <t>Клуб Рослин</t>
        </is>
      </c>
      <c r="C1855" s="22" t="inlineStr">
        <is>
          <t>5010</t>
        </is>
      </c>
      <c r="D1855" s="22" t="inlineStr">
        <is>
          <t>5010</t>
        </is>
      </c>
      <c r="E1855" s="21" t="inlineStr">
        <is>
          <t>Протруйник Венцедор 1 л Alfa Smart Agro Альфа Смарт Агро Украина</t>
        </is>
      </c>
      <c r="F1855" s="21" t="inlineStr">
        <is>
          <t>Сосна густоквіткова Умбракуліфера K19 C45 / H80-100</t>
        </is>
      </c>
      <c r="G1855" s="23" t="n">
        <v>448</v>
      </c>
      <c r="H1855" s="23" t="n">
        <v>1680</v>
      </c>
      <c r="I1855" s="21" t="inlineStr">
        <is>
          <t>ID постачальника збігся, але назви різні</t>
        </is>
      </c>
    </row>
    <row r="1856">
      <c r="A1856" s="22" t="n">
        <v>28.6</v>
      </c>
      <c r="B1856" s="22" t="inlineStr">
        <is>
          <t>Клуб Рослин</t>
        </is>
      </c>
      <c r="C1856" s="22" t="inlineStr">
        <is>
          <t>2238</t>
        </is>
      </c>
      <c r="D1856" s="22" t="inlineStr">
        <is>
          <t>2238</t>
        </is>
      </c>
      <c r="E1856" s="21" t="inlineStr">
        <is>
          <t>Інсектицид Апплауд 25 КС 100 мл SumiАgro Японія</t>
        </is>
      </c>
      <c r="F1856" s="21" t="inlineStr">
        <is>
          <t>Гортензія волотиста Лаймлайт PC22 C7,5 / H60-65</t>
        </is>
      </c>
      <c r="G1856" s="23" t="n">
        <v>398</v>
      </c>
      <c r="H1856" s="23" t="n">
        <v>420</v>
      </c>
      <c r="I1856" s="21" t="inlineStr">
        <is>
          <t>ID постачальника збігся, але назви різні</t>
        </is>
      </c>
    </row>
    <row r="1857">
      <c r="A1857" s="22" t="n">
        <v>28.6</v>
      </c>
      <c r="B1857" s="22" t="inlineStr">
        <is>
          <t>Клуб Рослин</t>
        </is>
      </c>
      <c r="C1857" s="22" t="inlineStr">
        <is>
          <t>7384</t>
        </is>
      </c>
      <c r="D1857" s="22" t="inlineStr">
        <is>
          <t>7384</t>
        </is>
      </c>
      <c r="E1857" s="21" t="inlineStr">
        <is>
          <t>Добриво Цинк / Zinс (Zn) 1 л SmartGrow Україна</t>
        </is>
      </c>
      <c r="F1857" s="21" t="inlineStr">
        <is>
          <t>Спірея японська Литл Прінцес PC21 C3 / H10-15</t>
        </is>
      </c>
      <c r="G1857" s="23" t="n">
        <v>315</v>
      </c>
      <c r="H1857" s="23" t="n">
        <v>151</v>
      </c>
      <c r="I1857" s="21" t="inlineStr">
        <is>
          <t>ID постачальника збігся, але назви різні</t>
        </is>
      </c>
    </row>
    <row r="1858">
      <c r="A1858" s="22" t="n">
        <v>28.4</v>
      </c>
      <c r="B1858" s="22" t="inlineStr">
        <is>
          <t>Клуб Рослин</t>
        </is>
      </c>
      <c r="C1858" s="22" t="inlineStr">
        <is>
          <t>7906</t>
        </is>
      </c>
      <c r="D1858" s="22" t="inlineStr">
        <is>
          <t>7906</t>
        </is>
      </c>
      <c r="E1858" s="21" t="inlineStr">
        <is>
          <t>Добриво Леда Калієва селітра / Leda Potanit NPK 13.5-0-46 Leda Potanit 25 кг Бельгія</t>
        </is>
      </c>
      <c r="F1858" s="21" t="inlineStr">
        <is>
          <t>Туя західна (ий) Смарагд Пон-Пон C35 / H100-120</t>
        </is>
      </c>
      <c r="G1858" s="23" t="n">
        <v>2523</v>
      </c>
      <c r="H1858" s="23" t="n">
        <v>6121</v>
      </c>
      <c r="I1858" s="21" t="inlineStr">
        <is>
          <t>ID постачальника збігся, але різні коди виробника</t>
        </is>
      </c>
    </row>
    <row r="1859">
      <c r="A1859" s="22" t="n">
        <v>28.4</v>
      </c>
      <c r="B1859" s="22" t="inlineStr">
        <is>
          <t>Клуб Рослин</t>
        </is>
      </c>
      <c r="C1859" s="22" t="inlineStr">
        <is>
          <t>7361</t>
        </is>
      </c>
      <c r="D1859" s="22" t="inlineStr">
        <is>
          <t>7361</t>
        </is>
      </c>
      <c r="E1859" s="21" t="inlineStr">
        <is>
          <t>Добриво Плантатор 10+54+10 5 кг Кіссон Україна</t>
        </is>
      </c>
      <c r="F1859" s="21" t="inlineStr">
        <is>
          <t>Спірея японська Голдфлейм PC17 C5</t>
        </is>
      </c>
      <c r="G1859" s="23" t="n">
        <v>1146</v>
      </c>
      <c r="H1859" s="23" t="n">
        <v>135</v>
      </c>
      <c r="I1859" s="21" t="inlineStr">
        <is>
          <t>ID постачальника збігся, але назви різні</t>
        </is>
      </c>
    </row>
    <row r="1860">
      <c r="A1860" s="22" t="n">
        <v>28.4</v>
      </c>
      <c r="B1860" s="22" t="inlineStr">
        <is>
          <t>Клуб Рослин</t>
        </is>
      </c>
      <c r="C1860" s="22" t="inlineStr">
        <is>
          <t>7360</t>
        </is>
      </c>
      <c r="D1860" s="22" t="inlineStr">
        <is>
          <t>7360</t>
        </is>
      </c>
      <c r="E1860" s="21" t="inlineStr">
        <is>
          <t>Добриво Плантатор 10+54+10 1 кг Кіссон Україна</t>
        </is>
      </c>
      <c r="F1860" s="21" t="inlineStr">
        <is>
          <t>Спірея японська Голдфлейм PC17 C3</t>
        </is>
      </c>
      <c r="G1860" s="23" t="n">
        <v>281</v>
      </c>
      <c r="H1860" s="23" t="n">
        <v>80</v>
      </c>
      <c r="I1860" s="21" t="inlineStr">
        <is>
          <t>ID постачальника збігся, але назви різні</t>
        </is>
      </c>
    </row>
    <row r="1861">
      <c r="A1861" s="22" t="n">
        <v>28.4</v>
      </c>
      <c r="B1861" s="22" t="inlineStr">
        <is>
          <t>Клуб Рослин</t>
        </is>
      </c>
      <c r="C1861" s="22" t="inlineStr">
        <is>
          <t>7617</t>
        </is>
      </c>
      <c r="D1861" s="22" t="inlineStr">
        <is>
          <t>7617</t>
        </is>
      </c>
      <c r="E1861" s="21" t="inlineStr">
        <is>
          <t>Добриво Мікрокат Кальцій (Microcat Ca) 250 мл Vitera Вітера Atlantica Agricola Испания</t>
        </is>
      </c>
      <c r="F1861" s="21" t="inlineStr">
        <is>
          <t>Тис середній Хіксіі Бонсай Woodenbox 700 / H200 / L120</t>
        </is>
      </c>
      <c r="G1861" s="23" t="n">
        <v>260</v>
      </c>
      <c r="H1861" s="23" t="n">
        <v>52992</v>
      </c>
      <c r="I1861" s="21" t="inlineStr">
        <is>
          <t>ID постачальника збігся, але різні бренди</t>
        </is>
      </c>
    </row>
    <row r="1862">
      <c r="A1862" s="22" t="n">
        <v>28.3</v>
      </c>
      <c r="B1862" s="22" t="inlineStr">
        <is>
          <t>Клуб Рослин</t>
        </is>
      </c>
      <c r="C1862" s="22" t="inlineStr">
        <is>
          <t>7635</t>
        </is>
      </c>
      <c r="D1862" s="22" t="inlineStr">
        <is>
          <t>7635</t>
        </is>
      </c>
      <c r="E1862" s="21" t="inlineStr">
        <is>
          <t>Укорінювач Ризопон Powder AA 0.5% 10 кг Rhizopon B.V. Нідерланди</t>
        </is>
      </c>
      <c r="F1862" s="21" t="inlineStr">
        <is>
          <t>Тис середній Хілліі Extra C45 / H120-140</t>
        </is>
      </c>
      <c r="G1862" s="23" t="n">
        <v>59229</v>
      </c>
      <c r="H1862" s="23" t="n">
        <v>4721</v>
      </c>
      <c r="I1862" s="21" t="inlineStr">
        <is>
          <t>ID постачальника збігся, але різні бренди</t>
        </is>
      </c>
    </row>
    <row r="1863">
      <c r="A1863" s="22" t="n">
        <v>28.3</v>
      </c>
      <c r="B1863" s="22" t="inlineStr">
        <is>
          <t>Клуб Рослин</t>
        </is>
      </c>
      <c r="C1863" s="22" t="inlineStr">
        <is>
          <t>7528</t>
        </is>
      </c>
      <c r="D1863" s="22" t="inlineStr">
        <is>
          <t>7528</t>
        </is>
      </c>
      <c r="E1863" s="21" t="inlineStr">
        <is>
          <t>Регулятор росту Гуміфілд Форте Макc 20 л Humin Tech Німеччина</t>
        </is>
      </c>
      <c r="F1863" s="21" t="inlineStr">
        <is>
          <t>Тис ягідний (а) Мультиштамб C230 / H150-175</t>
        </is>
      </c>
      <c r="G1863" s="23" t="n">
        <v>6498</v>
      </c>
      <c r="H1863" s="23" t="n">
        <v>36000</v>
      </c>
      <c r="I1863" s="21" t="inlineStr">
        <is>
          <t>ID постачальника збігся, але назви різні</t>
        </is>
      </c>
    </row>
    <row r="1864">
      <c r="A1864" s="22" t="n">
        <v>28.3</v>
      </c>
      <c r="B1864" s="22" t="inlineStr">
        <is>
          <t>Клуб Рослин</t>
        </is>
      </c>
      <c r="C1864" s="22" t="inlineStr">
        <is>
          <t>7558</t>
        </is>
      </c>
      <c r="D1864" s="22" t="inlineStr">
        <is>
          <t>7558</t>
        </is>
      </c>
      <c r="E1864" s="21" t="inlineStr">
        <is>
          <t>Добриво Мерістем Meristem NPK 13-5-30+2MgO+Mix 25 кг Іспанія</t>
        </is>
      </c>
      <c r="F1864" s="21" t="inlineStr">
        <is>
          <t>Тис ягідний (а) Шварцгрун Бонсай C130 / H130-140 / L100</t>
        </is>
      </c>
      <c r="G1864" s="23" t="n">
        <v>3892</v>
      </c>
      <c r="H1864" s="23" t="n">
        <v>33120</v>
      </c>
      <c r="I1864" s="21" t="inlineStr">
        <is>
          <t>ID постачальника збігся, але назви різні</t>
        </is>
      </c>
    </row>
    <row r="1865">
      <c r="A1865" s="22" t="n">
        <v>28.3</v>
      </c>
      <c r="B1865" s="22" t="inlineStr">
        <is>
          <t>Клуб Рослин</t>
        </is>
      </c>
      <c r="C1865" s="22" t="inlineStr">
        <is>
          <t>7804</t>
        </is>
      </c>
      <c r="D1865" s="22" t="inlineStr">
        <is>
          <t>7804</t>
        </is>
      </c>
      <c r="E1865" s="21" t="inlineStr">
        <is>
          <t>Регулятор росту Платіна / Platina 1 л Globagem N.V. Бельгія</t>
        </is>
      </c>
      <c r="F1865" s="21" t="inlineStr">
        <is>
          <t>Туя західна (ий) Смарагд K C45 / H100-120</t>
        </is>
      </c>
      <c r="G1865" s="23" t="n">
        <v>3848</v>
      </c>
      <c r="H1865" s="23" t="n">
        <v>435</v>
      </c>
      <c r="I1865" s="21" t="inlineStr">
        <is>
          <t>ID постачальника збігся, але назви різні</t>
        </is>
      </c>
    </row>
    <row r="1866">
      <c r="A1866" s="22" t="n">
        <v>28.3</v>
      </c>
      <c r="B1866" s="22" t="inlineStr">
        <is>
          <t>Клуб Рослин</t>
        </is>
      </c>
      <c r="C1866" s="22" t="inlineStr">
        <is>
          <t>7569</t>
        </is>
      </c>
      <c r="D1866" s="22" t="inlineStr">
        <is>
          <t>7569</t>
        </is>
      </c>
      <c r="E1866" s="21" t="inlineStr">
        <is>
          <t>Рідке добриво Мерістем Калібор / Meristem Calibor 5 л Іспанія</t>
        </is>
      </c>
      <c r="F1866" s="21" t="inlineStr">
        <is>
          <t>Тис ягідний (а) Спіраль C15 / H100-125</t>
        </is>
      </c>
      <c r="G1866" s="23" t="n">
        <v>3148</v>
      </c>
      <c r="H1866" s="23" t="n">
        <v>4140</v>
      </c>
      <c r="I1866" s="21" t="inlineStr">
        <is>
          <t>ID постачальника збігся, але назви різні</t>
        </is>
      </c>
    </row>
    <row r="1867">
      <c r="A1867" s="22" t="n">
        <v>28.3</v>
      </c>
      <c r="B1867" s="22" t="inlineStr">
        <is>
          <t>Клуб Рослин</t>
        </is>
      </c>
      <c r="C1867" s="22" t="inlineStr">
        <is>
          <t>3059</t>
        </is>
      </c>
      <c r="D1867" s="22" t="inlineStr">
        <is>
          <t>3059</t>
        </is>
      </c>
      <c r="E1867" s="21" t="inlineStr">
        <is>
          <t>Фунгіцид Кумулюс ДФ 20 кг BASF Басф Німеччина</t>
        </is>
      </c>
      <c r="F1867" s="21" t="inlineStr">
        <is>
          <t>Ялівець середній Пфітзеріана Ауреа Бонсай PC18 Woodenbox 300 / H150-175</t>
        </is>
      </c>
      <c r="G1867" s="23" t="n">
        <v>2998</v>
      </c>
      <c r="H1867" s="23" t="n">
        <v>14400</v>
      </c>
      <c r="I1867" s="21" t="inlineStr">
        <is>
          <t>ID постачальника збігся, але різні бренди</t>
        </is>
      </c>
    </row>
    <row r="1868">
      <c r="A1868" s="22" t="n">
        <v>28.3</v>
      </c>
      <c r="B1868" s="22" t="inlineStr">
        <is>
          <t>Клуб Рослин</t>
        </is>
      </c>
      <c r="C1868" s="22" t="inlineStr">
        <is>
          <t>7736</t>
        </is>
      </c>
      <c r="D1868" s="22" t="inlineStr">
        <is>
          <t>7736</t>
        </is>
      </c>
      <c r="E1868" s="21" t="inlineStr">
        <is>
          <t>Біостимулятор Агріфул Антисал / Agriful Antisal 5 л AgriTecno Іспанія</t>
        </is>
      </c>
      <c r="F1868" s="21" t="inlineStr">
        <is>
          <t>Туя західна (ий) Голден Смарагд ® C4</t>
        </is>
      </c>
      <c r="G1868" s="23" t="n">
        <v>2808</v>
      </c>
      <c r="H1868" s="23" t="n">
        <v>335</v>
      </c>
      <c r="I1868" s="21" t="inlineStr">
        <is>
          <t>ID постачальника збігся, але назви різні</t>
        </is>
      </c>
    </row>
    <row r="1869">
      <c r="A1869" s="22" t="n">
        <v>28.3</v>
      </c>
      <c r="B1869" s="22" t="inlineStr">
        <is>
          <t>Клуб Рослин</t>
        </is>
      </c>
      <c r="C1869" s="22" t="inlineStr">
        <is>
          <t>7406</t>
        </is>
      </c>
      <c r="D1869" s="22" t="inlineStr">
        <is>
          <t>7406</t>
        </is>
      </c>
      <c r="E1869" s="21" t="inlineStr">
        <is>
          <t>Добриво GroGreen Гроліф NPK 10-40-10 + TE + QPS45 5 кг Lima Бельгія</t>
        </is>
      </c>
      <c r="F1869" s="21" t="inlineStr">
        <is>
          <t>Бузок звичайний Каліфорнія Роуз K15 G / H125-150</t>
        </is>
      </c>
      <c r="G1869" s="23" t="n">
        <v>1794</v>
      </c>
      <c r="H1869" s="23" t="n">
        <v>455</v>
      </c>
      <c r="I1869" s="21" t="inlineStr">
        <is>
          <t>ID постачальника збігся, але різні об'єми або розміри</t>
        </is>
      </c>
    </row>
    <row r="1870">
      <c r="A1870" s="22" t="n">
        <v>28.3</v>
      </c>
      <c r="B1870" s="22" t="inlineStr">
        <is>
          <t>Клуб Рослин</t>
        </is>
      </c>
      <c r="C1870" s="22" t="inlineStr">
        <is>
          <t>7151</t>
        </is>
      </c>
      <c r="D1870" s="22" t="inlineStr">
        <is>
          <t>7151</t>
        </is>
      </c>
      <c r="E1870" s="21" t="inlineStr">
        <is>
          <t>Стимулятор росту Райкат Старт (Raykat Start) 1 л Вітера Atlantica Agricola Іспанія</t>
        </is>
      </c>
      <c r="F1870" s="21" t="inlineStr">
        <is>
          <t>Троянда гібридний(а) Беверлі DP PC20 C7,5</t>
        </is>
      </c>
      <c r="G1870" s="23" t="n">
        <v>1498</v>
      </c>
      <c r="H1870" s="23" t="n">
        <v>290</v>
      </c>
      <c r="I1870" s="21" t="inlineStr">
        <is>
          <t>ID постачальника збігся, але різні бренди</t>
        </is>
      </c>
    </row>
    <row r="1871">
      <c r="A1871" s="22" t="n">
        <v>28.3</v>
      </c>
      <c r="B1871" s="22" t="inlineStr">
        <is>
          <t>Клуб Рослин</t>
        </is>
      </c>
      <c r="C1871" s="22" t="inlineStr">
        <is>
          <t>7277</t>
        </is>
      </c>
      <c r="D1871" s="22" t="inlineStr">
        <is>
          <t>7277</t>
        </is>
      </c>
      <c r="E1871" s="21" t="inlineStr">
        <is>
          <t>Добриво Нітрат Кальцію Calcium Nitrate 25 кг Heliopotasse Франция</t>
        </is>
      </c>
      <c r="F1871" s="21" t="inlineStr">
        <is>
          <t>Троянда поліантова Кларет Піксі DP PC19 C5 / H20-30</t>
        </is>
      </c>
      <c r="G1871" s="23" t="n">
        <v>1425</v>
      </c>
      <c r="H1871" s="23" t="n">
        <v>145</v>
      </c>
      <c r="I1871" s="21" t="inlineStr">
        <is>
          <t>ID постачальника збігся, але різні бренди</t>
        </is>
      </c>
    </row>
    <row r="1872">
      <c r="A1872" s="22" t="n">
        <v>28.3</v>
      </c>
      <c r="B1872" s="22" t="inlineStr">
        <is>
          <t>Клуб Рослин</t>
        </is>
      </c>
      <c r="C1872" s="22" t="inlineStr">
        <is>
          <t>7645</t>
        </is>
      </c>
      <c r="D1872" s="22" t="inlineStr">
        <is>
          <t>7645</t>
        </is>
      </c>
      <c r="E1872" s="21" t="inlineStr">
        <is>
          <t>Укорінювач Ризапон AA 0.2% Tablets 20 шт Rhizopon B.V. Нідерланди</t>
        </is>
      </c>
      <c r="F1872" s="21" t="inlineStr">
        <is>
          <t>Туя (Платікладус) східна Ауреа Нана C2</t>
        </is>
      </c>
      <c r="G1872" s="23" t="n">
        <v>1246</v>
      </c>
      <c r="H1872" s="23" t="n">
        <v>193</v>
      </c>
      <c r="I1872" s="21" t="inlineStr">
        <is>
          <t>ID постачальника збігся, але назви різні</t>
        </is>
      </c>
    </row>
    <row r="1873">
      <c r="A1873" s="22" t="n">
        <v>28.3</v>
      </c>
      <c r="B1873" s="22" t="inlineStr">
        <is>
          <t>Клуб Рослин</t>
        </is>
      </c>
      <c r="C1873" s="22" t="inlineStr">
        <is>
          <t>2132</t>
        </is>
      </c>
      <c r="D1873" s="22" t="inlineStr">
        <is>
          <t>2132</t>
        </is>
      </c>
      <c r="E1873" s="21" t="inlineStr">
        <is>
          <t>Інсектицид Антигусінь КС 5 л Ukravit Укравіт Україна</t>
        </is>
      </c>
      <c r="F1873" s="21" t="inlineStr">
        <is>
          <t>Гортензія великолисткова Ховарія Лав ю Кісс D4,6 / H30-40</t>
        </is>
      </c>
      <c r="G1873" s="23" t="n">
        <v>1148</v>
      </c>
      <c r="H1873" s="23" t="n">
        <v>550</v>
      </c>
      <c r="I1873" s="21" t="inlineStr">
        <is>
          <t>ID постачальника збігся, але назви різні</t>
        </is>
      </c>
    </row>
    <row r="1874">
      <c r="A1874" s="22" t="n">
        <v>28.3</v>
      </c>
      <c r="B1874" s="22" t="inlineStr">
        <is>
          <t>Клуб Рослин</t>
        </is>
      </c>
      <c r="C1874" s="22" t="inlineStr">
        <is>
          <t>7807</t>
        </is>
      </c>
      <c r="D1874" s="22" t="inlineStr">
        <is>
          <t>7807</t>
        </is>
      </c>
      <c r="E1874" s="21" t="inlineStr">
        <is>
          <t>Інокулянт Біорадіс Сол / Bioradis Sol 100 г Bioera Іспанія</t>
        </is>
      </c>
      <c r="F1874" s="21" t="inlineStr">
        <is>
          <t>Туя західна (ий) Смарагд K C60 / H120-140</t>
        </is>
      </c>
      <c r="G1874" s="23" t="n">
        <v>1040</v>
      </c>
      <c r="H1874" s="23" t="n">
        <v>508</v>
      </c>
      <c r="I1874" s="21" t="inlineStr">
        <is>
          <t>ID постачальника збігся, але назви різні</t>
        </is>
      </c>
    </row>
    <row r="1875">
      <c r="A1875" s="22" t="n">
        <v>28.3</v>
      </c>
      <c r="B1875" s="22" t="inlineStr">
        <is>
          <t>Клуб Рослин</t>
        </is>
      </c>
      <c r="C1875" s="22" t="inlineStr">
        <is>
          <t>7952</t>
        </is>
      </c>
      <c r="D1875" s="22" t="inlineStr">
        <is>
          <t>7952</t>
        </is>
      </c>
      <c r="E1875" s="21" t="inlineStr">
        <is>
          <t>Біостимулятор АЛЬГА Гоббі / ALGA Gobbi 1 л L.Gobbi Італія</t>
        </is>
      </c>
      <c r="F1875" s="21" t="inlineStr">
        <is>
          <t>Туя складчата Форева Голді PC14 C5 / H30-40</t>
        </is>
      </c>
      <c r="G1875" s="23" t="n">
        <v>791</v>
      </c>
      <c r="H1875" s="23" t="n">
        <v>210</v>
      </c>
      <c r="I1875" s="21" t="inlineStr">
        <is>
          <t>ID постачальника збігся, але назви різні</t>
        </is>
      </c>
    </row>
    <row r="1876">
      <c r="A1876" s="22" t="n">
        <v>28.3</v>
      </c>
      <c r="B1876" s="22" t="inlineStr">
        <is>
          <t>Клуб Рослин</t>
        </is>
      </c>
      <c r="C1876" s="22" t="inlineStr">
        <is>
          <t>8095</t>
        </is>
      </c>
      <c r="D1876" s="22" t="inlineStr">
        <is>
          <t>8095</t>
        </is>
      </c>
      <c r="E1876" s="21" t="inlineStr">
        <is>
          <t>Добриво Хобі Осмокот / Osmocote S-Curved 16-8-12 (5-6 M) 1 кг ICL Нідерланди</t>
        </is>
      </c>
      <c r="F1876" s="21" t="inlineStr">
        <is>
          <t>Чорниця висока (Голубика, Лохина) Блюкроп PC14 C3 / H30-40</t>
        </is>
      </c>
      <c r="G1876" s="23" t="n">
        <v>599</v>
      </c>
      <c r="H1876" s="23" t="n">
        <v>110</v>
      </c>
      <c r="I1876" s="21" t="inlineStr">
        <is>
          <t>ID постачальника збігся, але назви різні</t>
        </is>
      </c>
    </row>
    <row r="1877">
      <c r="A1877" s="22" t="n">
        <v>28.3</v>
      </c>
      <c r="B1877" s="22" t="inlineStr">
        <is>
          <t>Клуб Рослин</t>
        </is>
      </c>
      <c r="C1877" s="22" t="inlineStr">
        <is>
          <t>7728</t>
        </is>
      </c>
      <c r="D1877" s="22" t="inlineStr">
        <is>
          <t>7728</t>
        </is>
      </c>
      <c r="E1877" s="21" t="inlineStr">
        <is>
          <t>Біостимулятор-антистресант Текамін Макс / Tecamin Max 1 л AgriTecno Іспанія</t>
        </is>
      </c>
      <c r="F1877" s="21" t="inlineStr">
        <is>
          <t>Туя західна (ий) Глобоза Компакта K20 C80 / H100-120</t>
        </is>
      </c>
      <c r="G1877" s="23" t="n">
        <v>582</v>
      </c>
      <c r="H1877" s="23" t="n">
        <v>1159</v>
      </c>
      <c r="I1877" s="21" t="inlineStr">
        <is>
          <t>ID постачальника збігся, але назви різні</t>
        </is>
      </c>
    </row>
    <row r="1878">
      <c r="A1878" s="22" t="n">
        <v>28.3</v>
      </c>
      <c r="B1878" s="22" t="inlineStr">
        <is>
          <t>Клуб Рослин</t>
        </is>
      </c>
      <c r="C1878" s="22" t="inlineStr">
        <is>
          <t>1049</t>
        </is>
      </c>
      <c r="D1878" s="22" t="inlineStr">
        <is>
          <t>1049</t>
        </is>
      </c>
      <c r="E1878" s="21" t="inlineStr">
        <is>
          <t>Гербіцид Антибур'ян 1 л Аптека садівника Україна</t>
        </is>
      </c>
      <c r="F1878" s="21" t="inlineStr">
        <is>
          <t>Береза плакуча (ий) Мультиштамб K20 C230 / H300-400 / o20-25</t>
        </is>
      </c>
      <c r="G1878" s="23" t="n">
        <v>548</v>
      </c>
      <c r="H1878" s="23" t="n">
        <v>7200</v>
      </c>
      <c r="I1878" s="21" t="inlineStr">
        <is>
          <t>ID постачальника збігся, але назви різні</t>
        </is>
      </c>
    </row>
    <row r="1879">
      <c r="A1879" s="22" t="n">
        <v>28.3</v>
      </c>
      <c r="B1879" s="22" t="inlineStr">
        <is>
          <t>Клуб Рослин</t>
        </is>
      </c>
      <c r="C1879" s="22" t="inlineStr">
        <is>
          <t>7343</t>
        </is>
      </c>
      <c r="D1879" s="22" t="inlineStr">
        <is>
          <t>7343</t>
        </is>
      </c>
      <c r="E1879" s="21" t="inlineStr">
        <is>
          <t>Біостимулятор укорінювач Alga Root Альга Рут 1 л Leili Лейлі</t>
        </is>
      </c>
      <c r="F1879" s="21" t="inlineStr">
        <is>
          <t>Спірея японська Ентоні Ватерер PC C7,5 - 30-50 см</t>
        </is>
      </c>
      <c r="G1879" s="23" t="n">
        <v>525</v>
      </c>
      <c r="H1879" s="23" t="n">
        <v>288</v>
      </c>
      <c r="I1879" s="21" t="inlineStr">
        <is>
          <t>ID постачальника збігся, але різні об'єми або розміри</t>
        </is>
      </c>
    </row>
    <row r="1880">
      <c r="A1880" s="22" t="n">
        <v>28.3</v>
      </c>
      <c r="B1880" s="22" t="inlineStr">
        <is>
          <t>Клуб Рослин</t>
        </is>
      </c>
      <c r="C1880" s="22" t="inlineStr">
        <is>
          <t>7757</t>
        </is>
      </c>
      <c r="D1880" s="22" t="inlineStr">
        <is>
          <t>7757</t>
        </is>
      </c>
      <c r="E1880" s="21" t="inlineStr">
        <is>
          <t>Добриво Ікар Інтенс Олійний / Ikar Intense Oil 1 л Литва</t>
        </is>
      </c>
      <c r="F1880" s="21" t="inlineStr">
        <is>
          <t>Туя західна (ий) Литл Джаінт K18 G / H30-40</t>
        </is>
      </c>
      <c r="G1880" s="23" t="n">
        <v>520</v>
      </c>
      <c r="H1880" s="23" t="n">
        <v>360</v>
      </c>
      <c r="I1880" s="21" t="inlineStr">
        <is>
          <t>ID постачальника збігся, але різні об'єми або розміри</t>
        </is>
      </c>
    </row>
    <row r="1881">
      <c r="A1881" s="22" t="n">
        <v>28.2</v>
      </c>
      <c r="B1881" s="22" t="inlineStr">
        <is>
          <t>Клуб Рослин</t>
        </is>
      </c>
      <c r="C1881" s="22" t="inlineStr">
        <is>
          <t>1125</t>
        </is>
      </c>
      <c r="D1881" s="22" t="inlineStr">
        <is>
          <t>1125</t>
        </is>
      </c>
      <c r="E1881" s="21" t="inlineStr">
        <is>
          <t>Гербіцид Геліантекс 1 л Corteva Кортева США</t>
        </is>
      </c>
      <c r="F1881" s="21" t="inlineStr">
        <is>
          <t>Самшит вічнозенений GK / H50-75</t>
        </is>
      </c>
      <c r="G1881" s="23" t="n">
        <v>16998</v>
      </c>
      <c r="H1881" s="23" t="n">
        <v>55</v>
      </c>
      <c r="I1881" s="21" t="inlineStr">
        <is>
          <t>ID постачальника збігся, але різні бренди</t>
        </is>
      </c>
    </row>
    <row r="1882">
      <c r="A1882" s="22" t="n">
        <v>28.2</v>
      </c>
      <c r="B1882" s="22" t="inlineStr">
        <is>
          <t>Клуб Рослин</t>
        </is>
      </c>
      <c r="C1882" s="22" t="inlineStr">
        <is>
          <t>7177</t>
        </is>
      </c>
      <c r="D1882" s="22" t="inlineStr">
        <is>
          <t>7177</t>
        </is>
      </c>
      <c r="E1882" s="21" t="inlineStr">
        <is>
          <t>Добриво Нутрівант Плюс Олійний 0-20-33+ME 25 кг Вітера ICL Ізраїль</t>
        </is>
      </c>
      <c r="F1882" s="21" t="inlineStr">
        <is>
          <t>Троянда гібридний(а) G</t>
        </is>
      </c>
      <c r="G1882" s="23" t="n">
        <v>9973</v>
      </c>
      <c r="H1882" s="23" t="n">
        <v>70</v>
      </c>
      <c r="I1882" s="21" t="inlineStr">
        <is>
          <t>ID постачальника збігся, але назви різні</t>
        </is>
      </c>
    </row>
    <row r="1883">
      <c r="A1883" s="22" t="n">
        <v>28.2</v>
      </c>
      <c r="B1883" s="22" t="inlineStr">
        <is>
          <t>Клуб Рослин</t>
        </is>
      </c>
      <c r="C1883" s="22" t="inlineStr">
        <is>
          <t>3275</t>
        </is>
      </c>
      <c r="D1883" s="22" t="inlineStr">
        <is>
          <t>3275</t>
        </is>
      </c>
      <c r="E1883" s="21" t="inlineStr">
        <is>
          <t>Фунгіцид Тілмор 240 ЕС КЕ 5 л Bayer Байєр Німеччина</t>
        </is>
      </c>
      <c r="F1883" s="21" t="inlineStr">
        <is>
          <t>Жимолость блискуча Майгрюн PC16 C3</t>
        </is>
      </c>
      <c r="G1883" s="23" t="n">
        <v>6238</v>
      </c>
      <c r="H1883" s="23" t="n">
        <v>85</v>
      </c>
      <c r="I1883" s="21" t="inlineStr">
        <is>
          <t>ID постачальника збігся, але назви різні</t>
        </is>
      </c>
    </row>
    <row r="1884">
      <c r="A1884" s="22" t="n">
        <v>28.2</v>
      </c>
      <c r="B1884" s="22" t="inlineStr">
        <is>
          <t>Клуб Рослин</t>
        </is>
      </c>
      <c r="C1884" s="22" t="inlineStr">
        <is>
          <t>7464</t>
        </is>
      </c>
      <c r="D1884" s="22" t="inlineStr">
        <is>
          <t>7464</t>
        </is>
      </c>
      <c r="E1884" s="21" t="inlineStr">
        <is>
          <t>Добриво Спектрум B+Mo 20 л FMС ФМС США</t>
        </is>
      </c>
      <c r="F1884" s="21" t="inlineStr">
        <is>
          <t>Тис ягідний (а) Бонсай C100 / H120-140</t>
        </is>
      </c>
      <c r="G1884" s="23" t="n">
        <v>4000</v>
      </c>
      <c r="H1884" s="23" t="n">
        <v>21600</v>
      </c>
      <c r="I1884" s="21" t="inlineStr">
        <is>
          <t>ID постачальника збігся, але назви різні</t>
        </is>
      </c>
    </row>
    <row r="1885">
      <c r="A1885" s="22" t="n">
        <v>28.2</v>
      </c>
      <c r="B1885" s="22" t="inlineStr">
        <is>
          <t>Клуб Рослин</t>
        </is>
      </c>
      <c r="C1885" s="22" t="inlineStr">
        <is>
          <t>3015</t>
        </is>
      </c>
      <c r="D1885" s="22" t="inlineStr">
        <is>
          <t>3015</t>
        </is>
      </c>
      <c r="E1885" s="21" t="inlineStr">
        <is>
          <t>Фунгіцид Делан 1 кг Basf Басф Німеччина</t>
        </is>
      </c>
      <c r="F1885" s="21" t="inlineStr">
        <is>
          <t>Ялівець середній Мінт Джулеп PC19 C5 / H20-25 / L35</t>
        </is>
      </c>
      <c r="G1885" s="23" t="n">
        <v>3248</v>
      </c>
      <c r="H1885" s="23" t="n">
        <v>215</v>
      </c>
      <c r="I1885" s="21" t="inlineStr">
        <is>
          <t>ID постачальника збігся, але назви різні</t>
        </is>
      </c>
    </row>
    <row r="1886">
      <c r="A1886" s="22" t="n">
        <v>28.2</v>
      </c>
      <c r="B1886" s="22" t="inlineStr">
        <is>
          <t>Клуб Рослин</t>
        </is>
      </c>
      <c r="C1886" s="22" t="inlineStr">
        <is>
          <t>7383</t>
        </is>
      </c>
      <c r="D1886" s="22" t="inlineStr">
        <is>
          <t>7383</t>
        </is>
      </c>
      <c r="E1886" s="21" t="inlineStr">
        <is>
          <t>Добриво Цинк / Zinс (Zn) 10 л SmartGrow Україна</t>
        </is>
      </c>
      <c r="F1886" s="21" t="inlineStr">
        <is>
          <t>Спірея японська Литл Прінцес PC19 C5 / L20-25</t>
        </is>
      </c>
      <c r="G1886" s="23" t="n">
        <v>3198</v>
      </c>
      <c r="H1886" s="23" t="n">
        <v>190</v>
      </c>
      <c r="I1886" s="21" t="inlineStr">
        <is>
          <t>ID постачальника збігся, але назви різні</t>
        </is>
      </c>
    </row>
    <row r="1887">
      <c r="A1887" s="22" t="n">
        <v>28.2</v>
      </c>
      <c r="B1887" s="22" t="inlineStr">
        <is>
          <t>Клуб Рослин</t>
        </is>
      </c>
      <c r="C1887" s="22" t="inlineStr">
        <is>
          <t>2256</t>
        </is>
      </c>
      <c r="D1887" s="22" t="inlineStr">
        <is>
          <t>2256</t>
        </is>
      </c>
      <c r="E1887" s="21" t="inlineStr">
        <is>
          <t>Інсектицид Аркеро 1 л Adama Адама Ізраїль</t>
        </is>
      </c>
      <c r="F1887" s="21" t="inlineStr">
        <is>
          <t>Гортензія волотиста Літтл Лайм (Джейн) PC18 C5</t>
        </is>
      </c>
      <c r="G1887" s="23" t="n">
        <v>2998</v>
      </c>
      <c r="H1887" s="23" t="n">
        <v>360</v>
      </c>
      <c r="I1887" s="21" t="inlineStr">
        <is>
          <t>ID постачальника збігся, але назви різні</t>
        </is>
      </c>
    </row>
    <row r="1888">
      <c r="A1888" s="22" t="n">
        <v>28.2</v>
      </c>
      <c r="B1888" s="22" t="inlineStr">
        <is>
          <t>Клуб Рослин</t>
        </is>
      </c>
      <c r="C1888" s="22" t="inlineStr">
        <is>
          <t>3100</t>
        </is>
      </c>
      <c r="D1888" s="22" t="inlineStr">
        <is>
          <t>3100</t>
        </is>
      </c>
      <c r="E1888" s="21" t="inlineStr">
        <is>
          <t>Фунгіцид Зидан 5 л Pest Пест Україна</t>
        </is>
      </c>
      <c r="F1888" s="21" t="inlineStr">
        <is>
          <t>Модрина японська Стів Віпер Штамб C10 / L60-80 / Pa180</t>
        </is>
      </c>
      <c r="G1888" s="23" t="n">
        <v>1716</v>
      </c>
      <c r="H1888" s="23" t="n">
        <v>1805</v>
      </c>
      <c r="I1888" s="21" t="inlineStr">
        <is>
          <t>ID постачальника збігся, але назви різні</t>
        </is>
      </c>
    </row>
    <row r="1889">
      <c r="A1889" s="22" t="n">
        <v>28.2</v>
      </c>
      <c r="B1889" s="22" t="inlineStr">
        <is>
          <t>Клуб Рослин</t>
        </is>
      </c>
      <c r="C1889" s="22" t="inlineStr">
        <is>
          <t>3679</t>
        </is>
      </c>
      <c r="D1889" s="22" t="inlineStr">
        <is>
          <t>3679</t>
        </is>
      </c>
      <c r="E1889" s="21" t="inlineStr">
        <is>
          <t>Фунгицид Сірка суспензійна 800 КС 5 л AgroProtection Україна</t>
        </is>
      </c>
      <c r="F1889" s="21" t="inlineStr">
        <is>
          <t>Нарцис Апрікот Вірл 14\16</t>
        </is>
      </c>
      <c r="G1889" s="23" t="n">
        <v>948</v>
      </c>
      <c r="H1889" s="23" t="n">
        <v>35</v>
      </c>
      <c r="I1889" s="21" t="inlineStr">
        <is>
          <t>ID постачальника збігся, але назви різні</t>
        </is>
      </c>
    </row>
    <row r="1890">
      <c r="A1890" s="22" t="n">
        <v>28.2</v>
      </c>
      <c r="B1890" s="22" t="inlineStr">
        <is>
          <t>Клуб Рослин</t>
        </is>
      </c>
      <c r="C1890" s="22" t="inlineStr">
        <is>
          <t>100-02</t>
        </is>
      </c>
      <c r="D1890" s="22" t="inlineStr">
        <is>
          <t>10002</t>
        </is>
      </c>
      <c r="E1890" s="21" t="inlineStr">
        <is>
          <t>Гілкоріз кований 800 мм Drop Forged SK 5 (100-02)</t>
        </is>
      </c>
      <c r="F1890" s="21" t="inlineStr">
        <is>
          <t>Клей SpliceAdhesiv 11,36л (метал)</t>
        </is>
      </c>
      <c r="G1890" s="23" t="n">
        <v>648</v>
      </c>
      <c r="H1890" s="23" t="n">
        <v>4980</v>
      </c>
      <c r="I1890" s="21" t="inlineStr">
        <is>
          <t>ID постачальника збігся, але різні об'єми або розміри</t>
        </is>
      </c>
    </row>
    <row r="1891">
      <c r="A1891" s="22" t="n">
        <v>28.2</v>
      </c>
      <c r="B1891" s="22" t="inlineStr">
        <is>
          <t>Клуб Рослин</t>
        </is>
      </c>
      <c r="C1891" s="22" t="inlineStr">
        <is>
          <t>7953</t>
        </is>
      </c>
      <c r="D1891" s="22" t="inlineStr">
        <is>
          <t>7953</t>
        </is>
      </c>
      <c r="E1891" s="21" t="inlineStr">
        <is>
          <t>Добриво Борон / Boron 21 PG 1 кг L.Gobbi Італія</t>
        </is>
      </c>
      <c r="F1891" s="21" t="inlineStr">
        <is>
          <t>Туя складчата Форева Голді PC15 C3 / H20-30</t>
        </is>
      </c>
      <c r="G1891" s="23" t="n">
        <v>585</v>
      </c>
      <c r="H1891" s="23" t="n">
        <v>145</v>
      </c>
      <c r="I1891" s="21" t="inlineStr">
        <is>
          <t>ID постачальника збігся, але назви різні</t>
        </is>
      </c>
    </row>
    <row r="1892">
      <c r="A1892" s="22" t="n">
        <v>28.2</v>
      </c>
      <c r="B1892" s="22" t="inlineStr">
        <is>
          <t>Клуб Рослин</t>
        </is>
      </c>
      <c r="C1892" s="22" t="inlineStr">
        <is>
          <t>1165</t>
        </is>
      </c>
      <c r="D1892" s="22" t="inlineStr">
        <is>
          <t>1165</t>
        </is>
      </c>
      <c r="E1892" s="21" t="inlineStr">
        <is>
          <t>Гербіцид Румер 300 мл Fader Велика Британія</t>
        </is>
      </c>
      <c r="F1892" s="21" t="inlineStr">
        <is>
          <t>Кампсіс укорінливий Флява PC20 C1,5</t>
        </is>
      </c>
      <c r="G1892" s="23" t="n">
        <v>425</v>
      </c>
      <c r="H1892" s="23" t="n">
        <v>232</v>
      </c>
      <c r="I1892" s="21" t="inlineStr">
        <is>
          <t>ID постачальника збігся, але назви різні</t>
        </is>
      </c>
    </row>
    <row r="1893">
      <c r="A1893" s="22" t="n">
        <v>28.1</v>
      </c>
      <c r="B1893" s="22" t="inlineStr">
        <is>
          <t>Водоспад</t>
        </is>
      </c>
      <c r="C1893" s="22" t="inlineStr">
        <is>
          <t>40-216</t>
        </is>
      </c>
      <c r="D1893" s="22" t="inlineStr">
        <is>
          <t>40216</t>
        </is>
      </c>
      <c r="E1893" s="21" t="inlineStr">
        <is>
          <t>Окантовувач країв газону Cellfast IPRO 133 см (40-216) Польща</t>
        </is>
      </c>
      <c r="F1893" s="21" t="inlineStr">
        <is>
          <t>Набір свердел Bosch HSS PointTeQ 18 шт ToughBox D1-10 (2608577350)</t>
        </is>
      </c>
      <c r="G1893" s="23" t="n">
        <v>998</v>
      </c>
      <c r="H1893" s="23" t="n">
        <v>812</v>
      </c>
      <c r="I1893" s="21" t="inlineStr">
        <is>
          <t>ID постачальника збігся, але різні об'єми або розміри</t>
        </is>
      </c>
    </row>
    <row r="1894">
      <c r="A1894" s="22" t="n">
        <v>28.1</v>
      </c>
      <c r="B1894" s="22" t="inlineStr">
        <is>
          <t>Клуб Рослин</t>
        </is>
      </c>
      <c r="C1894" s="22" t="inlineStr">
        <is>
          <t>7752</t>
        </is>
      </c>
      <c r="D1894" s="22" t="inlineStr">
        <is>
          <t>7752</t>
        </is>
      </c>
      <c r="E1894" s="21" t="inlineStr">
        <is>
          <t>Біостимулятор Фертігрейн Старт / Fertigrain Start 5 л AgriTecno Іспанія</t>
        </is>
      </c>
      <c r="F1894" s="21" t="inlineStr">
        <is>
          <t>Туя західна (ий) Литл Чемпіон PC21 C5 / H35-40 / L30</t>
        </is>
      </c>
      <c r="G1894" s="23" t="n">
        <v>6396</v>
      </c>
      <c r="H1894" s="23" t="n">
        <v>290</v>
      </c>
      <c r="I1894" s="21" t="inlineStr">
        <is>
          <t>ID постачальника збігся, але назви різні</t>
        </is>
      </c>
    </row>
    <row r="1895">
      <c r="A1895" s="22" t="n">
        <v>28.1</v>
      </c>
      <c r="B1895" s="22" t="inlineStr">
        <is>
          <t>Клуб Рослин</t>
        </is>
      </c>
      <c r="C1895" s="22" t="inlineStr">
        <is>
          <t>7903</t>
        </is>
      </c>
      <c r="D1895" s="22" t="inlineStr">
        <is>
          <t>7903</t>
        </is>
      </c>
      <c r="E1895" s="21" t="inlineStr">
        <is>
          <t>Добриво Леда / Leda NPK 17-10-33+0.5MgO+TE+GS+Amino 25 кг Нідерланди</t>
        </is>
      </c>
      <c r="F1895" s="21" t="inlineStr">
        <is>
          <t>Туя західна (ий) Смарагд Пон-Пон Бонсай G+C35 / H160-180</t>
        </is>
      </c>
      <c r="G1895" s="23" t="n">
        <v>4622</v>
      </c>
      <c r="H1895" s="23" t="n">
        <v>5796</v>
      </c>
      <c r="I1895" s="21" t="inlineStr">
        <is>
          <t>ID постачальника збігся, але різні коди виробника</t>
        </is>
      </c>
    </row>
    <row r="1896">
      <c r="A1896" s="22" t="n">
        <v>28.1</v>
      </c>
      <c r="B1896" s="22" t="inlineStr">
        <is>
          <t>Клуб Рослин</t>
        </is>
      </c>
      <c r="C1896" s="22" t="inlineStr">
        <is>
          <t>7704</t>
        </is>
      </c>
      <c r="D1896" s="22" t="inlineStr">
        <is>
          <t>7704</t>
        </is>
      </c>
      <c r="E1896" s="21" t="inlineStr">
        <is>
          <t>Добриво Ікар Бор-Молібден / Ikar B + Mo (NB 7-17+0.7Mo) 5 л Литва</t>
        </is>
      </c>
      <c r="F1896" s="21" t="inlineStr">
        <is>
          <t>Туя західна (ий) Даніка K20 C45 / H60-70</t>
        </is>
      </c>
      <c r="G1896" s="23" t="n">
        <v>2142</v>
      </c>
      <c r="H1896" s="23" t="n">
        <v>540</v>
      </c>
      <c r="I1896" s="21" t="inlineStr">
        <is>
          <t>ID постачальника збігся, але назви різні</t>
        </is>
      </c>
    </row>
    <row r="1897">
      <c r="A1897" s="22" t="n">
        <v>28.1</v>
      </c>
      <c r="B1897" s="22" t="inlineStr">
        <is>
          <t>Клуб Рослин</t>
        </is>
      </c>
      <c r="C1897" s="22" t="inlineStr">
        <is>
          <t>7282</t>
        </is>
      </c>
      <c r="D1897" s="22" t="inlineStr">
        <is>
          <t>7282</t>
        </is>
      </c>
      <c r="E1897" s="21" t="inlineStr">
        <is>
          <t>Добриво Келькат Мікс ЕДТА / Kelkat Mix EDTA 1 кг Вітера Atlantica Agricola Іспанія</t>
        </is>
      </c>
      <c r="F1897" s="21" t="inlineStr">
        <is>
          <t>Троянда поліантова Морздаг Уайт DP PC19 C5 / H20-30</t>
        </is>
      </c>
      <c r="G1897" s="23" t="n">
        <v>1017</v>
      </c>
      <c r="H1897" s="23" t="n">
        <v>145</v>
      </c>
      <c r="I1897" s="21" t="inlineStr">
        <is>
          <t>ID постачальника збігся, але різні бренди</t>
        </is>
      </c>
    </row>
    <row r="1898">
      <c r="A1898" s="22" t="n">
        <v>28.1</v>
      </c>
      <c r="B1898" s="22" t="inlineStr">
        <is>
          <t>Клуб Рослин</t>
        </is>
      </c>
      <c r="C1898" s="22" t="inlineStr">
        <is>
          <t>9045</t>
        </is>
      </c>
      <c r="D1898" s="22" t="inlineStr">
        <is>
          <t>9045</t>
        </is>
      </c>
      <c r="E1898" s="21" t="inlineStr">
        <is>
          <t>Ад’ювант Технофіт pH+ / Tecnophyt pH+ 1 л AgriTecno Іспанія</t>
        </is>
      </c>
      <c r="F1898" s="21" t="inlineStr">
        <is>
          <t>Держак QuikFit Fiskars 136022 графітовий</t>
        </is>
      </c>
      <c r="G1898" s="23" t="n">
        <v>822</v>
      </c>
      <c r="H1898" s="23" t="n">
        <v>336</v>
      </c>
      <c r="I1898" s="21" t="inlineStr">
        <is>
          <t>ID постачальника збігся, але різні бренди</t>
        </is>
      </c>
    </row>
    <row r="1899">
      <c r="A1899" s="22" t="n">
        <v>28.1</v>
      </c>
      <c r="B1899" s="22" t="inlineStr">
        <is>
          <t>Клуб Рослин</t>
        </is>
      </c>
      <c r="C1899" s="22" t="inlineStr">
        <is>
          <t>2037</t>
        </is>
      </c>
      <c r="D1899" s="22" t="inlineStr">
        <is>
          <t>2037</t>
        </is>
      </c>
      <c r="E1899" s="21" t="inlineStr">
        <is>
          <t>Інсектицид Альфа-ацетаміприд 0.5 кг Alfa Smart Agro Альфа Смарт Агро Україна</t>
        </is>
      </c>
      <c r="F1899" s="21" t="inlineStr">
        <is>
          <t>Гібіскус сірійський Майке PC22 C5 / H100-120</t>
        </is>
      </c>
      <c r="G1899" s="23" t="n">
        <v>546</v>
      </c>
      <c r="H1899" s="23" t="n">
        <v>276</v>
      </c>
      <c r="I1899" s="21" t="inlineStr">
        <is>
          <t>ID постачальника збігся, але назви різні</t>
        </is>
      </c>
    </row>
    <row r="1900">
      <c r="A1900" s="22" t="n">
        <v>28.1</v>
      </c>
      <c r="B1900" s="22" t="inlineStr">
        <is>
          <t>Клуб Рослин</t>
        </is>
      </c>
      <c r="C1900" s="22" t="inlineStr">
        <is>
          <t>2172</t>
        </is>
      </c>
      <c r="D1900" s="22" t="inlineStr">
        <is>
          <t>2172</t>
        </is>
      </c>
      <c r="E1900" s="21" t="inlineStr">
        <is>
          <t>Інсектицид Логус 100 мл Alfa Smart Agro Альфа Смарт Агро Україна</t>
        </is>
      </c>
      <c r="F1900" s="21" t="inlineStr">
        <is>
          <t>Гортензія великолисткова Mix (в асортименті) PC14 C5</t>
        </is>
      </c>
      <c r="G1900" s="23" t="n">
        <v>362</v>
      </c>
      <c r="H1900" s="23" t="n">
        <v>210</v>
      </c>
      <c r="I1900" s="21" t="inlineStr">
        <is>
          <t>ID постачальника збігся, але різні бренди</t>
        </is>
      </c>
    </row>
    <row r="1901">
      <c r="A1901" s="22" t="n">
        <v>28.1</v>
      </c>
      <c r="B1901" s="22" t="inlineStr">
        <is>
          <t>Клуб Рослин</t>
        </is>
      </c>
      <c r="C1901" s="22" t="inlineStr">
        <is>
          <t>7665</t>
        </is>
      </c>
      <c r="D1901" s="22" t="inlineStr">
        <is>
          <t>7665</t>
        </is>
      </c>
      <c r="E1901" s="21" t="inlineStr">
        <is>
          <t>Добриво Брендт Реакшн / BRANDT Reaction​​​​​​​ Фосфор ДС 12-58-0 250 г Vitera Україна</t>
        </is>
      </c>
      <c r="F1901" s="21" t="inlineStr">
        <is>
          <t>Туя (Платікладус) східна Ауреа Нана PC19 C5 / H30-35</t>
        </is>
      </c>
      <c r="G1901" s="23" t="n">
        <v>336</v>
      </c>
      <c r="H1901" s="23" t="n">
        <v>265</v>
      </c>
      <c r="I1901" s="21" t="inlineStr">
        <is>
          <t>ID постачальника збігся, але назви різні</t>
        </is>
      </c>
    </row>
    <row r="1902">
      <c r="A1902" s="22" t="n">
        <v>28.1</v>
      </c>
      <c r="B1902" s="22" t="inlineStr">
        <is>
          <t>Клуб Рослин</t>
        </is>
      </c>
      <c r="C1902" s="22" t="inlineStr">
        <is>
          <t>9029</t>
        </is>
      </c>
      <c r="D1902" s="22" t="inlineStr">
        <is>
          <t>9029</t>
        </is>
      </c>
      <c r="E1902" s="21" t="inlineStr">
        <is>
          <t>Прилипач ПроЛіф ProLif 1 л Хімагромаркетинг Україна</t>
        </is>
      </c>
      <c r="F1902" s="21" t="inlineStr">
        <is>
          <t>Держак Bellota 3630.B для ножівок та секаторів довгомірних (1790/2800 мм)</t>
        </is>
      </c>
      <c r="G1902" s="23" t="n">
        <v>225</v>
      </c>
      <c r="H1902" s="23" t="n">
        <v>1599</v>
      </c>
      <c r="I1902" s="21" t="inlineStr">
        <is>
          <t>ID постачальника збігся, але різні об'єми або розміри</t>
        </is>
      </c>
    </row>
    <row r="1903">
      <c r="A1903" s="22" t="n">
        <v>28</v>
      </c>
      <c r="B1903" s="22" t="inlineStr">
        <is>
          <t>Клуб Рослин</t>
        </is>
      </c>
      <c r="C1903" s="22" t="inlineStr">
        <is>
          <t>7567</t>
        </is>
      </c>
      <c r="D1903" s="22" t="inlineStr">
        <is>
          <t>7567</t>
        </is>
      </c>
      <c r="E1903" s="21" t="inlineStr">
        <is>
          <t>Рідке добриво Мерістем Купрітем / Meristem Cupritem 25 л Іспанія</t>
        </is>
      </c>
      <c r="F1903" s="21" t="inlineStr">
        <is>
          <t>Тис ягідний (а) Спіраль C / H120-140</t>
        </is>
      </c>
      <c r="G1903" s="23" t="n">
        <v>22125</v>
      </c>
      <c r="H1903" s="23" t="n">
        <v>10764</v>
      </c>
      <c r="I1903" s="21" t="inlineStr">
        <is>
          <t>ID постачальника збігся, але назви різні</t>
        </is>
      </c>
    </row>
    <row r="1904">
      <c r="A1904" s="22" t="n">
        <v>28</v>
      </c>
      <c r="B1904" s="22" t="inlineStr">
        <is>
          <t>Клуб Рослин</t>
        </is>
      </c>
      <c r="C1904" s="22" t="inlineStr">
        <is>
          <t>7571</t>
        </is>
      </c>
      <c r="D1904" s="22" t="inlineStr">
        <is>
          <t>7571</t>
        </is>
      </c>
      <c r="E1904" s="21" t="inlineStr">
        <is>
          <t>Рідке добриво Мерістем Калібор / Meristem Calibor 25 л Іспанія</t>
        </is>
      </c>
      <c r="F1904" s="21" t="inlineStr">
        <is>
          <t>Тис ягідний (а) Спіраль C35 / H100-125</t>
        </is>
      </c>
      <c r="G1904" s="23" t="n">
        <v>13120</v>
      </c>
      <c r="H1904" s="23" t="n">
        <v>4174</v>
      </c>
      <c r="I1904" s="21" t="inlineStr">
        <is>
          <t>ID постачальника збігся, але назви різні</t>
        </is>
      </c>
    </row>
    <row r="1905">
      <c r="A1905" s="22" t="n">
        <v>28</v>
      </c>
      <c r="B1905" s="22" t="inlineStr">
        <is>
          <t>Клуб Рослин</t>
        </is>
      </c>
      <c r="C1905" s="22" t="inlineStr">
        <is>
          <t>7575</t>
        </is>
      </c>
      <c r="D1905" s="22" t="inlineStr">
        <is>
          <t>7575</t>
        </is>
      </c>
      <c r="E1905" s="21" t="inlineStr">
        <is>
          <t>Рідке добриво Мерістем Кайран / Meristem Cairan 20 л Іспанія</t>
        </is>
      </c>
      <c r="F1905" s="21" t="inlineStr">
        <is>
          <t>Тис ягідний (а) Штамб C50 / L50-60 / Pa120</t>
        </is>
      </c>
      <c r="G1905" s="23" t="n">
        <v>9962</v>
      </c>
      <c r="H1905" s="23" t="n">
        <v>6600</v>
      </c>
      <c r="I1905" s="21" t="inlineStr">
        <is>
          <t>ID постачальника збігся, але назви різні</t>
        </is>
      </c>
    </row>
    <row r="1906">
      <c r="A1906" s="22" t="n">
        <v>28</v>
      </c>
      <c r="B1906" s="22" t="inlineStr">
        <is>
          <t>Клуб Рослин</t>
        </is>
      </c>
      <c r="C1906" s="22" t="inlineStr">
        <is>
          <t>3192</t>
        </is>
      </c>
      <c r="D1906" s="22" t="inlineStr">
        <is>
          <t>3192</t>
        </is>
      </c>
      <c r="E1906" s="21" t="inlineStr">
        <is>
          <t>Фунгіцид Геокс 50 WG ВДГ 1 кг Syngenta Сингента Швейцарія</t>
        </is>
      </c>
      <c r="F1906" s="21" t="inlineStr">
        <is>
          <t>Лілія трубчаста гібридна Афрікан Квін 12\14</t>
        </is>
      </c>
      <c r="G1906" s="23" t="n">
        <v>8748</v>
      </c>
      <c r="H1906" s="23" t="n">
        <v>50</v>
      </c>
      <c r="I1906" s="21" t="inlineStr">
        <is>
          <t>ID постачальника збігся, але назви різні</t>
        </is>
      </c>
    </row>
    <row r="1907">
      <c r="A1907" s="22" t="n">
        <v>28</v>
      </c>
      <c r="B1907" s="22" t="inlineStr">
        <is>
          <t>Клуб Рослин</t>
        </is>
      </c>
      <c r="C1907" s="22" t="inlineStr">
        <is>
          <t>2284</t>
        </is>
      </c>
      <c r="D1907" s="22" t="inlineStr">
        <is>
          <t>2284</t>
        </is>
      </c>
      <c r="E1907" s="21" t="inlineStr">
        <is>
          <t>Інсектицид Іназума 5 кг Summit-Agro Сумі Агро Японія</t>
        </is>
      </c>
      <c r="F1907" s="21" t="inlineStr">
        <is>
          <t>Гортензія волотиста Меджикал Фаєр ® PC18 C10</t>
        </is>
      </c>
      <c r="G1907" s="23" t="n">
        <v>4998</v>
      </c>
      <c r="H1907" s="23" t="n">
        <v>540</v>
      </c>
      <c r="I1907" s="21" t="inlineStr">
        <is>
          <t>ID постачальника збігся, але назви різні</t>
        </is>
      </c>
    </row>
    <row r="1908">
      <c r="A1908" s="22" t="n">
        <v>28</v>
      </c>
      <c r="B1908" s="22" t="inlineStr">
        <is>
          <t>Клуб Рослин</t>
        </is>
      </c>
      <c r="C1908" s="22" t="inlineStr">
        <is>
          <t>7525</t>
        </is>
      </c>
      <c r="D1908" s="22" t="inlineStr">
        <is>
          <t>7525</t>
        </is>
      </c>
      <c r="E1908" s="21" t="inlineStr">
        <is>
          <t>Добриво GroGreen Грінта Беррі NPK 14-7-26 + 3MgO + 1% FULVK + TE 25 кг Lima Бельгія</t>
        </is>
      </c>
      <c r="F1908" s="21" t="inlineStr">
        <is>
          <t>Тис ягідний (а) 4 Кулі C130 / H200-250</t>
        </is>
      </c>
      <c r="G1908" s="23" t="n">
        <v>4525</v>
      </c>
      <c r="H1908" s="23" t="n">
        <v>33120</v>
      </c>
      <c r="I1908" s="21" t="inlineStr">
        <is>
          <t>ID постачальника збігся, але назви різні</t>
        </is>
      </c>
    </row>
    <row r="1909">
      <c r="A1909" s="22" t="n">
        <v>28</v>
      </c>
      <c r="B1909" s="22" t="inlineStr">
        <is>
          <t>Клуб Рослин</t>
        </is>
      </c>
      <c r="C1909" s="22" t="inlineStr">
        <is>
          <t>7023</t>
        </is>
      </c>
      <c r="D1909" s="22" t="inlineStr">
        <is>
          <t>7023</t>
        </is>
      </c>
      <c r="E1909" s="21" t="inlineStr">
        <is>
          <t>Добриво Мастер Master 17+6+18 25 кг Valagro Валагро Італія</t>
        </is>
      </c>
      <c r="F1909" s="21" t="inlineStr">
        <is>
          <t>Рододендрон Лорд Робертс C7,5 / H35-40</t>
        </is>
      </c>
      <c r="G1909" s="23" t="n">
        <v>4198</v>
      </c>
      <c r="H1909" s="23" t="n">
        <v>477</v>
      </c>
      <c r="I1909" s="21" t="inlineStr">
        <is>
          <t>ID постачальника збігся, але назви різні</t>
        </is>
      </c>
    </row>
    <row r="1910">
      <c r="A1910" s="22" t="n">
        <v>28</v>
      </c>
      <c r="B1910" s="22" t="inlineStr">
        <is>
          <t>Клуб Рослин</t>
        </is>
      </c>
      <c r="C1910" s="22" t="inlineStr">
        <is>
          <t>7891</t>
        </is>
      </c>
      <c r="D1910" s="22" t="inlineStr">
        <is>
          <t>7891</t>
        </is>
      </c>
      <c r="E1910" s="21" t="inlineStr">
        <is>
          <t>Регулятор росту Стопрост 10 л Хімагромаркетинг Україна</t>
        </is>
      </c>
      <c r="F1910" s="21" t="inlineStr">
        <is>
          <t>Туя західна (ий) Смарагд PC19 C20 / H100-120</t>
        </is>
      </c>
      <c r="G1910" s="23" t="n">
        <v>2598</v>
      </c>
      <c r="H1910" s="23" t="n">
        <v>580</v>
      </c>
      <c r="I1910" s="21" t="inlineStr">
        <is>
          <t>ID постачальника збігся, але назви різні</t>
        </is>
      </c>
    </row>
    <row r="1911">
      <c r="A1911" s="22" t="n">
        <v>28</v>
      </c>
      <c r="B1911" s="22" t="inlineStr">
        <is>
          <t>Клуб Рослин</t>
        </is>
      </c>
      <c r="C1911" s="22" t="inlineStr">
        <is>
          <t>7799</t>
        </is>
      </c>
      <c r="D1911" s="22" t="inlineStr">
        <is>
          <t>7799</t>
        </is>
      </c>
      <c r="E1911" s="21" t="inlineStr">
        <is>
          <t>Регулятор росту Гіб 3 Глобахем НВ 10 таб / Gibb 3 Globagem NV Бельгія</t>
        </is>
      </c>
      <c r="F1911" s="21" t="inlineStr">
        <is>
          <t>Туя західна (ий) Смарагд Extra K C65 / H80-100</t>
        </is>
      </c>
      <c r="G1911" s="23" t="n">
        <v>2348</v>
      </c>
      <c r="H1911" s="23" t="n">
        <v>608</v>
      </c>
      <c r="I1911" s="21" t="inlineStr">
        <is>
          <t>ID постачальника збігся, але різні бренди</t>
        </is>
      </c>
    </row>
    <row r="1912">
      <c r="A1912" s="22" t="n">
        <v>28</v>
      </c>
      <c r="B1912" s="22" t="inlineStr">
        <is>
          <t>Клуб Рослин</t>
        </is>
      </c>
      <c r="C1912" s="22" t="inlineStr">
        <is>
          <t>7128</t>
        </is>
      </c>
      <c r="D1912" s="22" t="inlineStr">
        <is>
          <t>7128</t>
        </is>
      </c>
      <c r="E1912" s="21" t="inlineStr">
        <is>
          <t>Добриво органічне Макс 600 SeaSailer / СіСайлер 1 кг Citymax</t>
        </is>
      </c>
      <c r="F1912" s="21" t="inlineStr">
        <is>
          <t>Троянда густоквіткова Артур Белл DP PC19 C5 / H20-30</t>
        </is>
      </c>
      <c r="G1912" s="23" t="n">
        <v>1448</v>
      </c>
      <c r="H1912" s="23" t="n">
        <v>144</v>
      </c>
      <c r="I1912" s="21" t="inlineStr">
        <is>
          <t>ID постачальника збігся, але різні бренди</t>
        </is>
      </c>
    </row>
    <row r="1913">
      <c r="A1913" s="22" t="n">
        <v>28</v>
      </c>
      <c r="B1913" s="22" t="inlineStr">
        <is>
          <t>Клуб Рослин</t>
        </is>
      </c>
      <c r="C1913" s="22" t="inlineStr">
        <is>
          <t>7320</t>
        </is>
      </c>
      <c r="D1913" s="22" t="inlineStr">
        <is>
          <t>7320</t>
        </is>
      </c>
      <c r="E1913" s="21" t="inlineStr">
        <is>
          <t>Добриво Кафом Магній / Kafom Mg 1 л Meristem Мерістем Іспанія</t>
        </is>
      </c>
      <c r="F1913" s="21" t="inlineStr">
        <is>
          <t>Горобина звичайна Додонг Штамб C35 / o8-10 / Pa180-200</t>
        </is>
      </c>
      <c r="G1913" s="23" t="n">
        <v>1175</v>
      </c>
      <c r="H1913" s="23" t="n">
        <v>3450</v>
      </c>
      <c r="I1913" s="21" t="inlineStr">
        <is>
          <t>ID постачальника збігся, але назви різні</t>
        </is>
      </c>
    </row>
    <row r="1914">
      <c r="A1914" s="22" t="n">
        <v>28</v>
      </c>
      <c r="B1914" s="22" t="inlineStr">
        <is>
          <t>Клуб Рослин</t>
        </is>
      </c>
      <c r="C1914" s="22" t="inlineStr">
        <is>
          <t>7547</t>
        </is>
      </c>
      <c r="D1914" s="22" t="inlineStr">
        <is>
          <t>7547</t>
        </is>
      </c>
      <c r="E1914" s="21" t="inlineStr">
        <is>
          <t>Регулятор росту РизоГумат 1 кг Зерива / Zeryva Україна</t>
        </is>
      </c>
      <c r="F1914" s="21" t="inlineStr">
        <is>
          <t>Тис ягідний (а) Піраміда+Штамб C130 / H200-250</t>
        </is>
      </c>
      <c r="G1914" s="23" t="n">
        <v>1000</v>
      </c>
      <c r="H1914" s="23" t="n">
        <v>33120</v>
      </c>
      <c r="I1914" s="21" t="inlineStr">
        <is>
          <t>ID постачальника збігся, але назви різні</t>
        </is>
      </c>
    </row>
    <row r="1915">
      <c r="A1915" s="22" t="n">
        <v>28</v>
      </c>
      <c r="B1915" s="22" t="inlineStr">
        <is>
          <t>Клуб Рослин</t>
        </is>
      </c>
      <c r="C1915" s="22" t="inlineStr">
        <is>
          <t>2070</t>
        </is>
      </c>
      <c r="D1915" s="22" t="inlineStr">
        <is>
          <t>2070</t>
        </is>
      </c>
      <c r="E1915" s="21" t="inlineStr">
        <is>
          <t>Інсектицид Прованто Вернал 100 мл Bayer Байєр Німеччина</t>
        </is>
      </c>
      <c r="F1915" s="21" t="inlineStr">
        <is>
          <t>Гібіскус сірійський Спеціозус C4 / H40-60</t>
        </is>
      </c>
      <c r="G1915" s="23" t="n">
        <v>825</v>
      </c>
      <c r="H1915" s="23" t="n">
        <v>195</v>
      </c>
      <c r="I1915" s="21" t="inlineStr">
        <is>
          <t>ID постачальника збігся, але назви різні</t>
        </is>
      </c>
    </row>
    <row r="1916">
      <c r="A1916" s="22" t="n">
        <v>28</v>
      </c>
      <c r="B1916" s="22" t="inlineStr">
        <is>
          <t>Клуб Рослин</t>
        </is>
      </c>
      <c r="C1916" s="22" t="inlineStr">
        <is>
          <t>3087</t>
        </is>
      </c>
      <c r="D1916" s="22" t="inlineStr">
        <is>
          <t>3087</t>
        </is>
      </c>
      <c r="E1916" s="21" t="inlineStr">
        <is>
          <t>Фунгіцид Фалькон 500 мл (розлив) Bayer Байєр Німеччина</t>
        </is>
      </c>
      <c r="F1916" s="21" t="inlineStr">
        <is>
          <t>Модрина європейська Пендула Штамб K14 G / Pa150-200</t>
        </is>
      </c>
      <c r="G1916" s="23" t="n">
        <v>775</v>
      </c>
      <c r="H1916" s="23" t="n">
        <v>2255</v>
      </c>
      <c r="I1916" s="21" t="inlineStr">
        <is>
          <t>ID постачальника збігся, але різні об'єми або розміри</t>
        </is>
      </c>
    </row>
    <row r="1917">
      <c r="A1917" s="22" t="n">
        <v>28</v>
      </c>
      <c r="B1917" s="22" t="inlineStr">
        <is>
          <t>Клуб Рослин</t>
        </is>
      </c>
      <c r="C1917" s="22" t="inlineStr">
        <is>
          <t>7568</t>
        </is>
      </c>
      <c r="D1917" s="22" t="inlineStr">
        <is>
          <t>7568</t>
        </is>
      </c>
      <c r="E1917" s="21" t="inlineStr">
        <is>
          <t>Рідке добриво Мерістем Калібор / Meristem Calibor 1 л Іспанія</t>
        </is>
      </c>
      <c r="F1917" s="21" t="inlineStr">
        <is>
          <t>Тис ягідний (а) Спіраль C100 / H200-220</t>
        </is>
      </c>
      <c r="G1917" s="23" t="n">
        <v>725</v>
      </c>
      <c r="H1917" s="23" t="n">
        <v>8402</v>
      </c>
      <c r="I1917" s="21" t="inlineStr">
        <is>
          <t>ID постачальника збігся, але назви різні</t>
        </is>
      </c>
    </row>
    <row r="1918">
      <c r="A1918" s="22" t="n">
        <v>28</v>
      </c>
      <c r="B1918" s="22" t="inlineStr">
        <is>
          <t>Клуб Рослин</t>
        </is>
      </c>
      <c r="C1918" s="22" t="inlineStr">
        <is>
          <t>292-2</t>
        </is>
      </c>
      <c r="D1918" s="22" t="inlineStr">
        <is>
          <t>2922</t>
        </is>
      </c>
      <c r="E1918" s="21" t="inlineStr">
        <is>
          <t>Степлер садовий підв'язувальний My Garden Easy (292-2)</t>
        </is>
      </c>
      <c r="F1918" s="21" t="inlineStr">
        <is>
          <t>Ялівець середній Блю енд Голд PC14 C3 / L20-30</t>
        </is>
      </c>
      <c r="G1918" s="23" t="n">
        <v>675</v>
      </c>
      <c r="H1918" s="23" t="n">
        <v>140</v>
      </c>
      <c r="I1918" s="21" t="inlineStr">
        <is>
          <t>ID постачальника збігся, але назви різні</t>
        </is>
      </c>
    </row>
    <row r="1919">
      <c r="A1919" s="22" t="n">
        <v>28</v>
      </c>
      <c r="B1919" s="22" t="inlineStr">
        <is>
          <t>Клуб Рослин</t>
        </is>
      </c>
      <c r="C1919" s="22" t="inlineStr">
        <is>
          <t>7036</t>
        </is>
      </c>
      <c r="D1919" s="22" t="inlineStr">
        <is>
          <t>7036</t>
        </is>
      </c>
      <c r="E1919" s="21" t="inlineStr">
        <is>
          <t>Добриво Брексіл Кальцій Brexil Ca 1 кг Syngenta (Valagro) Італія</t>
        </is>
      </c>
      <c r="F1919" s="21" t="inlineStr">
        <is>
          <t>Рододендрон Смірнова Хеллікі C3</t>
        </is>
      </c>
      <c r="G1919" s="23" t="n">
        <v>675</v>
      </c>
      <c r="H1919" s="23" t="n">
        <v>245</v>
      </c>
      <c r="I1919" s="21" t="inlineStr">
        <is>
          <t>ID постачальника збігся, але назви різні</t>
        </is>
      </c>
    </row>
    <row r="1920">
      <c r="A1920" s="22" t="n">
        <v>28</v>
      </c>
      <c r="B1920" s="22" t="inlineStr">
        <is>
          <t>Клуб Рослин</t>
        </is>
      </c>
      <c r="C1920" s="22" t="inlineStr">
        <is>
          <t>7344</t>
        </is>
      </c>
      <c r="D1920" s="22" t="inlineStr">
        <is>
          <t>7344</t>
        </is>
      </c>
      <c r="E1920" s="21" t="inlineStr">
        <is>
          <t>Біостимулятор рослин Амалгерол Есенс РК 1 л SumiAgro / Сумі Агро Японія</t>
        </is>
      </c>
      <c r="F1920" s="21" t="inlineStr">
        <is>
          <t>Спірея японська Кріспа PC15 C1,2 / H20-30</t>
        </is>
      </c>
      <c r="G1920" s="23" t="n">
        <v>675</v>
      </c>
      <c r="H1920" s="23" t="n">
        <v>50</v>
      </c>
      <c r="I1920" s="21" t="inlineStr">
        <is>
          <t>ID постачальника збігся, але назви різні</t>
        </is>
      </c>
    </row>
    <row r="1921">
      <c r="A1921" s="22" t="n">
        <v>28</v>
      </c>
      <c r="B1921" s="22" t="inlineStr">
        <is>
          <t>Клуб Рослин</t>
        </is>
      </c>
      <c r="C1921" s="22" t="inlineStr">
        <is>
          <t>7758</t>
        </is>
      </c>
      <c r="D1921" s="22" t="inlineStr">
        <is>
          <t>7758</t>
        </is>
      </c>
      <c r="E1921" s="21" t="inlineStr">
        <is>
          <t>Добриво Ікар Інтенс Овочевий / Ikar Intense Veggies 1 л Литва</t>
        </is>
      </c>
      <c r="F1921" s="21" t="inlineStr">
        <is>
          <t>Туя західна (ий) Литл Джаінт K19 C12</t>
        </is>
      </c>
      <c r="G1921" s="23" t="n">
        <v>640</v>
      </c>
      <c r="H1921" s="23" t="n">
        <v>480</v>
      </c>
      <c r="I1921" s="21" t="inlineStr">
        <is>
          <t>ID постачальника збігся, але назви різні</t>
        </is>
      </c>
    </row>
    <row r="1922">
      <c r="A1922" s="22" t="n">
        <v>28</v>
      </c>
      <c r="B1922" s="22" t="inlineStr">
        <is>
          <t>Клуб Рослин</t>
        </is>
      </c>
      <c r="C1922" s="22" t="inlineStr">
        <is>
          <t>1140</t>
        </is>
      </c>
      <c r="D1922" s="22" t="inlineStr">
        <is>
          <t>1140</t>
        </is>
      </c>
      <c r="E1922" s="21" t="inlineStr">
        <is>
          <t>Гербіцид Оптимум 1 л Хімагромаркетинг Україна</t>
        </is>
      </c>
      <c r="F1922" s="21" t="inlineStr">
        <is>
          <t>Куничник гостроквітковий Овердам PC15 C1,2 / H40-60</t>
        </is>
      </c>
      <c r="G1922" s="23" t="n">
        <v>548</v>
      </c>
      <c r="H1922" s="23" t="n">
        <v>75</v>
      </c>
      <c r="I1922" s="21" t="inlineStr">
        <is>
          <t>ID постачальника збігся, але назви різні</t>
        </is>
      </c>
    </row>
    <row r="1923">
      <c r="A1923" s="22" t="n">
        <v>28</v>
      </c>
      <c r="B1923" s="22" t="inlineStr">
        <is>
          <t>Клуб Рослин</t>
        </is>
      </c>
      <c r="C1923" s="22" t="inlineStr">
        <is>
          <t>8011</t>
        </is>
      </c>
      <c r="D1923" s="22" t="inlineStr">
        <is>
          <t>8011</t>
        </is>
      </c>
      <c r="E1923" s="21" t="inlineStr">
        <is>
          <t>Добриво Солденсо Гель / Soldenso Gel NPK 30-30-30+TE 1 кг Orange Іспанія</t>
        </is>
      </c>
      <c r="F1923" s="21" t="inlineStr">
        <is>
          <t>Липа широколиста PC21 C5 / H150-165</t>
        </is>
      </c>
      <c r="G1923" s="23" t="n">
        <v>510</v>
      </c>
      <c r="H1923" s="23" t="n">
        <v>300</v>
      </c>
      <c r="I1923" s="21" t="inlineStr">
        <is>
          <t>ID постачальника збігся, але різні коди виробника</t>
        </is>
      </c>
    </row>
    <row r="1924">
      <c r="A1924" s="22" t="n">
        <v>28</v>
      </c>
      <c r="B1924" s="22" t="inlineStr">
        <is>
          <t>Клуб Рослин</t>
        </is>
      </c>
      <c r="C1924" s="22" t="inlineStr">
        <is>
          <t>7960</t>
        </is>
      </c>
      <c r="D1924" s="22" t="inlineStr">
        <is>
          <t>7960</t>
        </is>
      </c>
      <c r="E1924" s="21" t="inlineStr">
        <is>
          <t>Укорінювач Текамін Раіз / Tecamin Raiz 250 мл AgriTecno Іспанія</t>
        </is>
      </c>
      <c r="F1924" s="21" t="inlineStr">
        <is>
          <t>Туя складчата Корнік K14 G / H50-60</t>
        </is>
      </c>
      <c r="G1924" s="23" t="n">
        <v>406</v>
      </c>
      <c r="H1924" s="23" t="n">
        <v>285</v>
      </c>
      <c r="I1924" s="21" t="inlineStr">
        <is>
          <t>ID постачальника збігся, але різні об'єми або розміри</t>
        </is>
      </c>
    </row>
    <row r="1925">
      <c r="A1925" s="22" t="n">
        <v>28</v>
      </c>
      <c r="B1925" s="22" t="inlineStr">
        <is>
          <t>Клуб Рослин</t>
        </is>
      </c>
      <c r="C1925" s="22" t="inlineStr">
        <is>
          <t>2276</t>
        </is>
      </c>
      <c r="D1925" s="22" t="inlineStr">
        <is>
          <t>2276</t>
        </is>
      </c>
      <c r="E1925" s="21" t="inlineStr">
        <is>
          <t>Інсектицид Laser 240 SC / Лазер 500 мл Corteva Кортва США</t>
        </is>
      </c>
      <c r="F1925" s="21" t="inlineStr">
        <is>
          <t>Гортензія волотиста Межджікал Кендл PC19 C7,5</t>
        </is>
      </c>
      <c r="G1925" s="23" t="n">
        <v>2</v>
      </c>
      <c r="H1925" s="23" t="n">
        <v>420</v>
      </c>
      <c r="I1925" s="21" t="inlineStr">
        <is>
          <t>ID постачальника збігся, але назви різні</t>
        </is>
      </c>
    </row>
    <row r="1926">
      <c r="A1926" s="22" t="n">
        <v>27.9</v>
      </c>
      <c r="B1926" s="22" t="inlineStr">
        <is>
          <t>Клуб Рослин</t>
        </is>
      </c>
      <c r="C1926" s="22" t="inlineStr">
        <is>
          <t>7817</t>
        </is>
      </c>
      <c r="D1926" s="22" t="inlineStr">
        <is>
          <t>7817</t>
        </is>
      </c>
      <c r="E1926" s="21" t="inlineStr">
        <is>
          <t>Укорінювач Вітамакс / Vitamax 5 л Bioera Іспанія</t>
        </is>
      </c>
      <c r="F1926" s="21" t="inlineStr">
        <is>
          <t>Туя західна (ий) Смарагд K17 C27,5 / H120-140</t>
        </is>
      </c>
      <c r="G1926" s="23" t="n">
        <v>6240</v>
      </c>
      <c r="H1926" s="23" t="n">
        <v>480</v>
      </c>
      <c r="I1926" s="21" t="inlineStr">
        <is>
          <t>ID постачальника збігся, але назви різні</t>
        </is>
      </c>
    </row>
    <row r="1927">
      <c r="A1927" s="22" t="n">
        <v>27.9</v>
      </c>
      <c r="B1927" s="22" t="inlineStr">
        <is>
          <t>Клуб Рослин</t>
        </is>
      </c>
      <c r="C1927" s="22" t="inlineStr">
        <is>
          <t>2063</t>
        </is>
      </c>
      <c r="D1927" s="22" t="inlineStr">
        <is>
          <t>2063</t>
        </is>
      </c>
      <c r="E1927" s="21" t="inlineStr">
        <is>
          <t>Інсектицид Антихрущ КС 1 л Ukravit Укравіт Україна</t>
        </is>
      </c>
      <c r="F1927" s="21" t="inlineStr">
        <is>
          <t>Гібіскус сірійський Ред Хат C4 / H40-60</t>
        </is>
      </c>
      <c r="G1927" s="23" t="n">
        <v>1048</v>
      </c>
      <c r="H1927" s="23" t="n">
        <v>195</v>
      </c>
      <c r="I1927" s="21" t="inlineStr">
        <is>
          <t>ID постачальника збігся, але назви різні</t>
        </is>
      </c>
    </row>
    <row r="1928">
      <c r="A1928" s="22" t="n">
        <v>27.9</v>
      </c>
      <c r="B1928" s="22" t="inlineStr">
        <is>
          <t>Клуб Рослин</t>
        </is>
      </c>
      <c r="C1928" s="22" t="inlineStr">
        <is>
          <t>5024</t>
        </is>
      </c>
      <c r="D1928" s="22" t="inlineStr">
        <is>
          <t>5024</t>
        </is>
      </c>
      <c r="E1928" s="21" t="inlineStr">
        <is>
          <t>Протруйник Кватрофорс 1 л (розлив) Агрохімічні технології Україна</t>
        </is>
      </c>
      <c r="F1928" s="21" t="inlineStr">
        <is>
          <t>Сосна густоквіткова Умбракуліфера PC21 C180 / H120-130 / L100-120</t>
        </is>
      </c>
      <c r="G1928" s="23" t="n">
        <v>1040</v>
      </c>
      <c r="H1928" s="23" t="n">
        <v>9936</v>
      </c>
      <c r="I1928" s="21" t="inlineStr">
        <is>
          <t>ID постачальника збігся, але назви різні</t>
        </is>
      </c>
    </row>
    <row r="1929">
      <c r="A1929" s="22" t="n">
        <v>27.9</v>
      </c>
      <c r="B1929" s="22" t="inlineStr">
        <is>
          <t>Клуб Рослин</t>
        </is>
      </c>
      <c r="C1929" s="22" t="inlineStr">
        <is>
          <t>7011</t>
        </is>
      </c>
      <c r="D1929" s="22" t="inlineStr">
        <is>
          <t>7011</t>
        </is>
      </c>
      <c r="E1929" s="21" t="inlineStr">
        <is>
          <t>Добриво Plantafol Плантафол 10+54+10 1 кг Syngenta (Valagro) Італія</t>
        </is>
      </c>
      <c r="F1929" s="21" t="inlineStr">
        <is>
          <t>Рододендрон гібридний Сцифокалікс C7,5 / H40-50</t>
        </is>
      </c>
      <c r="G1929" s="23" t="n">
        <v>475</v>
      </c>
      <c r="H1929" s="23" t="n">
        <v>810</v>
      </c>
      <c r="I1929" s="21" t="inlineStr">
        <is>
          <t>ID постачальника збігся, але назви різні</t>
        </is>
      </c>
    </row>
    <row r="1930">
      <c r="A1930" s="22" t="n">
        <v>27.9</v>
      </c>
      <c r="B1930" s="22" t="inlineStr">
        <is>
          <t>Клуб Рослин</t>
        </is>
      </c>
      <c r="C1930" s="22" t="inlineStr">
        <is>
          <t>8006</t>
        </is>
      </c>
      <c r="D1930" s="22" t="inlineStr">
        <is>
          <t>8006</t>
        </is>
      </c>
      <c r="E1930" s="21" t="inlineStr">
        <is>
          <t>Добриво Солденсо Гель / Soldenso Gel NPK 9-9-39+7%MgO+54%SO3+TE 1 кг Orange​​​​​​​ Іспанія</t>
        </is>
      </c>
      <c r="F1930" s="21" t="inlineStr">
        <is>
          <t>Липа широколиста Фастігіата Штамб K20 L115 / o18-20 / Pa150-175</t>
        </is>
      </c>
      <c r="G1930" s="23" t="n">
        <v>468</v>
      </c>
      <c r="H1930" s="23" t="n">
        <v>7452</v>
      </c>
      <c r="I1930" s="21" t="inlineStr">
        <is>
          <t>ID постачальника збігся, але назви різні</t>
        </is>
      </c>
    </row>
    <row r="1931">
      <c r="A1931" s="22" t="n">
        <v>27.9</v>
      </c>
      <c r="B1931" s="22" t="inlineStr">
        <is>
          <t>Клуб Рослин</t>
        </is>
      </c>
      <c r="C1931" s="22" t="inlineStr">
        <is>
          <t>7496</t>
        </is>
      </c>
      <c r="D1931" s="22" t="inlineStr">
        <is>
          <t>7496</t>
        </is>
      </c>
      <c r="E1931" s="21" t="inlineStr">
        <is>
          <t>Мікродобриво Оракул Колофермін Калію 1 л Долина Україна</t>
        </is>
      </c>
      <c r="F1931" s="21" t="inlineStr">
        <is>
          <t>Тис ягідний (а) Конус C40 / H100-110</t>
        </is>
      </c>
      <c r="G1931" s="23" t="n">
        <v>330</v>
      </c>
      <c r="H1931" s="23" t="n">
        <v>4810</v>
      </c>
      <c r="I1931" s="21" t="inlineStr">
        <is>
          <t>ID постачальника збігся, але назви різні</t>
        </is>
      </c>
    </row>
    <row r="1932">
      <c r="A1932" s="22" t="n">
        <v>27.8</v>
      </c>
      <c r="B1932" s="22" t="inlineStr">
        <is>
          <t>Клуб Рослин</t>
        </is>
      </c>
      <c r="C1932" s="22" t="inlineStr">
        <is>
          <t>7149</t>
        </is>
      </c>
      <c r="D1932" s="22" t="inlineStr">
        <is>
          <t>7149</t>
        </is>
      </c>
      <c r="E1932" s="21" t="inlineStr">
        <is>
          <t>Біостимулятор Амінокат 30% (Aminocat 30%) 25 л Вітера Atlantica Agricola Іспанія</t>
        </is>
      </c>
      <c r="F1932" s="21" t="inlineStr">
        <is>
          <t>Троянда гібридний(а) Бероліна GK / H30-50</t>
        </is>
      </c>
      <c r="G1932" s="23" t="n">
        <v>28215</v>
      </c>
      <c r="H1932" s="23" t="n">
        <v>55</v>
      </c>
      <c r="I1932" s="21" t="inlineStr">
        <is>
          <t>ID постачальника збігся, але різні бренди</t>
        </is>
      </c>
    </row>
    <row r="1933">
      <c r="A1933" s="22" t="n">
        <v>27.8</v>
      </c>
      <c r="B1933" s="22" t="inlineStr">
        <is>
          <t>Клуб Рослин</t>
        </is>
      </c>
      <c r="C1933" s="22" t="inlineStr">
        <is>
          <t>1172</t>
        </is>
      </c>
      <c r="D1933" s="22" t="inlineStr">
        <is>
          <t>1172</t>
        </is>
      </c>
      <c r="E1933" s="21" t="inlineStr">
        <is>
          <t>Гербіцид Лаудіс 3 кг Bayer Байер Німеччина</t>
        </is>
      </c>
      <c r="F1933" s="21" t="inlineStr">
        <is>
          <t>Кампсіс укорінливий Флоріда PC20 C7,5</t>
        </is>
      </c>
      <c r="G1933" s="23" t="n">
        <v>11998</v>
      </c>
      <c r="H1933" s="23" t="n">
        <v>216</v>
      </c>
      <c r="I1933" s="21" t="inlineStr">
        <is>
          <t>ID постачальника збігся, але назви різні</t>
        </is>
      </c>
    </row>
    <row r="1934">
      <c r="A1934" s="22" t="n">
        <v>27.8</v>
      </c>
      <c r="B1934" s="22" t="inlineStr">
        <is>
          <t>Клуб Рослин</t>
        </is>
      </c>
      <c r="C1934" s="22" t="inlineStr">
        <is>
          <t>8088</t>
        </is>
      </c>
      <c r="D1934" s="22" t="inlineStr">
        <is>
          <t>8088</t>
        </is>
      </c>
      <c r="E1934" s="21" t="inlineStr">
        <is>
          <t>Добриво Осмокот / Osmocote Protect 14+8+11 (8-9 M) 25 кг ICL Нідерланди</t>
        </is>
      </c>
      <c r="F1934" s="21" t="inlineStr">
        <is>
          <t>В'яз голландський Жаклін Хіллер C60 / H100-125</t>
        </is>
      </c>
      <c r="G1934" s="23" t="n">
        <v>10083</v>
      </c>
      <c r="H1934" s="23" t="n">
        <v>2363</v>
      </c>
      <c r="I1934" s="21" t="inlineStr">
        <is>
          <t>ID постачальника збігся, але назви різні</t>
        </is>
      </c>
    </row>
    <row r="1935">
      <c r="A1935" s="22" t="n">
        <v>27.8</v>
      </c>
      <c r="B1935" s="22" t="inlineStr">
        <is>
          <t>Клуб Рослин</t>
        </is>
      </c>
      <c r="C1935" s="22" t="inlineStr">
        <is>
          <t>8074</t>
        </is>
      </c>
      <c r="D1935" s="22" t="inlineStr">
        <is>
          <t>8074</t>
        </is>
      </c>
      <c r="E1935" s="21" t="inlineStr">
        <is>
          <t>Добриво Осмокот / Osmocote Standard 15-9-12 (5-6 M) 25 кг ICL Нідерланди</t>
        </is>
      </c>
      <c r="F1935" s="21" t="inlineStr">
        <is>
          <t>Тюльпан багатоквітковий Меррі Гоу Раунд11/12</t>
        </is>
      </c>
      <c r="G1935" s="23" t="n">
        <v>8997</v>
      </c>
      <c r="H1935" s="23" t="n">
        <v>10</v>
      </c>
      <c r="I1935" s="21" t="inlineStr">
        <is>
          <t>ID постачальника збігся, але назви різні</t>
        </is>
      </c>
    </row>
    <row r="1936">
      <c r="A1936" s="22" t="n">
        <v>27.8</v>
      </c>
      <c r="B1936" s="22" t="inlineStr">
        <is>
          <t>Клуб Рослин</t>
        </is>
      </c>
      <c r="C1936" s="22" t="inlineStr">
        <is>
          <t>7458</t>
        </is>
      </c>
      <c r="D1936" s="22" t="inlineStr">
        <is>
          <t>7458</t>
        </is>
      </c>
      <c r="E1936" s="21" t="inlineStr">
        <is>
          <t>Добриво GroGreen NPK 15-5-30+3MgO+TE 25 кг Lima Бельгія</t>
        </is>
      </c>
      <c r="F1936" s="21" t="inlineStr">
        <is>
          <t>Тис ягідний (а) Куля G / Pa140</t>
        </is>
      </c>
      <c r="G1936" s="23" t="n">
        <v>4585</v>
      </c>
      <c r="H1936" s="23" t="n">
        <v>5805</v>
      </c>
      <c r="I1936" s="21" t="inlineStr">
        <is>
          <t>ID постачальника збігся, але назви різні</t>
        </is>
      </c>
    </row>
    <row r="1937">
      <c r="A1937" s="22" t="n">
        <v>27.8</v>
      </c>
      <c r="B1937" s="22" t="inlineStr">
        <is>
          <t>Клуб Рослин</t>
        </is>
      </c>
      <c r="C1937" s="22" t="inlineStr">
        <is>
          <t>3307</t>
        </is>
      </c>
      <c r="D1937" s="22" t="inlineStr">
        <is>
          <t>3307</t>
        </is>
      </c>
      <c r="E1937" s="21" t="inlineStr">
        <is>
          <t>Фунгіцид Жокей Екстра КС 5 л Хімагромаркетинг Україна</t>
        </is>
      </c>
      <c r="F1937" s="21" t="inlineStr">
        <is>
          <t>Магнолія Дафні C10 / H125-150</t>
        </is>
      </c>
      <c r="G1937" s="23" t="n">
        <v>4098</v>
      </c>
      <c r="H1937" s="23" t="n">
        <v>2400</v>
      </c>
      <c r="I1937" s="21" t="inlineStr">
        <is>
          <t>ID постачальника збігся, але назви різні</t>
        </is>
      </c>
    </row>
    <row r="1938">
      <c r="A1938" s="22" t="n">
        <v>27.8</v>
      </c>
      <c r="B1938" s="22" t="inlineStr">
        <is>
          <t>Клуб Рослин</t>
        </is>
      </c>
      <c r="C1938" s="22" t="inlineStr">
        <is>
          <t>7673</t>
        </is>
      </c>
      <c r="D1938" s="22" t="inlineStr">
        <is>
          <t>7673</t>
        </is>
      </c>
      <c r="E1938" s="21" t="inlineStr">
        <is>
          <t>Антистресант Сільвер Аміно-Ап / Silver Amino-Up 5 л Atlantica Іспанія</t>
        </is>
      </c>
      <c r="F1938" s="21" t="inlineStr">
        <is>
          <t>Туя (Платікладус) східна Пірамідаліс Ауреа G / H80-100</t>
        </is>
      </c>
      <c r="G1938" s="23" t="n">
        <v>3200</v>
      </c>
      <c r="H1938" s="23" t="n">
        <v>560</v>
      </c>
      <c r="I1938" s="21" t="inlineStr">
        <is>
          <t>ID постачальника збігся, але назви різні</t>
        </is>
      </c>
    </row>
    <row r="1939">
      <c r="A1939" s="22" t="n">
        <v>27.8</v>
      </c>
      <c r="B1939" s="22" t="inlineStr">
        <is>
          <t>Клуб Рослин</t>
        </is>
      </c>
      <c r="C1939" s="22" t="inlineStr">
        <is>
          <t>7731</t>
        </is>
      </c>
      <c r="D1939" s="22" t="inlineStr">
        <is>
          <t>7731</t>
        </is>
      </c>
      <c r="E1939" s="21" t="inlineStr">
        <is>
          <t>Біостимулятор-антистресант Текамін Макс / Tecamin Max 5 л AgriTecno Іспанія</t>
        </is>
      </c>
      <c r="F1939" s="21" t="inlineStr">
        <is>
          <t>Туя західна (ий) Голден Глоб K14 G+C15 / H30-40</t>
        </is>
      </c>
      <c r="G1939" s="23" t="n">
        <v>2912</v>
      </c>
      <c r="H1939" s="23" t="n">
        <v>245</v>
      </c>
      <c r="I1939" s="21" t="inlineStr">
        <is>
          <t>ID постачальника збігся, але різні об'єми або розміри</t>
        </is>
      </c>
    </row>
    <row r="1940">
      <c r="A1940" s="22" t="n">
        <v>27.8</v>
      </c>
      <c r="B1940" s="22" t="inlineStr">
        <is>
          <t>Клуб Рослин</t>
        </is>
      </c>
      <c r="C1940" s="22" t="inlineStr">
        <is>
          <t>3114</t>
        </is>
      </c>
      <c r="D1940" s="22" t="inlineStr">
        <is>
          <t>3114</t>
        </is>
      </c>
      <c r="E1940" s="21" t="inlineStr">
        <is>
          <t>Фунгіцид Оріус ЕВ 1 л Adama Адама Ізраїль</t>
        </is>
      </c>
      <c r="F1940" s="21" t="inlineStr">
        <is>
          <t>Лаванда вузьколиста Елізабет C2</t>
        </is>
      </c>
      <c r="G1940" s="23" t="n">
        <v>848</v>
      </c>
      <c r="H1940" s="23" t="n">
        <v>160</v>
      </c>
      <c r="I1940" s="21" t="inlineStr">
        <is>
          <t>ID постачальника збігся, але назви різні</t>
        </is>
      </c>
    </row>
    <row r="1941">
      <c r="A1941" s="22" t="n">
        <v>27.8</v>
      </c>
      <c r="B1941" s="22" t="inlineStr">
        <is>
          <t>Клуб Рослин</t>
        </is>
      </c>
      <c r="C1941" s="22" t="inlineStr">
        <is>
          <t>7729</t>
        </is>
      </c>
      <c r="D1941" s="22" t="inlineStr">
        <is>
          <t>7729</t>
        </is>
      </c>
      <c r="E1941" s="21" t="inlineStr">
        <is>
          <t>Біостимулятор Текамін Вігор / Tecamin Vigor 1 л AgriTecno Іспанія</t>
        </is>
      </c>
      <c r="F1941" s="21" t="inlineStr">
        <is>
          <t>Туя західна (ий) Глобоза Компакта K20 C80 / H50-60</t>
        </is>
      </c>
      <c r="G1941" s="23" t="n">
        <v>822</v>
      </c>
      <c r="H1941" s="23" t="n">
        <v>720</v>
      </c>
      <c r="I1941" s="21" t="inlineStr">
        <is>
          <t>ID постачальника збігся, але назви різні</t>
        </is>
      </c>
    </row>
    <row r="1942">
      <c r="A1942" s="22" t="n">
        <v>27.8</v>
      </c>
      <c r="B1942" s="22" t="inlineStr">
        <is>
          <t>Клуб Рослин</t>
        </is>
      </c>
      <c r="C1942" s="22" t="inlineStr">
        <is>
          <t>2119</t>
        </is>
      </c>
      <c r="D1942" s="22" t="inlineStr">
        <is>
          <t>2119</t>
        </is>
      </c>
      <c r="E1942" s="21" t="inlineStr">
        <is>
          <t>Інсектицид Віарес 1 л Alfa Smart Agro Альфа Смарт Агро Україна</t>
        </is>
      </c>
      <c r="F1942" s="21" t="inlineStr">
        <is>
          <t>Гортензія великолисткова Ендлесс Саммер Роуз C5 / H20-30</t>
        </is>
      </c>
      <c r="G1942" s="23" t="n">
        <v>798</v>
      </c>
      <c r="H1942" s="23" t="n">
        <v>720</v>
      </c>
      <c r="I1942" s="21" t="inlineStr">
        <is>
          <t>ID постачальника збігся, але назви різні</t>
        </is>
      </c>
    </row>
    <row r="1943">
      <c r="A1943" s="22" t="n">
        <v>27.8</v>
      </c>
      <c r="B1943" s="22" t="inlineStr">
        <is>
          <t>Клуб Рослин</t>
        </is>
      </c>
      <c r="C1943" s="22" t="inlineStr">
        <is>
          <t>2198</t>
        </is>
      </c>
      <c r="D1943" s="22" t="inlineStr">
        <is>
          <t>2198</t>
        </is>
      </c>
      <c r="E1943" s="21" t="inlineStr">
        <is>
          <t>Інсектицид Атік 1 кг DEFENDA Дефенда</t>
        </is>
      </c>
      <c r="F1943" s="21" t="inlineStr">
        <is>
          <t>Гортензія волотиста Кенделайт ® PC21 C3 / H20-30</t>
        </is>
      </c>
      <c r="G1943" s="23" t="n">
        <v>598</v>
      </c>
      <c r="H1943" s="23" t="n">
        <v>312</v>
      </c>
      <c r="I1943" s="21" t="inlineStr">
        <is>
          <t>ID постачальника збігся, але назви різні</t>
        </is>
      </c>
    </row>
    <row r="1944">
      <c r="A1944" s="22" t="n">
        <v>27.8</v>
      </c>
      <c r="B1944" s="22" t="inlineStr">
        <is>
          <t>Клуб Рослин</t>
        </is>
      </c>
      <c r="C1944" s="22" t="inlineStr">
        <is>
          <t>7926</t>
        </is>
      </c>
      <c r="D1944" s="22" t="inlineStr">
        <is>
          <t>7926</t>
        </is>
      </c>
      <c r="E1944" s="21" t="inlineStr">
        <is>
          <t>Добриво Ікар Інтенс Овочевий / Ikar Intense Veggies 0.5 л Литва</t>
        </is>
      </c>
      <c r="F1944" s="21" t="inlineStr">
        <is>
          <t>Туя західна (ий) Смарагд Спіраль K20 C290 / H240-260</t>
        </is>
      </c>
      <c r="G1944" s="23" t="n">
        <v>394</v>
      </c>
      <c r="H1944" s="23" t="n">
        <v>3600</v>
      </c>
      <c r="I1944" s="21" t="inlineStr">
        <is>
          <t>ID постачальника збігся, але назви різні</t>
        </is>
      </c>
    </row>
    <row r="1945">
      <c r="A1945" s="22" t="n">
        <v>27.8</v>
      </c>
      <c r="B1945" s="22" t="inlineStr">
        <is>
          <t>Клуб Рослин</t>
        </is>
      </c>
      <c r="C1945" s="22" t="inlineStr">
        <is>
          <t>3304</t>
        </is>
      </c>
      <c r="D1945" s="22" t="inlineStr">
        <is>
          <t>3304</t>
        </is>
      </c>
      <c r="E1945" s="21" t="inlineStr">
        <is>
          <t>Фунгіцид Джек Пот КЕ 100 мл Ukravit Укравіт Україна</t>
        </is>
      </c>
      <c r="F1945" s="21" t="inlineStr">
        <is>
          <t>Магнолія Бетті PC20 C3 / H20-30</t>
        </is>
      </c>
      <c r="G1945" s="23" t="n">
        <v>248</v>
      </c>
      <c r="H1945" s="23" t="n">
        <v>216</v>
      </c>
      <c r="I1945" s="21" t="inlineStr">
        <is>
          <t>ID постачальника збігся, але назви різні</t>
        </is>
      </c>
    </row>
    <row r="1946">
      <c r="A1946" s="22" t="n">
        <v>27.8</v>
      </c>
      <c r="B1946" s="22" t="inlineStr">
        <is>
          <t>Клуб Рослин</t>
        </is>
      </c>
      <c r="C1946" s="22" t="inlineStr">
        <is>
          <t>7467</t>
        </is>
      </c>
      <c r="D1946" s="22" t="inlineStr">
        <is>
          <t>7467</t>
        </is>
      </c>
      <c r="E1946" s="21" t="inlineStr">
        <is>
          <t>Добриво Кальцій Бор / СaBoron 1 л SmartGrow Україна</t>
        </is>
      </c>
      <c r="F1946" s="21" t="inlineStr">
        <is>
          <t>Тис ягідний (а) Бонсай C110 / H140</t>
        </is>
      </c>
      <c r="G1946" s="23" t="n">
        <v>1</v>
      </c>
      <c r="H1946" s="23" t="n">
        <v>14400</v>
      </c>
      <c r="I1946" s="21" t="inlineStr">
        <is>
          <t>ID постачальника збігся, але назви різні</t>
        </is>
      </c>
    </row>
    <row r="1947">
      <c r="A1947" s="22" t="n">
        <v>27.7</v>
      </c>
      <c r="B1947" s="22" t="inlineStr">
        <is>
          <t>Клуб Рослин</t>
        </is>
      </c>
      <c r="C1947" s="22" t="inlineStr">
        <is>
          <t>7638</t>
        </is>
      </c>
      <c r="D1947" s="22" t="inlineStr">
        <is>
          <t>7638</t>
        </is>
      </c>
      <c r="E1947" s="21" t="inlineStr">
        <is>
          <t>Укорінювач Ризопон Powder AA 1% 10 кг Rhizopon B.V. Нідерланди</t>
        </is>
      </c>
      <c r="F1947" s="21" t="inlineStr">
        <is>
          <t>Тис середній Хілліі PC20 C15 / H60-80</t>
        </is>
      </c>
      <c r="G1947" s="23" t="n">
        <v>63598</v>
      </c>
      <c r="H1947" s="23" t="n">
        <v>1500</v>
      </c>
      <c r="I1947" s="21" t="inlineStr">
        <is>
          <t>ID постачальника збігся, але назви різні</t>
        </is>
      </c>
    </row>
    <row r="1948">
      <c r="A1948" s="22" t="n">
        <v>27.7</v>
      </c>
      <c r="B1948" s="22" t="inlineStr">
        <is>
          <t>Клуб Рослин</t>
        </is>
      </c>
      <c r="C1948" s="22" t="inlineStr">
        <is>
          <t>2243</t>
        </is>
      </c>
      <c r="D1948" s="22" t="inlineStr">
        <is>
          <t>2243</t>
        </is>
      </c>
      <c r="E1948" s="21" t="inlineStr">
        <is>
          <t>Інсектицид Сілкер КЕ 10 л Sumi Agro Сумі Агро Японія</t>
        </is>
      </c>
      <c r="F1948" s="21" t="inlineStr">
        <is>
          <t>Гортензія волотиста Лаймлайт Штамб C5 / Pa50</t>
        </is>
      </c>
      <c r="G1948" s="23" t="n">
        <v>18500</v>
      </c>
      <c r="H1948" s="23" t="n">
        <v>470</v>
      </c>
      <c r="I1948" s="21" t="inlineStr">
        <is>
          <t>ID постачальника збігся, але назви різні</t>
        </is>
      </c>
    </row>
    <row r="1949">
      <c r="A1949" s="22" t="n">
        <v>27.7</v>
      </c>
      <c r="B1949" s="22" t="inlineStr">
        <is>
          <t>Клуб Рослин</t>
        </is>
      </c>
      <c r="C1949" s="22" t="inlineStr">
        <is>
          <t>8076</t>
        </is>
      </c>
      <c r="D1949" s="22" t="inlineStr">
        <is>
          <t>8076</t>
        </is>
      </c>
      <c r="E1949" s="21" t="inlineStr">
        <is>
          <t>Добриво Осмокот / Osmocote Preplant 17-8-10 (16-18 M) 25 кг ICL Нідерланди</t>
        </is>
      </c>
      <c r="F1949" s="21" t="inlineStr">
        <is>
          <t>Тюльпан багатоквітковий Тукан 11/12</t>
        </is>
      </c>
      <c r="G1949" s="23" t="n">
        <v>7461</v>
      </c>
      <c r="H1949" s="23" t="n">
        <v>10</v>
      </c>
      <c r="I1949" s="21" t="inlineStr">
        <is>
          <t>ID постачальника збігся, але назви різні</t>
        </is>
      </c>
    </row>
    <row r="1950">
      <c r="A1950" s="22" t="n">
        <v>27.7</v>
      </c>
      <c r="B1950" s="22" t="inlineStr">
        <is>
          <t>Клуб Рослин</t>
        </is>
      </c>
      <c r="C1950" s="22" t="inlineStr">
        <is>
          <t>5017</t>
        </is>
      </c>
      <c r="D1950" s="22" t="inlineStr">
        <is>
          <t>5017</t>
        </is>
      </c>
      <c r="E1950" s="21" t="inlineStr">
        <is>
          <t>Протруйник Ларімар 5 л Агрохімічні технології Україна</t>
        </is>
      </c>
      <c r="F1950" s="21" t="inlineStr">
        <is>
          <t>Сосна густоквіткова Умбракуліфера K20 C55 / H80-100</t>
        </is>
      </c>
      <c r="G1950" s="23" t="n">
        <v>4992</v>
      </c>
      <c r="H1950" s="23" t="n">
        <v>7800</v>
      </c>
      <c r="I1950" s="21" t="inlineStr">
        <is>
          <t>ID постачальника збігся, але назви різні</t>
        </is>
      </c>
    </row>
    <row r="1951">
      <c r="A1951" s="22" t="n">
        <v>27.7</v>
      </c>
      <c r="B1951" s="22" t="inlineStr">
        <is>
          <t>Клуб Рослин</t>
        </is>
      </c>
      <c r="C1951" s="22" t="inlineStr">
        <is>
          <t>8140</t>
        </is>
      </c>
      <c r="D1951" s="22" t="inlineStr">
        <is>
          <t>8140</t>
        </is>
      </c>
      <c r="E1951" s="21" t="inlineStr">
        <is>
          <t>Добриво Савіавітал К / Saviavital K 5 л Bioera Іспанія</t>
        </is>
      </c>
      <c r="F1951" s="21" t="inlineStr">
        <is>
          <t>Виноград культурний Аркадія (столовий) NN GK</t>
        </is>
      </c>
      <c r="G1951" s="23" t="n">
        <v>3640</v>
      </c>
      <c r="H1951" s="23" t="n">
        <v>80</v>
      </c>
      <c r="I1951" s="21" t="inlineStr">
        <is>
          <t>ID постачальника збігся, але різні бренди</t>
        </is>
      </c>
    </row>
    <row r="1952">
      <c r="A1952" s="22" t="n">
        <v>27.7</v>
      </c>
      <c r="B1952" s="22" t="inlineStr">
        <is>
          <t>Клуб Рослин</t>
        </is>
      </c>
      <c r="C1952" s="22" t="inlineStr">
        <is>
          <t>7518</t>
        </is>
      </c>
      <c r="D1952" s="22" t="inlineStr">
        <is>
          <t>7518</t>
        </is>
      </c>
      <c r="E1952" s="21" t="inlineStr">
        <is>
          <t>Регулятор росту плодів гіберелін Новагіб / Novagib 1 л Fine Agrochemicals Велика Британія</t>
        </is>
      </c>
      <c r="F1952" s="21" t="inlineStr">
        <is>
          <t>Тис ягідний (а) Довастоніі Ауреа Бонсай C500 / H250-300</t>
        </is>
      </c>
      <c r="G1952" s="23" t="n">
        <v>3500</v>
      </c>
      <c r="H1952" s="23" t="n">
        <v>248400</v>
      </c>
      <c r="I1952" s="21" t="inlineStr">
        <is>
          <t>ID постачальника збігся, але назви різні</t>
        </is>
      </c>
    </row>
    <row r="1953">
      <c r="A1953" s="22" t="n">
        <v>27.7</v>
      </c>
      <c r="B1953" s="22" t="inlineStr">
        <is>
          <t>Клуб Рослин</t>
        </is>
      </c>
      <c r="C1953" s="22" t="inlineStr">
        <is>
          <t>9.107</t>
        </is>
      </c>
      <c r="D1953" s="22" t="inlineStr">
        <is>
          <t>9107</t>
        </is>
      </c>
      <c r="E1953" s="21" t="inlineStr">
        <is>
          <t>LOWE Original 9.107 обхідний секатор Німеччина</t>
        </is>
      </c>
      <c r="F1953" s="21" t="inlineStr">
        <is>
          <t>Добриво Ekote Fruit Balance 223 10-10-17+7CaO+4MgO (3 місяці) для плодово-ягідних культур, 25 кг</t>
        </is>
      </c>
      <c r="G1953" s="23" t="n">
        <v>3190</v>
      </c>
      <c r="H1953" s="23" t="n">
        <v>4095</v>
      </c>
      <c r="I1953" s="21" t="inlineStr">
        <is>
          <t>ID постачальника збігся, але різні бренди</t>
        </is>
      </c>
    </row>
    <row r="1954">
      <c r="A1954" s="22" t="n">
        <v>27.7</v>
      </c>
      <c r="B1954" s="22" t="inlineStr">
        <is>
          <t>Клуб Рослин</t>
        </is>
      </c>
      <c r="C1954" s="22" t="inlineStr">
        <is>
          <t>7780</t>
        </is>
      </c>
      <c r="D1954" s="22" t="inlineStr">
        <is>
          <t>7780</t>
        </is>
      </c>
      <c r="E1954" s="21" t="inlineStr">
        <is>
          <t>Добриво Ікар Калісі (Калій-Фосфор-Кремній) / Ikar Kalisi 5 л Литва</t>
        </is>
      </c>
      <c r="F1954" s="21" t="inlineStr">
        <is>
          <t>Туя західна (ий) Мірьям ® PC21 C3 / H25 / L15-20</t>
        </is>
      </c>
      <c r="G1954" s="23" t="n">
        <v>2662</v>
      </c>
      <c r="H1954" s="23" t="n">
        <v>202</v>
      </c>
      <c r="I1954" s="21" t="inlineStr">
        <is>
          <t>ID постачальника збігся, але назви різні</t>
        </is>
      </c>
    </row>
    <row r="1955">
      <c r="A1955" s="22" t="n">
        <v>27.7</v>
      </c>
      <c r="B1955" s="22" t="inlineStr">
        <is>
          <t>Клуб Рослин</t>
        </is>
      </c>
      <c r="C1955" s="22" t="inlineStr">
        <is>
          <t>4035</t>
        </is>
      </c>
      <c r="D1955" s="22" t="inlineStr">
        <is>
          <t>4035</t>
        </is>
      </c>
      <c r="E1955" s="21" t="inlineStr">
        <is>
          <t>Родентицид Раттер 5 л Enzim Biotech Agro / Ензим Біотек Агро Україна</t>
        </is>
      </c>
      <c r="F1955" s="21" t="inlineStr">
        <is>
          <t>Ялина двоколірна C25 / H130-150</t>
        </is>
      </c>
      <c r="G1955" s="23" t="n">
        <v>2225</v>
      </c>
      <c r="H1955" s="23" t="n">
        <v>5796</v>
      </c>
      <c r="I1955" s="21" t="inlineStr">
        <is>
          <t>ID постачальника збігся, але назви різні</t>
        </is>
      </c>
    </row>
    <row r="1956">
      <c r="A1956" s="22" t="n">
        <v>27.7</v>
      </c>
      <c r="B1956" s="22" t="inlineStr">
        <is>
          <t>Клуб Рослин</t>
        </is>
      </c>
      <c r="C1956" s="22" t="inlineStr">
        <is>
          <t>2088</t>
        </is>
      </c>
      <c r="D1956" s="22" t="inlineStr">
        <is>
          <t>2088</t>
        </is>
      </c>
      <c r="E1956" s="21" t="inlineStr">
        <is>
          <t>Інсектицид Апплауд 25 КС 1 л SumiАgro Японія</t>
        </is>
      </c>
      <c r="F1956" s="21" t="inlineStr">
        <is>
          <t>Гіацинт Карнегі 15\16</t>
        </is>
      </c>
      <c r="G1956" s="23" t="n">
        <v>2148</v>
      </c>
      <c r="H1956" s="23" t="n">
        <v>25</v>
      </c>
      <c r="I1956" s="21" t="inlineStr">
        <is>
          <t>ID постачальника збігся, але назви різні</t>
        </is>
      </c>
    </row>
    <row r="1957">
      <c r="A1957" s="22" t="n">
        <v>27.7</v>
      </c>
      <c r="B1957" s="22" t="inlineStr">
        <is>
          <t>Клуб Рослин</t>
        </is>
      </c>
      <c r="C1957" s="22" t="inlineStr">
        <is>
          <t>2342</t>
        </is>
      </c>
      <c r="D1957" s="22" t="inlineStr">
        <is>
          <t>2342</t>
        </is>
      </c>
      <c r="E1957" s="21" t="inlineStr">
        <is>
          <t>Інсектицид Laser 480 SC / Лазер 100 мл Agri Sciences Туречина</t>
        </is>
      </c>
      <c r="F1957" s="21" t="inlineStr">
        <is>
          <t>Гортензія волотиста Фантом PC20 C7,5 / H20-30</t>
        </is>
      </c>
      <c r="G1957" s="23" t="n">
        <v>1998</v>
      </c>
      <c r="H1957" s="23" t="n">
        <v>366</v>
      </c>
      <c r="I1957" s="21" t="inlineStr">
        <is>
          <t>ID постачальника збігся, але назви різні</t>
        </is>
      </c>
    </row>
    <row r="1958">
      <c r="A1958" s="22" t="n">
        <v>27.7</v>
      </c>
      <c r="B1958" s="22" t="inlineStr">
        <is>
          <t>Клуб Рослин</t>
        </is>
      </c>
      <c r="C1958" s="22" t="inlineStr">
        <is>
          <t>14.107</t>
        </is>
      </c>
      <c r="D1958" s="22" t="inlineStr">
        <is>
          <t>14107</t>
        </is>
      </c>
      <c r="E1958" s="21" t="inlineStr">
        <is>
          <t>Секатор садовий LOWE Original 14.107 (Німеччина)</t>
        </is>
      </c>
      <c r="F1958" s="21" t="inlineStr">
        <is>
          <t>Фунгіцид Фундазол З.П. (беноміл) 200 г Сімейний Сад</t>
        </is>
      </c>
      <c r="G1958" s="23" t="n">
        <v>1850</v>
      </c>
      <c r="H1958" s="23" t="n">
        <v>350</v>
      </c>
      <c r="I1958" s="21" t="inlineStr">
        <is>
          <t>ID постачальника збігся, але назви різні</t>
        </is>
      </c>
    </row>
    <row r="1959">
      <c r="A1959" s="22" t="n">
        <v>27.7</v>
      </c>
      <c r="B1959" s="22" t="inlineStr">
        <is>
          <t>Клуб Рослин</t>
        </is>
      </c>
      <c r="C1959" s="22" t="inlineStr">
        <is>
          <t>7529</t>
        </is>
      </c>
      <c r="D1959" s="22" t="inlineStr">
        <is>
          <t>7529</t>
        </is>
      </c>
      <c r="E1959" s="21" t="inlineStr">
        <is>
          <t>Біостимулятор-антистресант Експерт Гроу 1 л Аdama Адама Ізраїль</t>
        </is>
      </c>
      <c r="F1959" s="21" t="inlineStr">
        <is>
          <t>Тис ягідний (а) Мультиштамб C230 / H175-200</t>
        </is>
      </c>
      <c r="G1959" s="23" t="n">
        <v>1375</v>
      </c>
      <c r="H1959" s="23" t="n">
        <v>30000</v>
      </c>
      <c r="I1959" s="21" t="inlineStr">
        <is>
          <t>ID постачальника збігся, але назви різні</t>
        </is>
      </c>
    </row>
    <row r="1960">
      <c r="A1960" s="22" t="n">
        <v>27.7</v>
      </c>
      <c r="B1960" s="22" t="inlineStr">
        <is>
          <t>Клуб Рослин</t>
        </is>
      </c>
      <c r="C1960" s="22" t="inlineStr">
        <is>
          <t>3083</t>
        </is>
      </c>
      <c r="D1960" s="22" t="inlineStr">
        <is>
          <t>3083</t>
        </is>
      </c>
      <c r="E1960" s="21" t="inlineStr">
        <is>
          <t>Фунгіцид Гарт ЗП 2 кг Ukravit Укравіт Україна</t>
        </is>
      </c>
      <c r="F1960" s="21" t="inlineStr">
        <is>
          <t>LAQUAtwin. Нітратомір</t>
        </is>
      </c>
      <c r="G1960" s="23" t="n">
        <v>1098</v>
      </c>
      <c r="H1960" s="23" t="n">
        <v>17900</v>
      </c>
      <c r="I1960" s="21" t="inlineStr">
        <is>
          <t>ID постачальника збігся, але різні бренди</t>
        </is>
      </c>
    </row>
    <row r="1961">
      <c r="A1961" s="22" t="n">
        <v>27.7</v>
      </c>
      <c r="B1961" s="22" t="inlineStr">
        <is>
          <t>Клуб Рослин</t>
        </is>
      </c>
      <c r="C1961" s="22" t="inlineStr">
        <is>
          <t>2237</t>
        </is>
      </c>
      <c r="D1961" s="22" t="inlineStr">
        <is>
          <t>2237</t>
        </is>
      </c>
      <c r="E1961" s="21" t="inlineStr">
        <is>
          <t>Інсектицид Траверс / Travers 1 кг Хімагромаркетинг Україна</t>
        </is>
      </c>
      <c r="F1961" s="21" t="inlineStr">
        <is>
          <t>Гортензія волотиста Лаймлайт PC20 C7,5 / H90-100</t>
        </is>
      </c>
      <c r="G1961" s="23" t="n">
        <v>948</v>
      </c>
      <c r="H1961" s="23" t="n">
        <v>420</v>
      </c>
      <c r="I1961" s="21" t="inlineStr">
        <is>
          <t>ID постачальника збігся, але назви різні</t>
        </is>
      </c>
    </row>
    <row r="1962">
      <c r="A1962" s="22" t="n">
        <v>27.7</v>
      </c>
      <c r="B1962" s="22" t="inlineStr">
        <is>
          <t>Клуб Рослин</t>
        </is>
      </c>
      <c r="C1962" s="22" t="inlineStr">
        <is>
          <t>7583</t>
        </is>
      </c>
      <c r="D1962" s="22" t="inlineStr">
        <is>
          <t>7583</t>
        </is>
      </c>
      <c r="E1962" s="21" t="inlineStr">
        <is>
          <t>Добриво Калтемі / Kaltemi 1 л Meristem Меристем Іспанія</t>
        </is>
      </c>
      <c r="F1962" s="21" t="inlineStr">
        <is>
          <t>Тис ягідний (а) Топіар, Складна Фігура C130 / H250-275</t>
        </is>
      </c>
      <c r="G1962" s="23" t="n">
        <v>625</v>
      </c>
      <c r="H1962" s="23" t="n">
        <v>24840</v>
      </c>
      <c r="I1962" s="21" t="inlineStr">
        <is>
          <t>ID постачальника збігся, але назви різні</t>
        </is>
      </c>
    </row>
    <row r="1963">
      <c r="A1963" s="22" t="n">
        <v>27.7</v>
      </c>
      <c r="B1963" s="22" t="inlineStr">
        <is>
          <t>Клуб Рослин</t>
        </is>
      </c>
      <c r="C1963" s="22" t="inlineStr">
        <is>
          <t>7749</t>
        </is>
      </c>
      <c r="D1963" s="22" t="inlineStr">
        <is>
          <t>10221</t>
        </is>
      </c>
      <c r="E1963" s="21" t="inlineStr">
        <is>
          <t>Біостимулятор ТехноГель Аміно / TecnoGel Amino 15-15-15 Balanced 5 л AgriTecno Fertilizantes Іспанія</t>
        </is>
      </c>
      <c r="F1963" s="21" t="inlineStr">
        <is>
          <t>Контейнер квадрат 15*15*15см, 3,0л (15*15*15)</t>
        </is>
      </c>
      <c r="G1963" s="23" t="n">
        <v>475</v>
      </c>
      <c r="H1963" s="23" t="n">
        <v>6</v>
      </c>
      <c r="I1963" s="21" t="inlineStr">
        <is>
          <t>код збігся, але різні об'єми або розміри</t>
        </is>
      </c>
    </row>
    <row r="1964">
      <c r="A1964" s="22" t="n">
        <v>27.6</v>
      </c>
      <c r="B1964" s="22" t="inlineStr">
        <is>
          <t>Клуб Рослин</t>
        </is>
      </c>
      <c r="C1964" s="22" t="inlineStr">
        <is>
          <t>3204</t>
        </is>
      </c>
      <c r="D1964" s="22" t="inlineStr">
        <is>
          <t>3204</t>
        </is>
      </c>
      <c r="E1964" s="21" t="inlineStr">
        <is>
          <t>Фунгіцид Топаз 100 ЕС КЕ 5 л Syngenta Сингента Швейцарія</t>
        </is>
      </c>
      <c r="F1964" s="21" t="inlineStr">
        <is>
          <t>Лілія ОТ-гібридна Палаццо 16\18</t>
        </is>
      </c>
      <c r="G1964" s="23" t="n">
        <v>14198</v>
      </c>
      <c r="H1964" s="23" t="n">
        <v>50</v>
      </c>
      <c r="I1964" s="21" t="inlineStr">
        <is>
          <t>ID постачальника збігся, але назви різні</t>
        </is>
      </c>
    </row>
    <row r="1965">
      <c r="A1965" s="22" t="n">
        <v>27.6</v>
      </c>
      <c r="B1965" s="22" t="inlineStr">
        <is>
          <t>Клуб Рослин</t>
        </is>
      </c>
      <c r="C1965" s="22" t="inlineStr">
        <is>
          <t>8079</t>
        </is>
      </c>
      <c r="D1965" s="22" t="inlineStr">
        <is>
          <t>8079</t>
        </is>
      </c>
      <c r="E1965" s="21" t="inlineStr">
        <is>
          <t>Добриво Осмокот / Osmocote Pro 18-9-10 (8-9 М) 25 кг ICL Нідерланди</t>
        </is>
      </c>
      <c r="F1965" s="21" t="inlineStr">
        <is>
          <t>Тюльпан тріумф Барселона 12+</t>
        </is>
      </c>
      <c r="G1965" s="23" t="n">
        <v>7277</v>
      </c>
      <c r="H1965" s="23" t="n">
        <v>15</v>
      </c>
      <c r="I1965" s="21" t="inlineStr">
        <is>
          <t>ID постачальника збігся, але назви різні</t>
        </is>
      </c>
    </row>
    <row r="1966">
      <c r="A1966" s="22" t="n">
        <v>27.6</v>
      </c>
      <c r="B1966" s="22" t="inlineStr">
        <is>
          <t>Клуб Рослин</t>
        </is>
      </c>
      <c r="C1966" s="22" t="inlineStr">
        <is>
          <t>7279</t>
        </is>
      </c>
      <c r="D1966" s="22" t="inlineStr">
        <is>
          <t>7279</t>
        </is>
      </c>
      <c r="E1966" s="21" t="inlineStr">
        <is>
          <t>Добриво Келькат Залізо / Kelkat Iron 5 кг Вітера Atlantica Agricola Іспанія</t>
        </is>
      </c>
      <c r="F1966" s="21" t="inlineStr">
        <is>
          <t>Троянда поліантова Кларет Піксі DP PC20 C7,5 / H20-30</t>
        </is>
      </c>
      <c r="G1966" s="23" t="n">
        <v>5905</v>
      </c>
      <c r="H1966" s="23" t="n">
        <v>290</v>
      </c>
      <c r="I1966" s="21" t="inlineStr">
        <is>
          <t>ID постачальника збігся, але різні бренди</t>
        </is>
      </c>
    </row>
    <row r="1967">
      <c r="A1967" s="22" t="n">
        <v>27.6</v>
      </c>
      <c r="B1967" s="22" t="inlineStr">
        <is>
          <t>Клуб Рослин</t>
        </is>
      </c>
      <c r="C1967" s="22" t="inlineStr">
        <is>
          <t>3148</t>
        </is>
      </c>
      <c r="D1967" s="22" t="inlineStr">
        <is>
          <t>3148</t>
        </is>
      </c>
      <c r="E1967" s="21" t="inlineStr">
        <is>
          <t>Фунгіцид Віоліс 5 л Ukravit Укравіт Україна</t>
        </is>
      </c>
      <c r="F1967" s="21" t="inlineStr">
        <is>
          <t>Лілія азіатська махрова гібридна Елоді 12\14</t>
        </is>
      </c>
      <c r="G1967" s="23" t="n">
        <v>2648</v>
      </c>
      <c r="H1967" s="23" t="n">
        <v>50</v>
      </c>
      <c r="I1967" s="21" t="inlineStr">
        <is>
          <t>ID постачальника збігся, але назви різні</t>
        </is>
      </c>
    </row>
    <row r="1968">
      <c r="A1968" s="22" t="n">
        <v>27.6</v>
      </c>
      <c r="B1968" s="22" t="inlineStr">
        <is>
          <t>Клуб Рослин</t>
        </is>
      </c>
      <c r="C1968" s="22" t="inlineStr">
        <is>
          <t>7511</t>
        </is>
      </c>
      <c r="D1968" s="22" t="inlineStr">
        <is>
          <t>7511</t>
        </is>
      </c>
      <c r="E1968" s="21" t="inlineStr">
        <is>
          <t>Добриво YaraTera Krista К Plus ЯраТера Криста К Плюс Нітрат калію 25 кг Норвегія</t>
        </is>
      </c>
      <c r="F1968" s="21" t="inlineStr">
        <is>
          <t>Тис ягідний (а) Девід Extra C40 / H120-140</t>
        </is>
      </c>
      <c r="G1968" s="23" t="n">
        <v>2325</v>
      </c>
      <c r="H1968" s="23" t="n">
        <v>5962</v>
      </c>
      <c r="I1968" s="21" t="inlineStr">
        <is>
          <t>ID постачальника збігся, але різні бренди</t>
        </is>
      </c>
    </row>
    <row r="1969">
      <c r="A1969" s="22" t="n">
        <v>27.6</v>
      </c>
      <c r="B1969" s="22" t="inlineStr">
        <is>
          <t>Клуб Рослин</t>
        </is>
      </c>
      <c r="C1969" s="22" t="inlineStr">
        <is>
          <t>3569</t>
        </is>
      </c>
      <c r="D1969" s="22" t="inlineStr">
        <is>
          <t>3569</t>
        </is>
      </c>
      <c r="E1969" s="21" t="inlineStr">
        <is>
          <t>Фунгіцид Делавіт 1 л Ukravit Укравит Украина</t>
        </is>
      </c>
      <c r="F1969" s="21" t="inlineStr">
        <is>
          <t>Яблуня домашня Ананас Бенженицький PC20 C20</t>
        </is>
      </c>
      <c r="G1969" s="23" t="n">
        <v>1198</v>
      </c>
      <c r="H1969" s="23" t="n">
        <v>994</v>
      </c>
      <c r="I1969" s="21" t="inlineStr">
        <is>
          <t>ID постачальника збігся, але назви різні</t>
        </is>
      </c>
    </row>
    <row r="1970">
      <c r="A1970" s="22" t="n">
        <v>27.6</v>
      </c>
      <c r="B1970" s="22" t="inlineStr">
        <is>
          <t>Клуб Рослин</t>
        </is>
      </c>
      <c r="C1970" s="22" t="inlineStr">
        <is>
          <t>3228</t>
        </is>
      </c>
      <c r="D1970" s="22" t="inlineStr">
        <is>
          <t>3228</t>
        </is>
      </c>
      <c r="E1970" s="21" t="inlineStr">
        <is>
          <t>Фунгіцид Ридоміл Голд 1 кг (розсип) Syngenta Сингента Швейцарія</t>
        </is>
      </c>
      <c r="F1970" s="21" t="inlineStr">
        <is>
          <t>Ліквідамбар (Амброве дерево) смолоносний Мультиштамб C35 / H200-300</t>
        </is>
      </c>
      <c r="G1970" s="23" t="n">
        <v>998</v>
      </c>
      <c r="H1970" s="23" t="n">
        <v>16800</v>
      </c>
      <c r="I1970" s="21" t="inlineStr">
        <is>
          <t>ID постачальника збігся, але назви різні</t>
        </is>
      </c>
    </row>
    <row r="1971">
      <c r="A1971" s="22" t="n">
        <v>27.6</v>
      </c>
      <c r="B1971" s="22" t="inlineStr">
        <is>
          <t>Клуб Рослин</t>
        </is>
      </c>
      <c r="C1971" s="22" t="inlineStr">
        <is>
          <t>7764</t>
        </is>
      </c>
      <c r="D1971" s="22" t="inlineStr">
        <is>
          <t>7764</t>
        </is>
      </c>
      <c r="E1971" s="21" t="inlineStr">
        <is>
          <t>Добриво Brandt Manni-Plex Ca-B / Брендт Менні-Плекс Кальцій-Бор 1 л Vitera Україна</t>
        </is>
      </c>
      <c r="F1971" s="21" t="inlineStr">
        <is>
          <t>Туя західна (ий) Литл Джаінт PC21 C10 / H30-35 / L30</t>
        </is>
      </c>
      <c r="G1971" s="23" t="n">
        <v>692</v>
      </c>
      <c r="H1971" s="23" t="n">
        <v>432</v>
      </c>
      <c r="I1971" s="21" t="inlineStr">
        <is>
          <t>ID постачальника збігся, але назви різні</t>
        </is>
      </c>
    </row>
    <row r="1972">
      <c r="A1972" s="22" t="n">
        <v>27.5</v>
      </c>
      <c r="B1972" s="22" t="inlineStr">
        <is>
          <t>Клуб Рослин</t>
        </is>
      </c>
      <c r="C1972" s="22" t="inlineStr">
        <is>
          <t>7579</t>
        </is>
      </c>
      <c r="D1972" s="22" t="inlineStr">
        <is>
          <t>7579</t>
        </is>
      </c>
      <c r="E1972" s="21" t="inlineStr">
        <is>
          <t>Добриво Калтемі / Kaltemi 20 л Meristem Меристем Іспанія</t>
        </is>
      </c>
      <c r="F1972" s="21" t="inlineStr">
        <is>
          <t>Тис ягідний (а) Топіар, Складна Фігура C130 / H125-150</t>
        </is>
      </c>
      <c r="G1972" s="23" t="n">
        <v>8971</v>
      </c>
      <c r="H1972" s="23" t="n">
        <v>19872</v>
      </c>
      <c r="I1972" s="21" t="inlineStr">
        <is>
          <t>ID постачальника збігся, але назви різні</t>
        </is>
      </c>
    </row>
    <row r="1973">
      <c r="A1973" s="22" t="n">
        <v>27.5</v>
      </c>
      <c r="B1973" s="22" t="inlineStr">
        <is>
          <t>Клуб Рослин</t>
        </is>
      </c>
      <c r="C1973" s="22" t="inlineStr">
        <is>
          <t>7003</t>
        </is>
      </c>
      <c r="D1973" s="22" t="inlineStr">
        <is>
          <t>7003</t>
        </is>
      </c>
      <c r="E1973" s="21" t="inlineStr">
        <is>
          <t>Добриво Мастер Master 15+5+30 25 кг Syngenta (Valagro) Валагро Італія</t>
        </is>
      </c>
      <c r="F1973" s="21" t="inlineStr">
        <is>
          <t>Рододендрон гібридний Нова Зембла C5 / H30-40</t>
        </is>
      </c>
      <c r="G1973" s="23" t="n">
        <v>4675</v>
      </c>
      <c r="H1973" s="23" t="n">
        <v>540</v>
      </c>
      <c r="I1973" s="21" t="inlineStr">
        <is>
          <t>ID постачальника збігся, але назви різні</t>
        </is>
      </c>
    </row>
    <row r="1974">
      <c r="A1974" s="22" t="n">
        <v>27.5</v>
      </c>
      <c r="B1974" s="22" t="inlineStr">
        <is>
          <t>Клуб Рослин</t>
        </is>
      </c>
      <c r="C1974" s="22" t="inlineStr">
        <is>
          <t>7730</t>
        </is>
      </c>
      <c r="D1974" s="22" t="inlineStr">
        <is>
          <t>7730</t>
        </is>
      </c>
      <c r="E1974" s="21" t="inlineStr">
        <is>
          <t>Біостимулятор Текамін Вігор / Tecamin Vigor 5 л AgriTecno Іспанія</t>
        </is>
      </c>
      <c r="F1974" s="21" t="inlineStr">
        <is>
          <t>Туя західна (ий) Глобоза Компакта K20 C80 / H80-100</t>
        </is>
      </c>
      <c r="G1974" s="23" t="n">
        <v>4004</v>
      </c>
      <c r="H1974" s="23" t="n">
        <v>1015</v>
      </c>
      <c r="I1974" s="21" t="inlineStr">
        <is>
          <t>ID постачальника збігся, але назви різні</t>
        </is>
      </c>
    </row>
    <row r="1975">
      <c r="A1975" s="22" t="n">
        <v>27.5</v>
      </c>
      <c r="B1975" s="22" t="inlineStr">
        <is>
          <t>Клуб Рослин</t>
        </is>
      </c>
      <c r="C1975" s="22" t="inlineStr">
        <is>
          <t>3037</t>
        </is>
      </c>
      <c r="D1975" s="22" t="inlineStr">
        <is>
          <t>3037</t>
        </is>
      </c>
      <c r="E1975" s="21" t="inlineStr">
        <is>
          <t>Фунгіцид Бордо Ізагро 74% ЗП 10 кг Isagro Італія</t>
        </is>
      </c>
      <c r="F1975" s="21" t="inlineStr">
        <is>
          <t>Ялівець середній Олд Голд PC12 C5</t>
        </is>
      </c>
      <c r="G1975" s="23" t="n">
        <v>3600</v>
      </c>
      <c r="H1975" s="23" t="n">
        <v>324</v>
      </c>
      <c r="I1975" s="21" t="inlineStr">
        <is>
          <t>ID постачальника збігся, але назви різні</t>
        </is>
      </c>
    </row>
    <row r="1976">
      <c r="A1976" s="22" t="n">
        <v>27.5</v>
      </c>
      <c r="B1976" s="22" t="inlineStr">
        <is>
          <t>Клуб Рослин</t>
        </is>
      </c>
      <c r="C1976" s="22" t="inlineStr">
        <is>
          <t>6.109</t>
        </is>
      </c>
      <c r="D1976" s="22" t="inlineStr">
        <is>
          <t>6109</t>
        </is>
      </c>
      <c r="E1976" s="21" t="inlineStr">
        <is>
          <t>Секатор із наковаленкою та оборотною ручкою Льове / Lowe Original (6.109) Німеччина</t>
        </is>
      </c>
      <c r="F1976" s="21" t="inlineStr">
        <is>
          <t>Сосна жовта Пендула D10 / H80-100</t>
        </is>
      </c>
      <c r="G1976" s="23" t="n">
        <v>3390</v>
      </c>
      <c r="H1976" s="23" t="n">
        <v>2905</v>
      </c>
      <c r="I1976" s="21" t="inlineStr">
        <is>
          <t>ID постачальника збігся, але назви різні</t>
        </is>
      </c>
    </row>
    <row r="1977">
      <c r="A1977" s="22" t="n">
        <v>27.5</v>
      </c>
      <c r="B1977" s="22" t="inlineStr">
        <is>
          <t>Клуб Рослин</t>
        </is>
      </c>
      <c r="C1977" s="22" t="inlineStr">
        <is>
          <t>7212</t>
        </is>
      </c>
      <c r="D1977" s="22" t="inlineStr">
        <is>
          <t>7212</t>
        </is>
      </c>
      <c r="E1977" s="21" t="inlineStr">
        <is>
          <t>Добриво Вуксал Аміноплант рН Wyxal Aminoplant рН 10 л Unifer Уніфер Німеччина</t>
        </is>
      </c>
      <c r="F1977" s="21" t="inlineStr">
        <is>
          <t>Троянда гібридний(а) Сутін SP G</t>
        </is>
      </c>
      <c r="G1977" s="23" t="n">
        <v>3312</v>
      </c>
      <c r="H1977" s="23" t="n">
        <v>44</v>
      </c>
      <c r="I1977" s="21" t="inlineStr">
        <is>
          <t>ID постачальника збігся, але різні бренди</t>
        </is>
      </c>
    </row>
    <row r="1978">
      <c r="A1978" s="22" t="n">
        <v>27.5</v>
      </c>
      <c r="B1978" s="22" t="inlineStr">
        <is>
          <t>Клуб Рослин</t>
        </is>
      </c>
      <c r="C1978" s="22" t="inlineStr">
        <is>
          <t>7158</t>
        </is>
      </c>
      <c r="D1978" s="22" t="inlineStr">
        <is>
          <t>7158</t>
        </is>
      </c>
      <c r="E1978" s="21" t="inlineStr">
        <is>
          <t>Добриво Келік Калій (Kelik Potassium) 5 л Вітера Atlantica Agricola Іспанія</t>
        </is>
      </c>
      <c r="F1978" s="21" t="inlineStr">
        <is>
          <t>Троянда гібридний(а) Шопен DP PC18 C2</t>
        </is>
      </c>
      <c r="G1978" s="23" t="n">
        <v>3198</v>
      </c>
      <c r="H1978" s="23" t="n">
        <v>85</v>
      </c>
      <c r="I1978" s="21" t="inlineStr">
        <is>
          <t>ID постачальника збігся, але різні бренди</t>
        </is>
      </c>
    </row>
    <row r="1979">
      <c r="A1979" s="22" t="n">
        <v>27.5</v>
      </c>
      <c r="B1979" s="22" t="inlineStr">
        <is>
          <t>Клуб Рослин</t>
        </is>
      </c>
      <c r="C1979" s="22" t="inlineStr">
        <is>
          <t>15.104</t>
        </is>
      </c>
      <c r="D1979" s="22" t="inlineStr">
        <is>
          <t>15104</t>
        </is>
      </c>
      <c r="E1979" s="21" t="inlineStr">
        <is>
          <t>Секатор садовий LOWE Original 15.104</t>
        </is>
      </c>
      <c r="F1979" s="21" t="inlineStr">
        <is>
          <t>Ялівець китайський Стрікта Варієгата PC C7,5</t>
        </is>
      </c>
      <c r="G1979" s="23" t="n">
        <v>1850</v>
      </c>
      <c r="H1979" s="23" t="n">
        <v>420</v>
      </c>
      <c r="I1979" s="21" t="inlineStr">
        <is>
          <t>ID постачальника збігся, але різні бренди</t>
        </is>
      </c>
    </row>
    <row r="1980">
      <c r="A1980" s="22" t="n">
        <v>27.5</v>
      </c>
      <c r="B1980" s="22" t="inlineStr">
        <is>
          <t>Клуб Рослин</t>
        </is>
      </c>
      <c r="C1980" s="22" t="inlineStr">
        <is>
          <t>8144</t>
        </is>
      </c>
      <c r="D1980" s="22" t="inlineStr">
        <is>
          <t>8144</t>
        </is>
      </c>
      <c r="E1980" s="21" t="inlineStr">
        <is>
          <t>Добриво Неовіт Кобре / Neovit Cobre 1 л Bioera Іспанія</t>
        </is>
      </c>
      <c r="F1980" s="21" t="inlineStr">
        <is>
          <t>Виноград культурний Кишмиш лучистий (столовий) NN GK</t>
        </is>
      </c>
      <c r="G1980" s="23" t="n">
        <v>1404</v>
      </c>
      <c r="H1980" s="23" t="n">
        <v>70</v>
      </c>
      <c r="I1980" s="21" t="inlineStr">
        <is>
          <t>ID постачальника збігся, але різні бренди</t>
        </is>
      </c>
    </row>
    <row r="1981">
      <c r="A1981" s="22" t="n">
        <v>27.5</v>
      </c>
      <c r="B1981" s="22" t="inlineStr">
        <is>
          <t>Клуб Рослин</t>
        </is>
      </c>
      <c r="C1981" s="22" t="inlineStr">
        <is>
          <t>7426</t>
        </is>
      </c>
      <c r="D1981" s="22" t="inlineStr">
        <is>
          <t>7426</t>
        </is>
      </c>
      <c r="E1981" s="21" t="inlineStr">
        <is>
          <t>Добриво GroGreen Gel Ca-B-Sul (Кальцій-Бор-Сірка) 1 кг Lima Бельгія</t>
        </is>
      </c>
      <c r="F1981" s="21" t="inlineStr">
        <is>
          <t>Бузок звичайний Мішель Бюхнер PC17 C10 / Pa80-100</t>
        </is>
      </c>
      <c r="G1981" s="23" t="n">
        <v>1014</v>
      </c>
      <c r="H1981" s="23" t="n">
        <v>549</v>
      </c>
      <c r="I1981" s="21" t="inlineStr">
        <is>
          <t>ID постачальника збігся, але назви різні</t>
        </is>
      </c>
    </row>
    <row r="1982">
      <c r="A1982" s="22" t="n">
        <v>27.5</v>
      </c>
      <c r="B1982" s="22" t="inlineStr">
        <is>
          <t>Клуб Рослин</t>
        </is>
      </c>
      <c r="C1982" s="22" t="inlineStr">
        <is>
          <t>7215</t>
        </is>
      </c>
      <c r="D1982" s="22" t="inlineStr">
        <is>
          <t>7215</t>
        </is>
      </c>
      <c r="E1982" s="21" t="inlineStr">
        <is>
          <t>Добриво-антистресант AgriFlex Amino Zn Агріфлекс Аміно Цинк 1 кг CityMax</t>
        </is>
      </c>
      <c r="F1982" s="21" t="inlineStr">
        <is>
          <t>Троянда гібридний(а) Топаз SP G</t>
        </is>
      </c>
      <c r="G1982" s="23" t="n">
        <v>625</v>
      </c>
      <c r="H1982" s="23" t="n">
        <v>44</v>
      </c>
      <c r="I1982" s="21" t="inlineStr">
        <is>
          <t>ID постачальника збігся, але різні бренди</t>
        </is>
      </c>
    </row>
    <row r="1983">
      <c r="A1983" s="22" t="n">
        <v>27.5</v>
      </c>
      <c r="B1983" s="22" t="inlineStr">
        <is>
          <t>Клуб Рослин</t>
        </is>
      </c>
      <c r="C1983" s="22" t="inlineStr">
        <is>
          <t>3232</t>
        </is>
      </c>
      <c r="D1983" s="22" t="inlineStr">
        <is>
          <t>3232</t>
        </is>
      </c>
      <c r="E1983" s="21" t="inlineStr">
        <is>
          <t>Фунгіцид Віоліс 1 л Ukravit Укравіт Україна</t>
        </is>
      </c>
      <c r="F1983" s="21" t="inlineStr">
        <is>
          <t>Ліквідамбар (Амброве дерево) смолоносний Woodenbox 100 / H500-550 / o20-25</t>
        </is>
      </c>
      <c r="G1983" s="23" t="n">
        <v>598</v>
      </c>
      <c r="H1983" s="23" t="n">
        <v>18216</v>
      </c>
      <c r="I1983" s="21" t="inlineStr">
        <is>
          <t>ID постачальника збігся, але різні бренди</t>
        </is>
      </c>
    </row>
    <row r="1984">
      <c r="A1984" s="22" t="n">
        <v>27.5</v>
      </c>
      <c r="B1984" s="22" t="inlineStr">
        <is>
          <t>Клуб Рослин</t>
        </is>
      </c>
      <c r="C1984" s="22" t="inlineStr">
        <is>
          <t>3427</t>
        </is>
      </c>
      <c r="D1984" s="22" t="inlineStr">
        <is>
          <t>3427</t>
        </is>
      </c>
      <c r="E1984" s="21" t="inlineStr">
        <is>
          <t>Фунгіцид СпороМакс Т 1 кг Імекс Агро Україна</t>
        </is>
      </c>
      <c r="F1984" s="21" t="inlineStr">
        <is>
          <t>Магнолія Лебнера Меррілл C55 / H200-250</t>
        </is>
      </c>
      <c r="G1984" s="23" t="n">
        <v>248</v>
      </c>
      <c r="H1984" s="23" t="n">
        <v>4325</v>
      </c>
      <c r="I1984" s="21" t="inlineStr">
        <is>
          <t>ID постачальника збігся, але назви різні</t>
        </is>
      </c>
    </row>
    <row r="1985">
      <c r="A1985" s="22" t="n">
        <v>27.5</v>
      </c>
      <c r="B1985" s="22" t="inlineStr">
        <is>
          <t>Клуб Рослин</t>
        </is>
      </c>
      <c r="C1985" s="22" t="inlineStr">
        <is>
          <t>7085</t>
        </is>
      </c>
      <c r="D1985" s="22" t="inlineStr">
        <is>
          <t>7085</t>
        </is>
      </c>
      <c r="E1985" s="21" t="inlineStr">
        <is>
          <t>Біостимулятор МаксіКроп Сет Maxicrop Set 100 мл Valagro Валагро Італія</t>
        </is>
      </c>
      <c r="F1985" s="21" t="inlineStr">
        <is>
          <t>Троянда плетиста Блю Мун PC17 C2</t>
        </is>
      </c>
      <c r="G1985" s="23" t="n">
        <v>175</v>
      </c>
      <c r="H1985" s="23" t="n">
        <v>70</v>
      </c>
      <c r="I1985" s="21" t="inlineStr">
        <is>
          <t>ID постачальника збігся, але назви різні</t>
        </is>
      </c>
    </row>
    <row r="1986">
      <c r="A1986" s="22" t="n">
        <v>27.4</v>
      </c>
      <c r="B1986" s="22" t="inlineStr">
        <is>
          <t>Клуб Рослин</t>
        </is>
      </c>
      <c r="C1986" s="22" t="inlineStr">
        <is>
          <t>3149</t>
        </is>
      </c>
      <c r="D1986" s="22" t="inlineStr">
        <is>
          <t>3149</t>
        </is>
      </c>
      <c r="E1986" s="21" t="inlineStr">
        <is>
          <t>Фунгіцид Сетар 375 SC к с 5 л Syngenta Сингента Швейцария</t>
        </is>
      </c>
      <c r="F1986" s="21" t="inlineStr">
        <is>
          <t>Лілія азіатська гібридна Ландіні 12\14</t>
        </is>
      </c>
      <c r="G1986" s="23" t="n">
        <v>7488</v>
      </c>
      <c r="H1986" s="23" t="n">
        <v>50</v>
      </c>
      <c r="I1986" s="21" t="inlineStr">
        <is>
          <t>ID постачальника збігся, але назви різні</t>
        </is>
      </c>
    </row>
    <row r="1987">
      <c r="A1987" s="22" t="n">
        <v>27.4</v>
      </c>
      <c r="B1987" s="22" t="inlineStr">
        <is>
          <t>Клуб Рослин</t>
        </is>
      </c>
      <c r="C1987" s="22" t="inlineStr">
        <is>
          <t>7681</t>
        </is>
      </c>
      <c r="D1987" s="22" t="inlineStr">
        <is>
          <t>7681</t>
        </is>
      </c>
      <c r="E1987" s="21" t="inlineStr">
        <is>
          <t>Добриво BRANDT Reaction / Брендт Реакшн Сірка ДС 21-0-0+23S 10 кг США</t>
        </is>
      </c>
      <c r="F1987" s="21" t="inlineStr">
        <is>
          <t>Туя західна (ий) Брабант PC20 C5</t>
        </is>
      </c>
      <c r="G1987" s="23" t="n">
        <v>4987</v>
      </c>
      <c r="H1987" s="23" t="n">
        <v>240</v>
      </c>
      <c r="I1987" s="21" t="inlineStr">
        <is>
          <t>ID постачальника збігся, але назви різні</t>
        </is>
      </c>
    </row>
    <row r="1988">
      <c r="A1988" s="22" t="n">
        <v>27.4</v>
      </c>
      <c r="B1988" s="22" t="inlineStr">
        <is>
          <t>Клуб Рослин</t>
        </is>
      </c>
      <c r="C1988" s="22" t="inlineStr">
        <is>
          <t>3003</t>
        </is>
      </c>
      <c r="D1988" s="22" t="inlineStr">
        <is>
          <t>3003</t>
        </is>
      </c>
      <c r="E1988" s="21" t="inlineStr">
        <is>
          <t>Фунгіцид Скала 3 л Bayer Байєр Німеччина</t>
        </is>
      </c>
      <c r="F1988" s="21" t="inlineStr">
        <is>
          <t>Ялівець середній Мінт Джулеп C7,5</t>
        </is>
      </c>
      <c r="G1988" s="23" t="n">
        <v>4648</v>
      </c>
      <c r="H1988" s="23" t="n">
        <v>290</v>
      </c>
      <c r="I1988" s="21" t="inlineStr">
        <is>
          <t>ID постачальника збігся, але назви різні</t>
        </is>
      </c>
    </row>
    <row r="1989">
      <c r="A1989" s="22" t="n">
        <v>27.4</v>
      </c>
      <c r="B1989" s="22" t="inlineStr">
        <is>
          <t>Клуб Рослин</t>
        </is>
      </c>
      <c r="C1989" s="22" t="inlineStr">
        <is>
          <t>7637</t>
        </is>
      </c>
      <c r="D1989" s="22" t="inlineStr">
        <is>
          <t>7637</t>
        </is>
      </c>
      <c r="E1989" s="21" t="inlineStr">
        <is>
          <t>Укорінювач Ризопон Powder AA 1% 500 г Rhizopon B.V. Нідерланди</t>
        </is>
      </c>
      <c r="F1989" s="21" t="inlineStr">
        <is>
          <t>Тис середній Хілліі PC18 C20 / H80-100</t>
        </is>
      </c>
      <c r="G1989" s="23" t="n">
        <v>4238</v>
      </c>
      <c r="H1989" s="23" t="n">
        <v>1044</v>
      </c>
      <c r="I1989" s="21" t="inlineStr">
        <is>
          <t>ID постачальника збігся, але назви різні</t>
        </is>
      </c>
    </row>
    <row r="1990">
      <c r="A1990" s="22" t="n">
        <v>27.4</v>
      </c>
      <c r="B1990" s="22" t="inlineStr">
        <is>
          <t>Клуб Рослин</t>
        </is>
      </c>
      <c r="C1990" s="22" t="inlineStr">
        <is>
          <t>7340</t>
        </is>
      </c>
      <c r="D1990" s="22" t="inlineStr">
        <is>
          <t>7340</t>
        </is>
      </c>
      <c r="E1990" s="21" t="inlineStr">
        <is>
          <t>Добриво Мерістем Meristem NPK 8-4-42+2MgO+Mix 25 кг Іспанія</t>
        </is>
      </c>
      <c r="F1990" s="21" t="inlineStr">
        <is>
          <t>Спірея японська Ентоні Ватерер PC16 C3</t>
        </is>
      </c>
      <c r="G1990" s="23" t="n">
        <v>4193</v>
      </c>
      <c r="H1990" s="23" t="n">
        <v>85</v>
      </c>
      <c r="I1990" s="21" t="inlineStr">
        <is>
          <t>ID постачальника збігся, але назви різні</t>
        </is>
      </c>
    </row>
    <row r="1991">
      <c r="A1991" s="22" t="n">
        <v>27.4</v>
      </c>
      <c r="B1991" s="22" t="inlineStr">
        <is>
          <t>Клуб Рослин</t>
        </is>
      </c>
      <c r="C1991" s="22" t="inlineStr">
        <is>
          <t>9016</t>
        </is>
      </c>
      <c r="D1991" s="22" t="inlineStr">
        <is>
          <t>9016</t>
        </is>
      </c>
      <c r="E1991" s="21" t="inlineStr">
        <is>
          <t>Регулятор кислотності Візуал pH / Visual pH 5 л Meristem Мерістем Іспанія</t>
        </is>
      </c>
      <c r="F1991" s="21" t="inlineStr">
        <is>
          <t>Дерев'яна ручка 1,3 м Штокер Stocker 2223</t>
        </is>
      </c>
      <c r="G1991" s="23" t="n">
        <v>2235</v>
      </c>
      <c r="H1991" s="23" t="n">
        <v>330</v>
      </c>
      <c r="I1991" s="21" t="inlineStr">
        <is>
          <t>ID постачальника збігся, але різні об'єми або розміри</t>
        </is>
      </c>
    </row>
    <row r="1992">
      <c r="A1992" s="22" t="n">
        <v>27.4</v>
      </c>
      <c r="B1992" s="22" t="inlineStr">
        <is>
          <t>Клуб Рослин</t>
        </is>
      </c>
      <c r="C1992" s="22" t="inlineStr">
        <is>
          <t>4032</t>
        </is>
      </c>
      <c r="D1992" s="22" t="inlineStr">
        <is>
          <t>4032</t>
        </is>
      </c>
      <c r="E1992" s="21" t="inlineStr">
        <is>
          <t>Родентицид Шах і Мат 7 кг Olkar Олкар Україна</t>
        </is>
      </c>
      <c r="F1992" s="21" t="inlineStr">
        <is>
          <t>Ялина двоколірна C15 / H130-150</t>
        </is>
      </c>
      <c r="G1992" s="23" t="n">
        <v>948</v>
      </c>
      <c r="H1992" s="23" t="n">
        <v>2112</v>
      </c>
      <c r="I1992" s="21" t="inlineStr">
        <is>
          <t>ID постачальника збігся, але назви різні</t>
        </is>
      </c>
    </row>
    <row r="1993">
      <c r="A1993" s="22" t="n">
        <v>27.4</v>
      </c>
      <c r="B1993" s="22" t="inlineStr">
        <is>
          <t>Клуб Рослин</t>
        </is>
      </c>
      <c r="C1993" s="22" t="inlineStr">
        <is>
          <t>7387</t>
        </is>
      </c>
      <c r="D1993" s="22" t="inlineStr">
        <is>
          <t>7387</t>
        </is>
      </c>
      <c r="E1993" s="21" t="inlineStr">
        <is>
          <t>Добриво Кальцій Хелат / Ca Chelate 1 л SmartGrow Україна</t>
        </is>
      </c>
      <c r="F1993" s="21" t="inlineStr">
        <is>
          <t>Спірея японська Неон Флеш PC15 C2,5 / H15-20</t>
        </is>
      </c>
      <c r="G1993" s="23" t="n">
        <v>644</v>
      </c>
      <c r="H1993" s="23" t="n">
        <v>85</v>
      </c>
      <c r="I1993" s="21" t="inlineStr">
        <is>
          <t>ID постачальника збігся, але назви різні</t>
        </is>
      </c>
    </row>
    <row r="1994">
      <c r="A1994" s="22" t="n">
        <v>27.4</v>
      </c>
      <c r="B1994" s="22" t="inlineStr">
        <is>
          <t>Клуб Рослин</t>
        </is>
      </c>
      <c r="C1994" s="22" t="inlineStr">
        <is>
          <t>7267</t>
        </is>
      </c>
      <c r="D1994" s="22" t="inlineStr">
        <is>
          <t>7267</t>
        </is>
      </c>
      <c r="E1994" s="21" t="inlineStr">
        <is>
          <t>Вуксал Кальций Wuxal Ca 1 л Unifer Уніфер Німечина</t>
        </is>
      </c>
      <c r="F1994" s="21" t="inlineStr">
        <is>
          <t>Троянда паркова Софія Ренесанс Штамб GK / Pa100</t>
        </is>
      </c>
      <c r="G1994" s="23" t="n">
        <v>450</v>
      </c>
      <c r="H1994" s="23" t="n">
        <v>420</v>
      </c>
      <c r="I1994" s="21" t="inlineStr">
        <is>
          <t>ID постачальника збігся, але різні бренди</t>
        </is>
      </c>
    </row>
    <row r="1995">
      <c r="A1995" s="22" t="n">
        <v>27.4</v>
      </c>
      <c r="B1995" s="22" t="inlineStr">
        <is>
          <t>Клуб Рослин</t>
        </is>
      </c>
      <c r="C1995" s="22" t="inlineStr">
        <is>
          <t>7705</t>
        </is>
      </c>
      <c r="D1995" s="22" t="inlineStr">
        <is>
          <t>7705</t>
        </is>
      </c>
      <c r="E1995" s="21" t="inlineStr">
        <is>
          <t>Добриво Рівал / Rival 1 л Кіссон Україна</t>
        </is>
      </c>
      <c r="F1995" s="21" t="inlineStr">
        <is>
          <t>Туя західна (ий) Даніка K20 C65 / H60-70</t>
        </is>
      </c>
      <c r="G1995" s="23" t="n">
        <v>340</v>
      </c>
      <c r="H1995" s="23" t="n">
        <v>540</v>
      </c>
      <c r="I1995" s="21" t="inlineStr">
        <is>
          <t>ID постачальника збігся, але назви різні</t>
        </is>
      </c>
    </row>
    <row r="1996">
      <c r="A1996" s="22" t="n">
        <v>27.3</v>
      </c>
      <c r="B1996" s="22" t="inlineStr">
        <is>
          <t>Клуб Рослин</t>
        </is>
      </c>
      <c r="C1996" s="22" t="inlineStr">
        <is>
          <t>8078</t>
        </is>
      </c>
      <c r="D1996" s="22" t="inlineStr">
        <is>
          <t>8078</t>
        </is>
      </c>
      <c r="E1996" s="21" t="inlineStr">
        <is>
          <t>Добриво Осмокот / Osmocote Pro Hghi K 11-11-19 (5-6 М) 25 кг ICL Нідерланди</t>
        </is>
      </c>
      <c r="F1996" s="21" t="inlineStr">
        <is>
          <t>Тюльпан звичайний пізній Куін оф Найт 11/12</t>
        </is>
      </c>
      <c r="G1996" s="23" t="n">
        <v>7565</v>
      </c>
      <c r="H1996" s="23" t="n">
        <v>10</v>
      </c>
      <c r="I1996" s="21" t="inlineStr">
        <is>
          <t>ID постачальника збігся, але назви різні</t>
        </is>
      </c>
    </row>
    <row r="1997">
      <c r="A1997" s="22" t="n">
        <v>27.3</v>
      </c>
      <c r="B1997" s="22" t="inlineStr">
        <is>
          <t>Клуб Рослин</t>
        </is>
      </c>
      <c r="C1997" s="22" t="inlineStr">
        <is>
          <t>1066</t>
        </is>
      </c>
      <c r="D1997" s="22" t="inlineStr">
        <is>
          <t>1066</t>
        </is>
      </c>
      <c r="E1997" s="21" t="inlineStr">
        <is>
          <t>Гербіцид Містраль 5 кг Аdama Адама Ізраїль</t>
        </is>
      </c>
      <c r="F1997" s="21" t="inlineStr">
        <is>
          <t>Береза плакуча (ий) Янгіі PC19 C45 / H300-400 / o10-12</t>
        </is>
      </c>
      <c r="G1997" s="23" t="n">
        <v>6240</v>
      </c>
      <c r="H1997" s="23" t="n">
        <v>3422</v>
      </c>
      <c r="I1997" s="21" t="inlineStr">
        <is>
          <t>ID постачальника збігся, але назви різні</t>
        </is>
      </c>
    </row>
    <row r="1998">
      <c r="A1998" s="22" t="n">
        <v>27.3</v>
      </c>
      <c r="B1998" s="22" t="inlineStr">
        <is>
          <t>Клуб Рослин</t>
        </is>
      </c>
      <c r="C1998" s="22" t="inlineStr">
        <is>
          <t>1151</t>
        </is>
      </c>
      <c r="D1998" s="22" t="inlineStr">
        <is>
          <t>1151</t>
        </is>
      </c>
      <c r="E1998" s="21" t="inlineStr">
        <is>
          <t>Гербіцид Бутізан 400 КС 5 л Basf Басф Німеччина</t>
        </is>
      </c>
      <c r="F1998" s="21" t="inlineStr">
        <is>
          <t>Калла Піч Шиффон 14+</t>
        </is>
      </c>
      <c r="G1998" s="23" t="n">
        <v>5725</v>
      </c>
      <c r="H1998" s="23" t="n">
        <v>60</v>
      </c>
      <c r="I1998" s="21" t="inlineStr">
        <is>
          <t>ID постачальника збігся, але назви різні</t>
        </is>
      </c>
    </row>
    <row r="1999">
      <c r="A1999" s="22" t="n">
        <v>27.3</v>
      </c>
      <c r="B1999" s="22" t="inlineStr">
        <is>
          <t>Клуб Рослин</t>
        </is>
      </c>
      <c r="C1999" s="22" t="inlineStr">
        <is>
          <t>3221</t>
        </is>
      </c>
      <c r="D1999" s="22" t="inlineStr">
        <is>
          <t>3221</t>
        </is>
      </c>
      <c r="E1999" s="21" t="inlineStr">
        <is>
          <t>Фунгіцид Юніформ 446 SE CE 1 л Syngenta Сингента Швейцарія</t>
        </is>
      </c>
      <c r="F1999" s="21" t="inlineStr">
        <is>
          <t>Ліквідамбар (Амброве дерево) смолоносний C35 / o6-8 / Pa150</t>
        </is>
      </c>
      <c r="G1999" s="23" t="n">
        <v>4775</v>
      </c>
      <c r="H1999" s="23" t="n">
        <v>5400</v>
      </c>
      <c r="I1999" s="21" t="inlineStr">
        <is>
          <t>ID постачальника збігся, але назви різні</t>
        </is>
      </c>
    </row>
    <row r="2000">
      <c r="A2000" s="22" t="n">
        <v>27.3</v>
      </c>
      <c r="B2000" s="22" t="inlineStr">
        <is>
          <t>Клуб Рослин</t>
        </is>
      </c>
      <c r="C2000" s="22" t="inlineStr">
        <is>
          <t>3442</t>
        </is>
      </c>
      <c r="D2000" s="22" t="inlineStr">
        <is>
          <t>3442</t>
        </is>
      </c>
      <c r="E2000" s="21" t="inlineStr">
        <is>
          <t>Фунгіцид Супрім 5 л Adama Адама Ізраїль</t>
        </is>
      </c>
      <c r="F2000" s="21" t="inlineStr">
        <is>
          <t>Магнолія Рікі PC21 C3 / H60-70</t>
        </is>
      </c>
      <c r="G2000" s="23" t="n">
        <v>3998</v>
      </c>
      <c r="H2000" s="23" t="n">
        <v>298</v>
      </c>
      <c r="I2000" s="21" t="inlineStr">
        <is>
          <t>ID постачальника збігся, але назви різні</t>
        </is>
      </c>
    </row>
    <row r="2001">
      <c r="A2001" s="22" t="n">
        <v>27.3</v>
      </c>
      <c r="B2001" s="22" t="inlineStr">
        <is>
          <t>Клуб Рослин</t>
        </is>
      </c>
      <c r="C2001" s="22" t="inlineStr">
        <is>
          <t>7.109</t>
        </is>
      </c>
      <c r="D2001" s="22" t="inlineStr">
        <is>
          <t>7109</t>
        </is>
      </c>
      <c r="E2001" s="21" t="inlineStr">
        <is>
          <t>Секатор садовий із наковаленкою Льове / Lowe Original (7.109) Німеччина</t>
        </is>
      </c>
      <c r="F2001" s="21" t="inlineStr">
        <is>
          <t>Троянда плетиста Перпешуалі Йорс DP PC18 C5</t>
        </is>
      </c>
      <c r="G2001" s="23" t="n">
        <v>3300</v>
      </c>
      <c r="H2001" s="23" t="n">
        <v>144</v>
      </c>
      <c r="I2001" s="21" t="inlineStr">
        <is>
          <t>ID постачальника збігся, але різні бренди</t>
        </is>
      </c>
    </row>
    <row r="2002">
      <c r="A2002" s="22" t="n">
        <v>27.3</v>
      </c>
      <c r="B2002" s="22" t="inlineStr">
        <is>
          <t>Клуб Рослин</t>
        </is>
      </c>
      <c r="C2002" s="22" t="inlineStr">
        <is>
          <t>3306</t>
        </is>
      </c>
      <c r="D2002" s="22" t="inlineStr">
        <is>
          <t>3306</t>
        </is>
      </c>
      <c r="E2002" s="21" t="inlineStr">
        <is>
          <t>Фунгіцид Бродвей КС 5 л Хімагромаркетинг Україна</t>
        </is>
      </c>
      <c r="F2002" s="21" t="inlineStr">
        <is>
          <t>Магнолія бруклинська Єллоу Бьорд Soliter Woodenbox 600 / H300-350</t>
        </is>
      </c>
      <c r="G2002" s="23" t="n">
        <v>3248</v>
      </c>
      <c r="H2002" s="23" t="n">
        <v>30139</v>
      </c>
      <c r="I2002" s="21" t="inlineStr">
        <is>
          <t>ID постачальника збігся, але назви різні</t>
        </is>
      </c>
    </row>
    <row r="2003">
      <c r="A2003" s="22" t="n">
        <v>27.3</v>
      </c>
      <c r="B2003" s="22" t="inlineStr">
        <is>
          <t>Клуб Рослин</t>
        </is>
      </c>
      <c r="C2003" s="22" t="inlineStr">
        <is>
          <t>2268</t>
        </is>
      </c>
      <c r="D2003" s="22" t="inlineStr">
        <is>
          <t>2268</t>
        </is>
      </c>
      <c r="E2003" s="21" t="inlineStr">
        <is>
          <t>Інсектицид Juvinal Gold / Джувінал Голд КЕ 1 л Sumitomo Chemical Японія</t>
        </is>
      </c>
      <c r="F2003" s="21" t="inlineStr">
        <is>
          <t>Гортензія волотиста Меджікал Андс PC21 C3</t>
        </is>
      </c>
      <c r="G2003" s="23" t="n">
        <v>2498</v>
      </c>
      <c r="H2003" s="23" t="n">
        <v>240</v>
      </c>
      <c r="I2003" s="21" t="inlineStr">
        <is>
          <t>ID постачальника збігся, але назви різні</t>
        </is>
      </c>
    </row>
    <row r="2004">
      <c r="A2004" s="22" t="n">
        <v>27.3</v>
      </c>
      <c r="B2004" s="22" t="inlineStr">
        <is>
          <t>Клуб Рослин</t>
        </is>
      </c>
      <c r="C2004" s="22" t="inlineStr">
        <is>
          <t>7726</t>
        </is>
      </c>
      <c r="D2004" s="22" t="inlineStr">
        <is>
          <t>7726</t>
        </is>
      </c>
      <c r="E2004" s="21" t="inlineStr">
        <is>
          <t>Біостимулятор Текамін Флауер / Tecamin Flower 1 л AgriTecno Іспанія</t>
        </is>
      </c>
      <c r="F2004" s="21" t="inlineStr">
        <is>
          <t>Туя західна (ий) Глобоза Компакта K20 C65 / H50-60</t>
        </is>
      </c>
      <c r="G2004" s="23" t="n">
        <v>910</v>
      </c>
      <c r="H2004" s="23" t="n">
        <v>720</v>
      </c>
      <c r="I2004" s="21" t="inlineStr">
        <is>
          <t>ID постачальника збігся, але назви різні</t>
        </is>
      </c>
    </row>
    <row r="2005">
      <c r="A2005" s="22" t="n">
        <v>27.3</v>
      </c>
      <c r="B2005" s="22" t="inlineStr">
        <is>
          <t>Клуб Рослин</t>
        </is>
      </c>
      <c r="C2005" s="22" t="inlineStr">
        <is>
          <t>7330</t>
        </is>
      </c>
      <c r="D2005" s="22" t="inlineStr">
        <is>
          <t>7330</t>
        </is>
      </c>
      <c r="E2005" s="21" t="inlineStr">
        <is>
          <t>Добриво Кафом Цинк-Марганець / Kafom Zn-Mn 1 л Meristem Мерістем Іспанія</t>
        </is>
      </c>
      <c r="F2005" s="21" t="inlineStr">
        <is>
          <t>Спірея березолиста Тор Голд PC21 C3 / H20-25</t>
        </is>
      </c>
      <c r="G2005" s="23" t="n">
        <v>888</v>
      </c>
      <c r="H2005" s="23" t="n">
        <v>151</v>
      </c>
      <c r="I2005" s="21" t="inlineStr">
        <is>
          <t>ID постачальника збігся, але назви різні</t>
        </is>
      </c>
    </row>
    <row r="2006">
      <c r="A2006" s="22" t="n">
        <v>27.3</v>
      </c>
      <c r="B2006" s="22" t="inlineStr">
        <is>
          <t>Клуб Рослин</t>
        </is>
      </c>
      <c r="C2006" s="22" t="inlineStr">
        <is>
          <t>2251</t>
        </is>
      </c>
      <c r="D2006" s="22" t="inlineStr">
        <is>
          <t>2251</t>
        </is>
      </c>
      <c r="E2006" s="21" t="inlineStr">
        <is>
          <t>Біоінсектицид Верміцид 1 кг Enzim Biotech Agro / Ензим Біотех Агро Україна</t>
        </is>
      </c>
      <c r="F2006" s="21" t="inlineStr">
        <is>
          <t>Гортензія волотиста Літтл Альф ® PC21 C3</t>
        </is>
      </c>
      <c r="G2006" s="23" t="n">
        <v>747</v>
      </c>
      <c r="H2006" s="23" t="n">
        <v>240</v>
      </c>
      <c r="I2006" s="21" t="inlineStr">
        <is>
          <t>ID постачальника збігся, але назви різні</t>
        </is>
      </c>
    </row>
    <row r="2007">
      <c r="A2007" s="22" t="n">
        <v>27.3</v>
      </c>
      <c r="B2007" s="22" t="inlineStr">
        <is>
          <t>Клуб Рослин</t>
        </is>
      </c>
      <c r="C2007" s="22" t="inlineStr">
        <is>
          <t>7040</t>
        </is>
      </c>
      <c r="D2007" s="22" t="inlineStr">
        <is>
          <t>7040</t>
        </is>
      </c>
      <c r="E2007" s="21" t="inlineStr">
        <is>
          <t>Добриво Брексіл Мікс Brexil Mix 1 кг Syngenta (Valagro) Італія</t>
        </is>
      </c>
      <c r="F2007" s="21" t="inlineStr">
        <is>
          <t>Рододендрон якушиманський Моргенрот Штамб C10 / Pa80</t>
        </is>
      </c>
      <c r="G2007" s="23" t="n">
        <v>685</v>
      </c>
      <c r="H2007" s="23" t="n">
        <v>1720</v>
      </c>
      <c r="I2007" s="21" t="inlineStr">
        <is>
          <t>ID постачальника збігся, але назви різні</t>
        </is>
      </c>
    </row>
    <row r="2008">
      <c r="A2008" s="22" t="n">
        <v>27.3</v>
      </c>
      <c r="B2008" s="22" t="inlineStr">
        <is>
          <t>Клуб Рослин</t>
        </is>
      </c>
      <c r="C2008" s="22" t="inlineStr">
        <is>
          <t>7827</t>
        </is>
      </c>
      <c r="D2008" s="22" t="inlineStr">
        <is>
          <t>7827</t>
        </is>
      </c>
      <c r="E2008" s="21" t="inlineStr">
        <is>
          <t>Добриво Савіахумік Л / Saviahumik L 1 л Bioerа Іспанія</t>
        </is>
      </c>
      <c r="F2008" s="21" t="inlineStr">
        <is>
          <t>Туя західна (ий) Смарагд K19 C20 / H80-100</t>
        </is>
      </c>
      <c r="G2008" s="23" t="n">
        <v>676</v>
      </c>
      <c r="H2008" s="23" t="n">
        <v>406</v>
      </c>
      <c r="I2008" s="21" t="inlineStr">
        <is>
          <t>ID постачальника збігся, але назви різні</t>
        </is>
      </c>
    </row>
    <row r="2009">
      <c r="A2009" s="22" t="n">
        <v>27.3</v>
      </c>
      <c r="B2009" s="22" t="inlineStr">
        <is>
          <t>Клуб Рослин</t>
        </is>
      </c>
      <c r="C2009" s="22" t="inlineStr">
        <is>
          <t>1169</t>
        </is>
      </c>
      <c r="D2009" s="22" t="inlineStr">
        <is>
          <t>1169</t>
        </is>
      </c>
      <c r="E2009" s="21" t="inlineStr">
        <is>
          <t>Гербіцид Майстер Пауер 250 мл (розлив) Bayer Байєр Німеччина</t>
        </is>
      </c>
      <c r="F2009" s="21" t="inlineStr">
        <is>
          <t>Кампсіс укорінливий Флоріда C2</t>
        </is>
      </c>
      <c r="G2009" s="23" t="n">
        <v>498</v>
      </c>
      <c r="H2009" s="23" t="n">
        <v>216</v>
      </c>
      <c r="I2009" s="21" t="inlineStr">
        <is>
          <t>ID постачальника збігся, але назви різні</t>
        </is>
      </c>
    </row>
    <row r="2010">
      <c r="A2010" s="22" t="n">
        <v>27.3</v>
      </c>
      <c r="B2010" s="22" t="inlineStr">
        <is>
          <t>Клуб Рослин</t>
        </is>
      </c>
      <c r="C2010" s="22" t="inlineStr">
        <is>
          <t>2193</t>
        </is>
      </c>
      <c r="D2010" s="22" t="inlineStr">
        <is>
          <t>2193</t>
        </is>
      </c>
      <c r="E2010" s="21" t="inlineStr">
        <is>
          <t>Інсектицид Асистент 1 кг Агрохімічні Технології Україна</t>
        </is>
      </c>
      <c r="F2010" s="21" t="inlineStr">
        <is>
          <t>Гортензія волотиста Бобо ® C3 / H40-60</t>
        </is>
      </c>
      <c r="G2010" s="23" t="n">
        <v>498</v>
      </c>
      <c r="H2010" s="23" t="n">
        <v>305</v>
      </c>
      <c r="I2010" s="21" t="inlineStr">
        <is>
          <t>ID постачальника збігся, але назви різні</t>
        </is>
      </c>
    </row>
    <row r="2011">
      <c r="A2011" s="22" t="n">
        <v>27.3</v>
      </c>
      <c r="B2011" s="22" t="inlineStr">
        <is>
          <t>Клуб Рослин</t>
        </is>
      </c>
      <c r="C2011" s="22" t="inlineStr">
        <is>
          <t>7820</t>
        </is>
      </c>
      <c r="D2011" s="22" t="inlineStr">
        <is>
          <t>7820</t>
        </is>
      </c>
      <c r="E2011" s="21" t="inlineStr">
        <is>
          <t>Біостимулятор - антистресант Новамін Н (Азот) / Novamine N 250 мл Bioera Іспанія</t>
        </is>
      </c>
      <c r="F2011" s="21" t="inlineStr">
        <is>
          <t>Туя західна (ий) Смарагд K18 G / H100-120</t>
        </is>
      </c>
      <c r="G2011" s="23" t="n">
        <v>380</v>
      </c>
      <c r="H2011" s="23" t="n">
        <v>385</v>
      </c>
      <c r="I2011" s="21" t="inlineStr">
        <is>
          <t>ID постачальника збігся, але різні об'єми або розміри</t>
        </is>
      </c>
    </row>
    <row r="2012">
      <c r="A2012" s="22" t="n">
        <v>27.3</v>
      </c>
      <c r="B2012" s="22" t="inlineStr">
        <is>
          <t>Клуб Рослин</t>
        </is>
      </c>
      <c r="C2012" s="22" t="inlineStr">
        <is>
          <t>7833</t>
        </is>
      </c>
      <c r="D2012" s="22" t="inlineStr">
        <is>
          <t>7833</t>
        </is>
      </c>
      <c r="E2012" s="21" t="inlineStr">
        <is>
          <t>Добриво Кальційглюк / Calcigluc 250 мл Bioera Іспанія</t>
        </is>
      </c>
      <c r="F2012" s="21" t="inlineStr">
        <is>
          <t>Туя західна (ий) Смарагд K19 C25 / H80-100</t>
        </is>
      </c>
      <c r="G2012" s="23" t="n">
        <v>325</v>
      </c>
      <c r="H2012" s="23" t="n">
        <v>406</v>
      </c>
      <c r="I2012" s="21" t="inlineStr">
        <is>
          <t>ID постачальника збігся, але назви різні</t>
        </is>
      </c>
    </row>
    <row r="2013">
      <c r="A2013" s="22" t="n">
        <v>27.3</v>
      </c>
      <c r="B2013" s="22" t="inlineStr">
        <is>
          <t>Клуб Рослин</t>
        </is>
      </c>
      <c r="C2013" s="22" t="inlineStr">
        <is>
          <t>9099</t>
        </is>
      </c>
      <c r="D2013" s="22" t="inlineStr">
        <is>
          <t>9099</t>
        </is>
      </c>
      <c r="E2013" s="21" t="inlineStr">
        <is>
          <t>Регулятор кислотності Ад’ютант / Adjutant 1 кг Кіссон Україна</t>
        </is>
      </c>
      <c r="F2013" s="21" t="inlineStr">
        <is>
          <t>Добриво Ekote Agriculture Coated N 42-00-00 (5-6 місяців)</t>
        </is>
      </c>
      <c r="G2013" s="23" t="n">
        <v>321</v>
      </c>
      <c r="H2013" s="23" t="n">
        <v>64</v>
      </c>
      <c r="I2013" s="21" t="inlineStr">
        <is>
          <t>ID постачальника збігся, але різні бренди</t>
        </is>
      </c>
    </row>
    <row r="2014">
      <c r="A2014" s="22" t="n">
        <v>27.2</v>
      </c>
      <c r="B2014" s="22" t="inlineStr">
        <is>
          <t>Клуб Рослин</t>
        </is>
      </c>
      <c r="C2014" s="22" t="inlineStr">
        <is>
          <t>7099</t>
        </is>
      </c>
      <c r="D2014" s="22" t="inlineStr">
        <is>
          <t>7099</t>
        </is>
      </c>
      <c r="E2014" s="21" t="inlineStr">
        <is>
          <t>Мікродобриво Розасоль К 8-17-41+ME 25 кг Rosier SA Бельгія</t>
        </is>
      </c>
      <c r="F2014" s="21" t="inlineStr">
        <is>
          <t>Троянда плетиста Голден Шауерс DP PC19 C5 / H20-30</t>
        </is>
      </c>
      <c r="G2014" s="23" t="n">
        <v>3500</v>
      </c>
      <c r="H2014" s="23" t="n">
        <v>180</v>
      </c>
      <c r="I2014" s="21" t="inlineStr">
        <is>
          <t>ID постачальника збігся, але різні бренди</t>
        </is>
      </c>
    </row>
    <row r="2015">
      <c r="A2015" s="22" t="n">
        <v>27.2</v>
      </c>
      <c r="B2015" s="22" t="inlineStr">
        <is>
          <t>Клуб Рослин</t>
        </is>
      </c>
      <c r="C2015" s="22" t="inlineStr">
        <is>
          <t>7543</t>
        </is>
      </c>
      <c r="D2015" s="22" t="inlineStr">
        <is>
          <t>7543</t>
        </is>
      </c>
      <c r="E2015" s="21" t="inlineStr">
        <is>
          <t>Добриво Нітрат калію Potassium Nitrate 13-0-46 25 кг Кемапко Kemapco Йорданія</t>
        </is>
      </c>
      <c r="F2015" s="21" t="inlineStr">
        <is>
          <t>Тис ягідний (а) Піраміда Extra Woodenbox 600 / H200-225</t>
        </is>
      </c>
      <c r="G2015" s="23" t="n">
        <v>1925</v>
      </c>
      <c r="H2015" s="23" t="n">
        <v>20276</v>
      </c>
      <c r="I2015" s="21" t="inlineStr">
        <is>
          <t>ID постачальника збігся, але різні бренди</t>
        </is>
      </c>
    </row>
    <row r="2016">
      <c r="A2016" s="22" t="n">
        <v>27.2</v>
      </c>
      <c r="B2016" s="22" t="inlineStr">
        <is>
          <t>Клуб Рослин</t>
        </is>
      </c>
      <c r="C2016" s="22" t="inlineStr">
        <is>
          <t>8143</t>
        </is>
      </c>
      <c r="D2016" s="22" t="inlineStr">
        <is>
          <t>8143</t>
        </is>
      </c>
      <c r="E2016" s="21" t="inlineStr">
        <is>
          <t>Добриво Неовіт Кобре / Neovit Cobre 250 мл Bioera Іспанія</t>
        </is>
      </c>
      <c r="F2016" s="21" t="inlineStr">
        <is>
          <t>Виноград культурний Гурман ранній (столовий) NN GK</t>
        </is>
      </c>
      <c r="G2016" s="23" t="n">
        <v>468</v>
      </c>
      <c r="H2016" s="23" t="n">
        <v>80</v>
      </c>
      <c r="I2016" s="21" t="inlineStr">
        <is>
          <t>ID постачальника збігся, але різні бренди</t>
        </is>
      </c>
    </row>
    <row r="2017">
      <c r="A2017" s="22" t="n">
        <v>27.2</v>
      </c>
      <c r="B2017" s="22" t="inlineStr">
        <is>
          <t>Клуб Рослин</t>
        </is>
      </c>
      <c r="C2017" s="22" t="inlineStr">
        <is>
          <t>7022</t>
        </is>
      </c>
      <c r="D2017" s="22" t="inlineStr">
        <is>
          <t>7022</t>
        </is>
      </c>
      <c r="E2017" s="21" t="inlineStr">
        <is>
          <t>Добриво Мастер Маster 18+18+18+3 1 кг Valagro Валагро Італія</t>
        </is>
      </c>
      <c r="F2017" s="21" t="inlineStr">
        <is>
          <t>Рододендрон Лаксгольд C3</t>
        </is>
      </c>
      <c r="G2017" s="23" t="n">
        <v>350</v>
      </c>
      <c r="H2017" s="23" t="n">
        <v>245</v>
      </c>
      <c r="I2017" s="21" t="inlineStr">
        <is>
          <t>ID постачальника збігся, але назви різні</t>
        </is>
      </c>
    </row>
    <row r="2018">
      <c r="A2018" s="22" t="n">
        <v>27.2</v>
      </c>
      <c r="B2018" s="22" t="inlineStr">
        <is>
          <t>Клуб Рослин</t>
        </is>
      </c>
      <c r="C2018" s="22" t="inlineStr">
        <is>
          <t>7012</t>
        </is>
      </c>
      <c r="D2018" s="22" t="inlineStr">
        <is>
          <t>7012</t>
        </is>
      </c>
      <c r="E2018" s="21" t="inlineStr">
        <is>
          <t>Добриво Plantafol Плантафол 20+20+20 1 кг Syngenta (Valagro) Італія</t>
        </is>
      </c>
      <c r="F2018" s="21" t="inlineStr">
        <is>
          <t>Рододендрон гібридний Сімона C290 / H125-150</t>
        </is>
      </c>
      <c r="G2018" s="23" t="n">
        <v>348</v>
      </c>
      <c r="H2018" s="23" t="n">
        <v>19872</v>
      </c>
      <c r="I2018" s="21" t="inlineStr">
        <is>
          <t>ID постачальника збігся, але назви різні</t>
        </is>
      </c>
    </row>
    <row r="2019">
      <c r="A2019" s="22" t="n">
        <v>27.2</v>
      </c>
      <c r="B2019" s="22" t="inlineStr">
        <is>
          <t>Клуб Рослин</t>
        </is>
      </c>
      <c r="C2019" s="22" t="inlineStr">
        <is>
          <t>3195</t>
        </is>
      </c>
      <c r="D2019" s="22" t="inlineStr">
        <is>
          <t>3195</t>
        </is>
      </c>
      <c r="E2019" s="21" t="inlineStr">
        <is>
          <t>Фунгіцид Магнікур Нео (Консенто) 100 мл Protect Garden Німеччина</t>
        </is>
      </c>
      <c r="F2019" s="21" t="inlineStr">
        <is>
          <t>Лілія трубчаста гібридна Уайт Хевен 14\16</t>
        </is>
      </c>
      <c r="G2019" s="23" t="n">
        <v>310</v>
      </c>
      <c r="H2019" s="23" t="n">
        <v>50</v>
      </c>
      <c r="I2019" s="21" t="inlineStr">
        <is>
          <t>ID постачальника збігся, але назви різні</t>
        </is>
      </c>
    </row>
    <row r="2020">
      <c r="A2020" s="22" t="n">
        <v>27.1</v>
      </c>
      <c r="B2020" s="22" t="inlineStr">
        <is>
          <t>Клуб Рослин</t>
        </is>
      </c>
      <c r="C2020" s="22" t="inlineStr">
        <is>
          <t>3299</t>
        </is>
      </c>
      <c r="D2020" s="22" t="inlineStr">
        <is>
          <t>3299</t>
        </is>
      </c>
      <c r="E2020" s="21" t="inlineStr">
        <is>
          <t>Фунгіцид Антракол ВГ 10 кг Bayer Байєр Німеччина</t>
        </is>
      </c>
      <c r="F2020" s="21" t="inlineStr">
        <is>
          <t>Жимолость приморська (плетиста) Бельгіка Select C5</t>
        </is>
      </c>
      <c r="G2020" s="23" t="n">
        <v>8625</v>
      </c>
      <c r="H2020" s="23" t="n">
        <v>415</v>
      </c>
      <c r="I2020" s="21" t="inlineStr">
        <is>
          <t>ID постачальника збігся, але різні бренди</t>
        </is>
      </c>
    </row>
    <row r="2021">
      <c r="A2021" s="22" t="n">
        <v>27.1</v>
      </c>
      <c r="B2021" s="22" t="inlineStr">
        <is>
          <t>Клуб Рослин</t>
        </is>
      </c>
      <c r="C2021" s="22" t="inlineStr">
        <is>
          <t>8035</t>
        </is>
      </c>
      <c r="D2021" s="22" t="inlineStr">
        <is>
          <t>8035</t>
        </is>
      </c>
      <c r="E2021" s="21" t="inlineStr">
        <is>
          <t>Добриво ТекноГель Аміно / TecnoGel Amino 25-8-10 10 л AgriTecno Іспанія</t>
        </is>
      </c>
      <c r="F2021" s="21" t="inlineStr">
        <is>
          <t>Тсуга канадська K14 G / H100-120</t>
        </is>
      </c>
      <c r="G2021" s="23" t="n">
        <v>4004</v>
      </c>
      <c r="H2021" s="23" t="n">
        <v>695</v>
      </c>
      <c r="I2021" s="21" t="inlineStr">
        <is>
          <t>ID постачальника збігся, але різні об'єми або розміри</t>
        </is>
      </c>
    </row>
    <row r="2022">
      <c r="A2022" s="22" t="n">
        <v>27.1</v>
      </c>
      <c r="B2022" s="22" t="inlineStr">
        <is>
          <t>Клуб Рослин</t>
        </is>
      </c>
      <c r="C2022" s="22" t="inlineStr">
        <is>
          <t>7672</t>
        </is>
      </c>
      <c r="D2022" s="22" t="inlineStr">
        <is>
          <t>7672</t>
        </is>
      </c>
      <c r="E2022" s="21" t="inlineStr">
        <is>
          <t>Біостимулятор Арчер Осмокер / Archer Osmocare 1 кг Atlantica Іспанія</t>
        </is>
      </c>
      <c r="F2022" s="21" t="inlineStr">
        <is>
          <t>Туя (Платікладус) східна Пірамідаліс Ауреа C25 / H125-150</t>
        </is>
      </c>
      <c r="G2022" s="23" t="n">
        <v>1455</v>
      </c>
      <c r="H2022" s="23" t="n">
        <v>870</v>
      </c>
      <c r="I2022" s="21" t="inlineStr">
        <is>
          <t>ID постачальника збігся, але назви різні</t>
        </is>
      </c>
    </row>
    <row r="2023">
      <c r="A2023" s="22" t="n">
        <v>27.1</v>
      </c>
      <c r="B2023" s="22" t="inlineStr">
        <is>
          <t>Клуб Рослин</t>
        </is>
      </c>
      <c r="C2023" s="22" t="inlineStr">
        <is>
          <t>2292</t>
        </is>
      </c>
      <c r="D2023" s="22" t="inlineStr">
        <is>
          <t>2292</t>
        </is>
      </c>
      <c r="E2023" s="21" t="inlineStr">
        <is>
          <t>Протруйник Контадор Максі 1 л Нертус Угорщина</t>
        </is>
      </c>
      <c r="F2023" s="21" t="inlineStr">
        <is>
          <t>Гортензія волотиста Меджікал Гімалайа PC22 C5 / H60-70</t>
        </is>
      </c>
      <c r="G2023" s="23" t="n">
        <v>1075</v>
      </c>
      <c r="H2023" s="23" t="n">
        <v>300</v>
      </c>
      <c r="I2023" s="21" t="inlineStr">
        <is>
          <t>ID постачальника збігся, але назви різні</t>
        </is>
      </c>
    </row>
    <row r="2024">
      <c r="A2024" s="22" t="n">
        <v>27.1</v>
      </c>
      <c r="B2024" s="22" t="inlineStr">
        <is>
          <t>Клуб Рослин</t>
        </is>
      </c>
      <c r="C2024" s="22" t="inlineStr">
        <is>
          <t>7934</t>
        </is>
      </c>
      <c r="D2024" s="22" t="inlineStr">
        <is>
          <t>7934</t>
        </is>
      </c>
      <c r="E2024" s="21" t="inlineStr">
        <is>
          <t>Добриво Cульфат магнію/ Nova Mag-S 0-0-0+16 MgO+32 SO3 25 кг ICL Ізраїль</t>
        </is>
      </c>
      <c r="F2024" s="21" t="inlineStr">
        <is>
          <t>Туя західна (ий) Смарагд Потрійна Куля G+C30 / H160-180</t>
        </is>
      </c>
      <c r="G2024" s="23" t="n">
        <v>798</v>
      </c>
      <c r="H2024" s="23" t="n">
        <v>4800</v>
      </c>
      <c r="I2024" s="21" t="inlineStr">
        <is>
          <t>ID постачальника збігся, але назви різні</t>
        </is>
      </c>
    </row>
    <row r="2025">
      <c r="A2025" s="22" t="n">
        <v>27.1</v>
      </c>
      <c r="B2025" s="22" t="inlineStr">
        <is>
          <t>Клуб Рослин</t>
        </is>
      </c>
      <c r="C2025" s="22" t="inlineStr">
        <is>
          <t>7933</t>
        </is>
      </c>
      <c r="D2025" s="22" t="inlineStr">
        <is>
          <t>7933</t>
        </is>
      </c>
      <c r="E2025" s="21" t="inlineStr">
        <is>
          <t>Добриво Nova PeKacid Пекацид 0-60-20 2 кг ICL Ізраїль</t>
        </is>
      </c>
      <c r="F2025" s="21" t="inlineStr">
        <is>
          <t>Туя західна (ий) Смарагд Топіар K20 C45 / H120-140</t>
        </is>
      </c>
      <c r="G2025" s="23" t="n">
        <v>598</v>
      </c>
      <c r="H2025" s="23" t="n">
        <v>5072</v>
      </c>
      <c r="I2025" s="21" t="inlineStr">
        <is>
          <t>ID постачальника збігся, але назви різні</t>
        </is>
      </c>
    </row>
    <row r="2026">
      <c r="A2026" s="22" t="n">
        <v>27.1</v>
      </c>
      <c r="B2026" s="22" t="inlineStr">
        <is>
          <t>Клуб Рослин</t>
        </is>
      </c>
      <c r="C2026" s="22" t="inlineStr">
        <is>
          <t>8031</t>
        </is>
      </c>
      <c r="D2026" s="22" t="inlineStr">
        <is>
          <t>8031</t>
        </is>
      </c>
      <c r="E2026" s="21" t="inlineStr">
        <is>
          <t>Добриво ТекноГель Аміно / TecnoGel Amino 10-25-10 1 л AgriTecno Іспанія</t>
        </is>
      </c>
      <c r="F2026" s="21" t="inlineStr">
        <is>
          <t>Тсуга канадська K C80 / H200-220</t>
        </is>
      </c>
      <c r="G2026" s="23" t="n">
        <v>498</v>
      </c>
      <c r="H2026" s="23" t="n">
        <v>2484</v>
      </c>
      <c r="I2026" s="21" t="inlineStr">
        <is>
          <t>ID постачальника збігся, але різні коди виробника</t>
        </is>
      </c>
    </row>
    <row r="2027">
      <c r="A2027" s="22" t="n">
        <v>27.1</v>
      </c>
      <c r="B2027" s="22" t="inlineStr">
        <is>
          <t>Клуб Рослин</t>
        </is>
      </c>
      <c r="C2027" s="22" t="inlineStr">
        <is>
          <t>2303</t>
        </is>
      </c>
      <c r="D2027" s="22" t="inlineStr">
        <is>
          <t>2303</t>
        </is>
      </c>
      <c r="E2027" s="21" t="inlineStr">
        <is>
          <t>Інсекто-фунгіцид Зимовіт 1 л Кіссон Україна</t>
        </is>
      </c>
      <c r="F2027" s="21" t="inlineStr">
        <is>
          <t>Гортензія волотиста Меджікал Маттерхорн PC22 C5 / H20-25</t>
        </is>
      </c>
      <c r="G2027" s="23" t="n">
        <v>189</v>
      </c>
      <c r="H2027" s="23" t="n">
        <v>302</v>
      </c>
      <c r="I2027" s="21" t="inlineStr">
        <is>
          <t>ID постачальника збігся, але назви різні</t>
        </is>
      </c>
    </row>
    <row r="2028">
      <c r="A2028" s="22" t="n">
        <v>27.1</v>
      </c>
      <c r="B2028" s="22" t="inlineStr">
        <is>
          <t>Клуб Рослин</t>
        </is>
      </c>
      <c r="C2028" s="22" t="inlineStr">
        <is>
          <t>7938</t>
        </is>
      </c>
      <c r="D2028" s="22" t="inlineStr">
        <is>
          <t>7938</t>
        </is>
      </c>
      <c r="E2028" s="21" t="inlineStr">
        <is>
          <t>Біостимулятор рослин Amalgerol Essence / Амалгерол Ессенс 100 мл SumiAgro Сумі Агро</t>
        </is>
      </c>
      <c r="F2028" s="21" t="inlineStr">
        <is>
          <t>Туя західна (ий) Тіні Тім PC14 C3 / L15-20</t>
        </is>
      </c>
      <c r="G2028" s="23" t="n">
        <v>165</v>
      </c>
      <c r="H2028" s="23" t="n">
        <v>120</v>
      </c>
      <c r="I2028" s="21" t="inlineStr">
        <is>
          <t>ID постачальника збігся, але назви різні</t>
        </is>
      </c>
    </row>
    <row r="2029">
      <c r="A2029" s="22" t="n">
        <v>27</v>
      </c>
      <c r="B2029" s="22" t="inlineStr">
        <is>
          <t>Клуб Рослин</t>
        </is>
      </c>
      <c r="C2029" s="22" t="inlineStr">
        <is>
          <t>7787</t>
        </is>
      </c>
      <c r="D2029" s="22" t="inlineStr">
        <is>
          <t>7787</t>
        </is>
      </c>
      <c r="E2029" s="21" t="inlineStr">
        <is>
          <t>Добриво Ікар Молібден / Ikar Mo 300 5 л Литва</t>
        </is>
      </c>
      <c r="F2029" s="21" t="inlineStr">
        <is>
          <t>Туя західна (ий) Реінголд PC14 P9</t>
        </is>
      </c>
      <c r="G2029" s="23" t="n">
        <v>15576</v>
      </c>
      <c r="H2029" s="23" t="n">
        <v>25</v>
      </c>
      <c r="I2029" s="21" t="inlineStr">
        <is>
          <t>ID постачальника збігся, але назви різні</t>
        </is>
      </c>
    </row>
    <row r="2030">
      <c r="A2030" s="22" t="n">
        <v>27</v>
      </c>
      <c r="B2030" s="22" t="inlineStr">
        <is>
          <t>Клуб Рослин</t>
        </is>
      </c>
      <c r="C2030" s="22" t="inlineStr">
        <is>
          <t>7173</t>
        </is>
      </c>
      <c r="D2030" s="22" t="inlineStr">
        <is>
          <t>7173</t>
        </is>
      </c>
      <c r="E2030" s="21" t="inlineStr">
        <is>
          <t>Добриво Нутрівант Плюс Пасльоновий Nutrivant Plus Tomato 6-18-37+2MgO+ME 25 кг Вітера ICL Ізраїль</t>
        </is>
      </c>
      <c r="F2030" s="21" t="inlineStr">
        <is>
          <t>Троянда гібридний(а) Фієста SP G</t>
        </is>
      </c>
      <c r="G2030" s="23" t="n">
        <v>10804</v>
      </c>
      <c r="H2030" s="23" t="n">
        <v>44</v>
      </c>
      <c r="I2030" s="21" t="inlineStr">
        <is>
          <t>ID постачальника збігся, але різні бренди</t>
        </is>
      </c>
    </row>
    <row r="2031">
      <c r="A2031" s="22" t="n">
        <v>27</v>
      </c>
      <c r="B2031" s="22" t="inlineStr">
        <is>
          <t>Клуб Рослин</t>
        </is>
      </c>
      <c r="C2031" s="22" t="inlineStr">
        <is>
          <t>7674</t>
        </is>
      </c>
      <c r="D2031" s="22" t="inlineStr">
        <is>
          <t>7674</t>
        </is>
      </c>
      <c r="E2031" s="21" t="inlineStr">
        <is>
          <t>Добриво Brandt Manni-Plex B-Moly / Брендт Менні-Плекс Бор-Молібден 10 л США</t>
        </is>
      </c>
      <c r="F2031" s="21" t="inlineStr">
        <is>
          <t>Туя західна (ий) Брабант Extra K G / H100-120</t>
        </is>
      </c>
      <c r="G2031" s="23" t="n">
        <v>5208</v>
      </c>
      <c r="H2031" s="23" t="n">
        <v>360</v>
      </c>
      <c r="I2031" s="21" t="inlineStr">
        <is>
          <t>ID постачальника збігся, але різні бренди</t>
        </is>
      </c>
    </row>
    <row r="2032">
      <c r="A2032" s="22" t="n">
        <v>27</v>
      </c>
      <c r="B2032" s="22" t="inlineStr">
        <is>
          <t>Клуб Рослин</t>
        </is>
      </c>
      <c r="C2032" s="22" t="inlineStr">
        <is>
          <t>7732</t>
        </is>
      </c>
      <c r="D2032" s="22" t="inlineStr">
        <is>
          <t>7732</t>
        </is>
      </c>
      <c r="E2032" s="21" t="inlineStr">
        <is>
          <t>Біостимулятор Фертігрейн Фоліар / Fertigrain Foliar 5 л AgriTecno Іспанія</t>
        </is>
      </c>
      <c r="F2032" s="21" t="inlineStr">
        <is>
          <t>Туя західна (ий) Голден Глоб PC14 C3 / H20-30</t>
        </is>
      </c>
      <c r="G2032" s="23" t="n">
        <v>3978</v>
      </c>
      <c r="H2032" s="23" t="n">
        <v>110</v>
      </c>
      <c r="I2032" s="21" t="inlineStr">
        <is>
          <t>ID постачальника збігся, але назви різні</t>
        </is>
      </c>
    </row>
    <row r="2033">
      <c r="A2033" s="22" t="n">
        <v>27</v>
      </c>
      <c r="B2033" s="22" t="inlineStr">
        <is>
          <t>Клуб Рослин</t>
        </is>
      </c>
      <c r="C2033" s="22" t="inlineStr">
        <is>
          <t>3029</t>
        </is>
      </c>
      <c r="D2033" s="22" t="inlineStr">
        <is>
          <t>3029</t>
        </is>
      </c>
      <c r="E2033" s="21" t="inlineStr">
        <is>
          <t>Фунгіцид Сігнум 1 кг Basf Басф Німеччина</t>
        </is>
      </c>
      <c r="F2033" s="21" t="inlineStr">
        <is>
          <t>Ялівець середній Олд Голд C5 / H20-30</t>
        </is>
      </c>
      <c r="G2033" s="23" t="n">
        <v>3598</v>
      </c>
      <c r="H2033" s="23" t="n">
        <v>252</v>
      </c>
      <c r="I2033" s="21" t="inlineStr">
        <is>
          <t>ID постачальника збігся, але назви різні</t>
        </is>
      </c>
    </row>
    <row r="2034">
      <c r="A2034" s="22" t="n">
        <v>27</v>
      </c>
      <c r="B2034" s="22" t="inlineStr">
        <is>
          <t>Клуб Рослин</t>
        </is>
      </c>
      <c r="C2034" s="22" t="inlineStr">
        <is>
          <t>7737</t>
        </is>
      </c>
      <c r="D2034" s="22" t="inlineStr">
        <is>
          <t>7737</t>
        </is>
      </c>
      <c r="E2034" s="21" t="inlineStr">
        <is>
          <t>Біостимулятор Агріфул / Agriful 5 л AgriTecno Іспанія</t>
        </is>
      </c>
      <c r="F2034" s="21" t="inlineStr">
        <is>
          <t>Туя західна (ий) Голден Смарагд ® C5 / H40-60</t>
        </is>
      </c>
      <c r="G2034" s="23" t="n">
        <v>2574</v>
      </c>
      <c r="H2034" s="23" t="n">
        <v>305</v>
      </c>
      <c r="I2034" s="21" t="inlineStr">
        <is>
          <t>ID постачальника збігся, але назви різні</t>
        </is>
      </c>
    </row>
    <row r="2035">
      <c r="A2035" s="22" t="n">
        <v>27</v>
      </c>
      <c r="B2035" s="22" t="inlineStr">
        <is>
          <t>Клуб Рослин</t>
        </is>
      </c>
      <c r="C2035" s="22" t="inlineStr">
        <is>
          <t>3341</t>
        </is>
      </c>
      <c r="D2035" s="22" t="inlineStr">
        <is>
          <t>3341</t>
        </is>
      </c>
      <c r="E2035" s="21" t="inlineStr">
        <is>
          <t>Біопестицид-фунгіцид Мікрокат Тен (Microcat Ten) 1 л Вітера Atlantica Agricola Іспанія</t>
        </is>
      </c>
      <c r="F2035" s="21" t="inlineStr">
        <is>
          <t>Магнолія крупноквітковий (-а) Праєкокс Штамб C75 / o14-16 / Pa220</t>
        </is>
      </c>
      <c r="G2035" s="23" t="n">
        <v>2498</v>
      </c>
      <c r="H2035" s="23" t="n">
        <v>7199</v>
      </c>
      <c r="I2035" s="21" t="inlineStr">
        <is>
          <t>ID постачальника збігся, але назви різні</t>
        </is>
      </c>
    </row>
    <row r="2036">
      <c r="A2036" s="22" t="n">
        <v>27</v>
      </c>
      <c r="B2036" s="22" t="inlineStr">
        <is>
          <t>Клуб Рослин</t>
        </is>
      </c>
      <c r="C2036" s="22" t="inlineStr">
        <is>
          <t>7370</t>
        </is>
      </c>
      <c r="D2036" s="22" t="inlineStr">
        <is>
          <t>7370</t>
        </is>
      </c>
      <c r="E2036" s="21" t="inlineStr">
        <is>
          <t>Добриво Авангард Бор 10 л Ukravit Укравіт Україна</t>
        </is>
      </c>
      <c r="F2036" s="21" t="inlineStr">
        <is>
          <t>Спірея японська Голдмунд PC15 C1,2 / H10-20</t>
        </is>
      </c>
      <c r="G2036" s="23" t="n">
        <v>1648</v>
      </c>
      <c r="H2036" s="23" t="n">
        <v>50</v>
      </c>
      <c r="I2036" s="21" t="inlineStr">
        <is>
          <t>ID постачальника збігся, але назви різні</t>
        </is>
      </c>
    </row>
    <row r="2037">
      <c r="A2037" s="22" t="n">
        <v>27</v>
      </c>
      <c r="B2037" s="22" t="inlineStr">
        <is>
          <t>Клуб Рослин</t>
        </is>
      </c>
      <c r="C2037" s="22" t="inlineStr">
        <is>
          <t>8142</t>
        </is>
      </c>
      <c r="D2037" s="22" t="inlineStr">
        <is>
          <t>8142</t>
        </is>
      </c>
      <c r="E2037" s="21" t="inlineStr">
        <is>
          <t>Добриво Неовіт Хієро / Neovit Hierro 1 л Bioera Іспанія</t>
        </is>
      </c>
      <c r="F2037" s="21" t="inlineStr">
        <is>
          <t>Виноград культурний Гранатовий NN GK</t>
        </is>
      </c>
      <c r="G2037" s="23" t="n">
        <v>780</v>
      </c>
      <c r="H2037" s="23" t="n">
        <v>40</v>
      </c>
      <c r="I2037" s="21" t="inlineStr">
        <is>
          <t>ID постачальника збігся, але різні бренди</t>
        </is>
      </c>
    </row>
    <row r="2038">
      <c r="A2038" s="22" t="n">
        <v>27</v>
      </c>
      <c r="B2038" s="22" t="inlineStr">
        <is>
          <t>Клуб Рослин</t>
        </is>
      </c>
      <c r="C2038" s="22" t="inlineStr">
        <is>
          <t>1039</t>
        </is>
      </c>
      <c r="D2038" s="22" t="inlineStr">
        <is>
          <t>1039</t>
        </is>
      </c>
      <c r="E2038" s="21" t="inlineStr">
        <is>
          <t>Гербіцид Ураган Форте 1 л Syngenta Сингента Швейцарія</t>
        </is>
      </c>
      <c r="F2038" s="21" t="inlineStr">
        <is>
          <t>Береза чорна C30 / o8-10</t>
        </is>
      </c>
      <c r="G2038" s="23" t="n">
        <v>758</v>
      </c>
      <c r="H2038" s="23" t="n">
        <v>3312</v>
      </c>
      <c r="I2038" s="21" t="inlineStr">
        <is>
          <t>ID постачальника збігся, але назви різні</t>
        </is>
      </c>
    </row>
    <row r="2039">
      <c r="A2039" s="22" t="n">
        <v>27</v>
      </c>
      <c r="B2039" s="22" t="inlineStr">
        <is>
          <t>Клуб Рослин</t>
        </is>
      </c>
      <c r="C2039" s="22" t="inlineStr">
        <is>
          <t>70-32</t>
        </is>
      </c>
      <c r="D2039" s="22" t="inlineStr">
        <is>
          <t>7032</t>
        </is>
      </c>
      <c r="E2039" s="21" t="inlineStr">
        <is>
          <t>Прищепна стрічка Maxifilm (1 шт) без перфорації 70 м х 32 мм Agroplast Італія</t>
        </is>
      </c>
      <c r="F2039" s="21" t="inlineStr">
        <is>
          <t>Рододендрон понтійскій Граціелла лілароуз C15 / H40-50</t>
        </is>
      </c>
      <c r="G2039" s="23" t="n">
        <v>749</v>
      </c>
      <c r="H2039" s="23" t="n">
        <v>865</v>
      </c>
      <c r="I2039" s="21" t="inlineStr">
        <is>
          <t>ID постачальника збігся, але назви різні</t>
        </is>
      </c>
    </row>
    <row r="2040">
      <c r="A2040" s="22" t="n">
        <v>27</v>
      </c>
      <c r="B2040" s="22" t="inlineStr">
        <is>
          <t>Клуб Рослин</t>
        </is>
      </c>
      <c r="C2040" s="22" t="inlineStr">
        <is>
          <t>3313</t>
        </is>
      </c>
      <c r="D2040" s="22" t="inlineStr">
        <is>
          <t>3313</t>
        </is>
      </c>
      <c r="E2040" s="21" t="inlineStr">
        <is>
          <t>Фунгіцид Ревус Топ 500 ЕС КС 100 мл Syngenta Сингента Швейцарія</t>
        </is>
      </c>
      <c r="F2040" s="21" t="inlineStr">
        <is>
          <t>Магнолія Дафні C7,5 / H80-100</t>
        </is>
      </c>
      <c r="G2040" s="23" t="n">
        <v>725</v>
      </c>
      <c r="H2040" s="23" t="n">
        <v>2165</v>
      </c>
      <c r="I2040" s="21" t="inlineStr">
        <is>
          <t>ID постачальника збігся, але назви різні</t>
        </is>
      </c>
    </row>
    <row r="2041">
      <c r="A2041" s="22" t="n">
        <v>27</v>
      </c>
      <c r="B2041" s="22" t="inlineStr">
        <is>
          <t>Клуб Рослин</t>
        </is>
      </c>
      <c r="C2041" s="22" t="inlineStr">
        <is>
          <t>8012</t>
        </is>
      </c>
      <c r="D2041" s="22" t="inlineStr">
        <is>
          <t>8012</t>
        </is>
      </c>
      <c r="E2041" s="21" t="inlineStr">
        <is>
          <t>Добриво Солденсо Гель / Soldenso Gel 18-11-59+2%MgO+TE 1 кг Orange​​​​​​​ Іспанія</t>
        </is>
      </c>
      <c r="F2041" s="21" t="inlineStr">
        <is>
          <t>Липа широколиста Шпалера+Штамб C130 / Pa200</t>
        </is>
      </c>
      <c r="G2041" s="23" t="n">
        <v>510</v>
      </c>
      <c r="H2041" s="23" t="n">
        <v>10598</v>
      </c>
      <c r="I2041" s="21" t="inlineStr">
        <is>
          <t>ID постачальника збігся, але назви різні</t>
        </is>
      </c>
    </row>
    <row r="2042">
      <c r="A2042" s="22" t="n">
        <v>27</v>
      </c>
      <c r="B2042" s="22" t="inlineStr">
        <is>
          <t>Клуб Рослин</t>
        </is>
      </c>
      <c r="C2042" s="22" t="inlineStr">
        <is>
          <t>7100</t>
        </is>
      </c>
      <c r="D2042" s="22" t="inlineStr">
        <is>
          <t>7100</t>
        </is>
      </c>
      <c r="E2042" s="21" t="inlineStr">
        <is>
          <t>Добриво Блек Павер Бор / Black Power Bor 1 л SmartGrow Україна</t>
        </is>
      </c>
      <c r="F2042" s="21" t="inlineStr">
        <is>
          <t>Троянда плетиста Хендель DP G</t>
        </is>
      </c>
      <c r="G2042" s="23" t="n">
        <v>398</v>
      </c>
      <c r="H2042" s="23" t="n">
        <v>60</v>
      </c>
      <c r="I2042" s="21" t="inlineStr">
        <is>
          <t>ID постачальника збігся, але різні бренди</t>
        </is>
      </c>
    </row>
    <row r="2043">
      <c r="A2043" s="22" t="n">
        <v>27</v>
      </c>
      <c r="B2043" s="22" t="inlineStr">
        <is>
          <t>Клуб Рослин</t>
        </is>
      </c>
      <c r="C2043" s="22" t="inlineStr">
        <is>
          <t>4039</t>
        </is>
      </c>
      <c r="D2043" s="22" t="inlineStr">
        <is>
          <t>4039</t>
        </is>
      </c>
      <c r="E2043" s="21" t="inlineStr">
        <is>
          <t>Родентицид Антимиша 1 кг Хімагромаркетинг Україна</t>
        </is>
      </c>
      <c r="F2043" s="21" t="inlineStr">
        <is>
          <t>Ялина двоколірна C5 / H30-40</t>
        </is>
      </c>
      <c r="G2043" s="23" t="n">
        <v>298</v>
      </c>
      <c r="H2043" s="23" t="n">
        <v>1140</v>
      </c>
      <c r="I2043" s="21" t="inlineStr">
        <is>
          <t>ID постачальника збігся, але назви різні</t>
        </is>
      </c>
    </row>
    <row r="2044">
      <c r="A2044" s="22" t="n">
        <v>27</v>
      </c>
      <c r="B2044" s="22" t="inlineStr">
        <is>
          <t>Клуб Рослин</t>
        </is>
      </c>
      <c r="C2044" s="22" t="inlineStr">
        <is>
          <t>7773</t>
        </is>
      </c>
      <c r="D2044" s="22" t="inlineStr">
        <is>
          <t>7773</t>
        </is>
      </c>
      <c r="E2044" s="21" t="inlineStr">
        <is>
          <t>Добриво Ікар Інфра 1 л / Ikar Infra Литва</t>
        </is>
      </c>
      <c r="F2044" s="21" t="inlineStr">
        <is>
          <t>Туя західна (ий) Мірьям ® PC14 C3 / H20-30</t>
        </is>
      </c>
      <c r="G2044" s="23" t="n">
        <v>2</v>
      </c>
      <c r="H2044" s="23" t="n">
        <v>130</v>
      </c>
      <c r="I2044" s="21" t="inlineStr">
        <is>
          <t>ID постачальника збігся, але назви різні</t>
        </is>
      </c>
    </row>
    <row r="2045">
      <c r="A2045" s="22" t="n">
        <v>26.9</v>
      </c>
      <c r="B2045" s="22" t="inlineStr">
        <is>
          <t>Клуб Рослин</t>
        </is>
      </c>
      <c r="C2045" s="22" t="inlineStr">
        <is>
          <t>8072</t>
        </is>
      </c>
      <c r="D2045" s="22" t="inlineStr">
        <is>
          <t>8072</t>
        </is>
      </c>
      <c r="E2045" s="21" t="inlineStr">
        <is>
          <t>Добриво Осмокот / Osmocote High K 12-8-19 (5-6 М) 25 кг ICL Нідерланди</t>
        </is>
      </c>
      <c r="F2045" s="21" t="inlineStr">
        <is>
          <t>Тюльпан лілієквітний Вайт Тріумфатор 11/12</t>
        </is>
      </c>
      <c r="G2045" s="23" t="n">
        <v>9356</v>
      </c>
      <c r="H2045" s="23" t="n">
        <v>10</v>
      </c>
      <c r="I2045" s="21" t="inlineStr">
        <is>
          <t>ID постачальника збігся, але назви різні</t>
        </is>
      </c>
    </row>
    <row r="2046">
      <c r="A2046" s="22" t="n">
        <v>26.9</v>
      </c>
      <c r="B2046" s="22" t="inlineStr">
        <is>
          <t>Клуб Рослин</t>
        </is>
      </c>
      <c r="C2046" s="22" t="inlineStr">
        <is>
          <t>2273</t>
        </is>
      </c>
      <c r="D2046" s="22" t="inlineStr">
        <is>
          <t>2273</t>
        </is>
      </c>
      <c r="E2046" s="21" t="inlineStr">
        <is>
          <t>Акарицид Акрамайт 1 л UPL / ЮПЛ</t>
        </is>
      </c>
      <c r="F2046" s="21" t="inlineStr">
        <is>
          <t>Гортензія волотиста Межджікал Кендл C3</t>
        </is>
      </c>
      <c r="G2046" s="23" t="n">
        <v>4298</v>
      </c>
      <c r="H2046" s="23" t="n">
        <v>312</v>
      </c>
      <c r="I2046" s="21" t="inlineStr">
        <is>
          <t>ID постачальника збігся, але назви різні</t>
        </is>
      </c>
    </row>
    <row r="2047">
      <c r="A2047" s="22" t="n">
        <v>26.9</v>
      </c>
      <c r="B2047" s="22" t="inlineStr">
        <is>
          <t>Клуб Рослин</t>
        </is>
      </c>
      <c r="C2047" s="22" t="inlineStr">
        <is>
          <t>7331</t>
        </is>
      </c>
      <c r="D2047" s="22" t="inlineStr">
        <is>
          <t>7331</t>
        </is>
      </c>
      <c r="E2047" s="21" t="inlineStr">
        <is>
          <t>Добриво Кафом Цинк-Марганець / Kafom Zn-Mn 5 л Meristem Мерістем Іспанія</t>
        </is>
      </c>
      <c r="F2047" s="21" t="inlineStr">
        <is>
          <t>Спірея березолиста Тор Голд PC22 C3</t>
        </is>
      </c>
      <c r="G2047" s="23" t="n">
        <v>3500</v>
      </c>
      <c r="H2047" s="23" t="n">
        <v>168</v>
      </c>
      <c r="I2047" s="21" t="inlineStr">
        <is>
          <t>ID постачальника збігся, але назви різні</t>
        </is>
      </c>
    </row>
    <row r="2048">
      <c r="A2048" s="22" t="n">
        <v>26.9</v>
      </c>
      <c r="B2048" s="22" t="inlineStr">
        <is>
          <t>Клуб Рослин</t>
        </is>
      </c>
      <c r="C2048" s="22" t="inlineStr">
        <is>
          <t>7153</t>
        </is>
      </c>
      <c r="D2048" s="22" t="inlineStr">
        <is>
          <t>7153</t>
        </is>
      </c>
      <c r="E2048" s="21" t="inlineStr">
        <is>
          <t>Стимулятор росту Райкат Ріст (Raykat Growth) 1 л Вітера Atlantica Agricola Іспанія</t>
        </is>
      </c>
      <c r="F2048" s="21" t="inlineStr">
        <is>
          <t>Троянда гібридний(а) Блек Меджік PC17 C2</t>
        </is>
      </c>
      <c r="G2048" s="23" t="n">
        <v>1198</v>
      </c>
      <c r="H2048" s="23" t="n">
        <v>70</v>
      </c>
      <c r="I2048" s="21" t="inlineStr">
        <is>
          <t>ID постачальника збігся, але назви різні</t>
        </is>
      </c>
    </row>
    <row r="2049">
      <c r="A2049" s="22" t="n">
        <v>26.9</v>
      </c>
      <c r="B2049" s="22" t="inlineStr">
        <is>
          <t>Клуб Рослин</t>
        </is>
      </c>
      <c r="C2049" s="22" t="inlineStr">
        <is>
          <t>7564</t>
        </is>
      </c>
      <c r="D2049" s="22" t="inlineStr">
        <is>
          <t>7564</t>
        </is>
      </c>
      <c r="E2049" s="21" t="inlineStr">
        <is>
          <t>Рідке добриво Мерістем Купрітем / Meristem Cupritem 1 л Іспанія</t>
        </is>
      </c>
      <c r="F2049" s="21" t="inlineStr">
        <is>
          <t>Тис ягідний (а) Шварцгрун Бонсай C80 / H140 / L80</t>
        </is>
      </c>
      <c r="G2049" s="23" t="n">
        <v>1125</v>
      </c>
      <c r="H2049" s="23" t="n">
        <v>18000</v>
      </c>
      <c r="I2049" s="21" t="inlineStr">
        <is>
          <t>ID постачальника збігся, але назви різні</t>
        </is>
      </c>
    </row>
    <row r="2050">
      <c r="A2050" s="22" t="n">
        <v>26.9</v>
      </c>
      <c r="B2050" s="22" t="inlineStr">
        <is>
          <t>Клуб Рослин</t>
        </is>
      </c>
      <c r="C2050" s="22" t="inlineStr">
        <is>
          <t>7964</t>
        </is>
      </c>
      <c r="D2050" s="22" t="inlineStr">
        <is>
          <t>7964</t>
        </is>
      </c>
      <c r="E2050" s="21" t="inlineStr">
        <is>
          <t>Добриво Текнокель Аміно Мікс / Tecnokel Amino Mix 1 л AgriTecno Іспанія</t>
        </is>
      </c>
      <c r="F2050" s="21" t="inlineStr">
        <is>
          <t>Туя складчата Віпкорд PC12 C5 / H20-30</t>
        </is>
      </c>
      <c r="G2050" s="23" t="n">
        <v>593</v>
      </c>
      <c r="H2050" s="23" t="n">
        <v>140</v>
      </c>
      <c r="I2050" s="21" t="inlineStr">
        <is>
          <t>ID постачальника збігся, але назви різні</t>
        </is>
      </c>
    </row>
    <row r="2051">
      <c r="A2051" s="22" t="n">
        <v>26.9</v>
      </c>
      <c r="B2051" s="22" t="inlineStr">
        <is>
          <t>Клуб Рослин</t>
        </is>
      </c>
      <c r="C2051" s="22" t="inlineStr">
        <is>
          <t>7819</t>
        </is>
      </c>
      <c r="D2051" s="22" t="inlineStr">
        <is>
          <t>7819</t>
        </is>
      </c>
      <c r="E2051" s="21" t="inlineStr">
        <is>
          <t>Біостимулятор-антистресант Новамін Н (Азот) Плюс / Novamine N Plus 100 г Bioera Іспанія</t>
        </is>
      </c>
      <c r="F2051" s="21" t="inlineStr">
        <is>
          <t>Туя західна (ий) Смарагд K17 G / H120-140</t>
        </is>
      </c>
      <c r="G2051" s="23" t="n">
        <v>416</v>
      </c>
      <c r="H2051" s="23" t="n">
        <v>425</v>
      </c>
      <c r="I2051" s="21" t="inlineStr">
        <is>
          <t>ID постачальника збігся, але різні об'єми або розміри</t>
        </is>
      </c>
    </row>
    <row r="2052">
      <c r="A2052" s="22" t="n">
        <v>26.9</v>
      </c>
      <c r="B2052" s="22" t="inlineStr">
        <is>
          <t>Клуб Рослин</t>
        </is>
      </c>
      <c r="C2052" s="22" t="inlineStr">
        <is>
          <t>2229</t>
        </is>
      </c>
      <c r="D2052" s="22" t="inlineStr">
        <is>
          <t>2229</t>
        </is>
      </c>
      <c r="E2052" s="21" t="inlineStr">
        <is>
          <t>Біологічний інсектоакарицид Дефендер / Defender 1 л SmartGrow Україна</t>
        </is>
      </c>
      <c r="F2052" s="21" t="inlineStr">
        <is>
          <t>Гортензія волотиста Лаймлайт C3 / H40-60</t>
        </is>
      </c>
      <c r="G2052" s="23" t="n">
        <v>398</v>
      </c>
      <c r="H2052" s="23" t="n">
        <v>267</v>
      </c>
      <c r="I2052" s="21" t="inlineStr">
        <is>
          <t>ID постачальника збігся, але назви різні</t>
        </is>
      </c>
    </row>
    <row r="2053">
      <c r="A2053" s="22" t="n">
        <v>26.9</v>
      </c>
      <c r="B2053" s="22" t="inlineStr">
        <is>
          <t>Клуб Рослин</t>
        </is>
      </c>
      <c r="C2053" s="22" t="inlineStr">
        <is>
          <t>2139</t>
        </is>
      </c>
      <c r="D2053" s="22" t="inlineStr">
        <is>
          <t>2139</t>
        </is>
      </c>
      <c r="E2053" s="21" t="inlineStr">
        <is>
          <t>Інсектицид Туріл 250 г Ukravit Укравіт Україна</t>
        </is>
      </c>
      <c r="F2053" s="21" t="inlineStr">
        <is>
          <t>Гортензія великолисткова Меджікал Аллегретто ® 1gr PC22 C7,5</t>
        </is>
      </c>
      <c r="G2053" s="23" t="n">
        <v>364</v>
      </c>
      <c r="H2053" s="23" t="n">
        <v>720</v>
      </c>
      <c r="I2053" s="21" t="inlineStr">
        <is>
          <t>ID постачальника збігся, але назви різні</t>
        </is>
      </c>
    </row>
    <row r="2054">
      <c r="A2054" s="22" t="n">
        <v>26.9</v>
      </c>
      <c r="B2054" s="22" t="inlineStr">
        <is>
          <t>Клуб Рослин</t>
        </is>
      </c>
      <c r="C2054" s="22" t="inlineStr">
        <is>
          <t>7596</t>
        </is>
      </c>
      <c r="D2054" s="22" t="inlineStr">
        <is>
          <t>7596</t>
        </is>
      </c>
      <c r="E2054" s="21" t="inlineStr">
        <is>
          <t>Добриво GroGreen Gel Vegetativ / ГроГрін Гель Вегетатив NPK 27-27-27+3MgO+TE 200 г Lima Бельгія</t>
        </is>
      </c>
      <c r="F2054" s="21" t="inlineStr">
        <is>
          <t>Тис середній Бонсай Woodenbox 700 / H150 / L150</t>
        </is>
      </c>
      <c r="G2054" s="23" t="n">
        <v>260</v>
      </c>
      <c r="H2054" s="23" t="n">
        <v>28802</v>
      </c>
      <c r="I2054" s="21" t="inlineStr">
        <is>
          <t>ID постачальника збігся, але різні бренди</t>
        </is>
      </c>
    </row>
    <row r="2055">
      <c r="A2055" s="22" t="n">
        <v>26.8</v>
      </c>
      <c r="B2055" s="22" t="inlineStr">
        <is>
          <t>Клуб Рослин</t>
        </is>
      </c>
      <c r="C2055" s="22" t="inlineStr">
        <is>
          <t>1170</t>
        </is>
      </c>
      <c r="D2055" s="22" t="inlineStr">
        <is>
          <t>1170</t>
        </is>
      </c>
      <c r="E2055" s="21" t="inlineStr">
        <is>
          <t>Гербіцид Євро-Лайтнінг / Euro-Lightning 10 л Basf Басф Німеччина</t>
        </is>
      </c>
      <c r="F2055" s="21" t="inlineStr">
        <is>
          <t>Кампсіс укорінливий Флоріда C2 / H40-60</t>
        </is>
      </c>
      <c r="G2055" s="23" t="n">
        <v>15498</v>
      </c>
      <c r="H2055" s="23" t="n">
        <v>170</v>
      </c>
      <c r="I2055" s="21" t="inlineStr">
        <is>
          <t>ID постачальника збігся, але назви різні</t>
        </is>
      </c>
    </row>
    <row r="2056">
      <c r="A2056" s="22" t="n">
        <v>26.8</v>
      </c>
      <c r="B2056" s="22" t="inlineStr">
        <is>
          <t>Клуб Рослин</t>
        </is>
      </c>
      <c r="C2056" s="22" t="inlineStr">
        <is>
          <t>8069</t>
        </is>
      </c>
      <c r="D2056" s="22" t="inlineStr">
        <is>
          <t>8069</t>
        </is>
      </c>
      <c r="E2056" s="21" t="inlineStr">
        <is>
          <t>Добриво Осмокот / Osmocote S-Curved 16-8-12 (5-6 M) 25 кг ICL Нідерланди</t>
        </is>
      </c>
      <c r="F2056" s="21" t="inlineStr">
        <is>
          <t>Тюльпан бахромчастий Ханімун 11/12</t>
        </is>
      </c>
      <c r="G2056" s="23" t="n">
        <v>8997</v>
      </c>
      <c r="H2056" s="23" t="n">
        <v>10</v>
      </c>
      <c r="I2056" s="21" t="inlineStr">
        <is>
          <t>ID постачальника збігся, але назви різні</t>
        </is>
      </c>
    </row>
    <row r="2057">
      <c r="A2057" s="22" t="n">
        <v>26.8</v>
      </c>
      <c r="B2057" s="22" t="inlineStr">
        <is>
          <t>Клуб Рослин</t>
        </is>
      </c>
      <c r="C2057" s="22" t="inlineStr">
        <is>
          <t>3276</t>
        </is>
      </c>
      <c r="D2057" s="22" t="inlineStr">
        <is>
          <t>3276</t>
        </is>
      </c>
      <c r="E2057" s="21" t="inlineStr">
        <is>
          <t>Фунгіцид Акадія КС 5 л Adama Адама Ізраїль</t>
        </is>
      </c>
      <c r="F2057" s="21" t="inlineStr">
        <is>
          <t>Жимолость блискуча Майгрюн PC19 C5 / H30-40</t>
        </is>
      </c>
      <c r="G2057" s="23" t="n">
        <v>7800</v>
      </c>
      <c r="H2057" s="23" t="n">
        <v>145</v>
      </c>
      <c r="I2057" s="21" t="inlineStr">
        <is>
          <t>ID постачальника збігся, але назви різні</t>
        </is>
      </c>
    </row>
    <row r="2058">
      <c r="A2058" s="22" t="n">
        <v>26.8</v>
      </c>
      <c r="B2058" s="22" t="inlineStr">
        <is>
          <t>Клуб Рослин</t>
        </is>
      </c>
      <c r="C2058" s="22" t="inlineStr">
        <is>
          <t>2333</t>
        </is>
      </c>
      <c r="D2058" s="22" t="inlineStr">
        <is>
          <t>2333</t>
        </is>
      </c>
      <c r="E2058" s="21" t="inlineStr">
        <is>
          <t>Інсекто-акарицид Калінік КС 5 л Акваріус Україна</t>
        </is>
      </c>
      <c r="F2058" s="21" t="inlineStr">
        <is>
          <t>Гортензія волотиста Меджікел Везувіо PC21 C20 / H80</t>
        </is>
      </c>
      <c r="G2058" s="23" t="n">
        <v>6300</v>
      </c>
      <c r="H2058" s="23" t="n">
        <v>492</v>
      </c>
      <c r="I2058" s="21" t="inlineStr">
        <is>
          <t>ID постачальника збігся, але назви різні</t>
        </is>
      </c>
    </row>
    <row r="2059">
      <c r="A2059" s="22" t="n">
        <v>26.8</v>
      </c>
      <c r="B2059" s="22" t="inlineStr">
        <is>
          <t>Клуб Рослин</t>
        </is>
      </c>
      <c r="C2059" s="22" t="inlineStr">
        <is>
          <t>3351</t>
        </is>
      </c>
      <c r="D2059" s="22" t="inlineStr">
        <is>
          <t>3351</t>
        </is>
      </c>
      <c r="E2059" s="21" t="inlineStr">
        <is>
          <t>Біофунгіцид Серенада АСО 10 л Bayer Байер Німеччина</t>
        </is>
      </c>
      <c r="F2059" s="21" t="inlineStr">
        <is>
          <t>Магнолія Хані Туліп C80 / H175-200</t>
        </is>
      </c>
      <c r="G2059" s="23" t="n">
        <v>5900</v>
      </c>
      <c r="H2059" s="23" t="n">
        <v>10764</v>
      </c>
      <c r="I2059" s="21" t="inlineStr">
        <is>
          <t>ID постачальника збігся, але назви різні</t>
        </is>
      </c>
    </row>
    <row r="2060">
      <c r="A2060" s="22" t="n">
        <v>26.8</v>
      </c>
      <c r="B2060" s="22" t="inlineStr">
        <is>
          <t>Клуб Рослин</t>
        </is>
      </c>
      <c r="C2060" s="22" t="inlineStr">
        <is>
          <t>8014</t>
        </is>
      </c>
      <c r="D2060" s="22" t="inlineStr">
        <is>
          <t>8014</t>
        </is>
      </c>
      <c r="E2060" s="21" t="inlineStr">
        <is>
          <t>Добриво Фертіплант Універсал / Fertiplant Universal 20+20+20+ME 25 кг Planta Німеччина</t>
        </is>
      </c>
      <c r="F2060" s="21" t="inlineStr">
        <is>
          <t>Липа Шпалера PC18 C80 / o10-12</t>
        </is>
      </c>
      <c r="G2060" s="23" t="n">
        <v>4250</v>
      </c>
      <c r="H2060" s="23" t="n">
        <v>6901</v>
      </c>
      <c r="I2060" s="21" t="inlineStr">
        <is>
          <t>ID постачальника збігся, але назви різні</t>
        </is>
      </c>
    </row>
    <row r="2061">
      <c r="A2061" s="22" t="n">
        <v>26.8</v>
      </c>
      <c r="B2061" s="22" t="inlineStr">
        <is>
          <t>Клуб Рослин</t>
        </is>
      </c>
      <c r="C2061" s="22" t="inlineStr">
        <is>
          <t>2104</t>
        </is>
      </c>
      <c r="D2061" s="22" t="inlineStr">
        <is>
          <t>2104</t>
        </is>
      </c>
      <c r="E2061" s="21" t="inlineStr">
        <is>
          <t>Інсектицид Антихрущ КС 5 л Ukravit Укравіт Україна</t>
        </is>
      </c>
      <c r="F2061" s="21" t="inlineStr">
        <is>
          <t>Гортензія великолисткова Бела C2</t>
        </is>
      </c>
      <c r="G2061" s="23" t="n">
        <v>3425</v>
      </c>
      <c r="H2061" s="23" t="n">
        <v>270</v>
      </c>
      <c r="I2061" s="21" t="inlineStr">
        <is>
          <t>ID постачальника збігся, але назви різні</t>
        </is>
      </c>
    </row>
    <row r="2062">
      <c r="A2062" s="22" t="n">
        <v>26.8</v>
      </c>
      <c r="B2062" s="22" t="inlineStr">
        <is>
          <t>Клуб Рослин</t>
        </is>
      </c>
      <c r="C2062" s="22" t="inlineStr">
        <is>
          <t>1234</t>
        </is>
      </c>
      <c r="D2062" s="22" t="inlineStr">
        <is>
          <t>1234</t>
        </is>
      </c>
      <c r="E2062" s="21" t="inlineStr">
        <is>
          <t>Гербіцид Мотор 5 л Нертус Угорщина</t>
        </is>
      </c>
      <c r="F2062" s="21" t="inlineStr">
        <is>
          <t>Катальпа бігнонієвидна Нана Штамб C20 / o8-10 / Pa200</t>
        </is>
      </c>
      <c r="G2062" s="23" t="n">
        <v>3302</v>
      </c>
      <c r="H2062" s="23" t="n">
        <v>2280</v>
      </c>
      <c r="I2062" s="21" t="inlineStr">
        <is>
          <t>ID постачальника збігся, але назви різні</t>
        </is>
      </c>
    </row>
    <row r="2063">
      <c r="A2063" s="22" t="n">
        <v>26.8</v>
      </c>
      <c r="B2063" s="22" t="inlineStr">
        <is>
          <t>Клуб Рослин</t>
        </is>
      </c>
      <c r="C2063" s="22" t="inlineStr">
        <is>
          <t>7336</t>
        </is>
      </c>
      <c r="D2063" s="22" t="inlineStr">
        <is>
          <t>7336</t>
        </is>
      </c>
      <c r="E2063" s="21" t="inlineStr">
        <is>
          <t>Добриво Аміномакс Кальцій / Aminomax Ca 5 л Meristem Меристем Іспанія</t>
        </is>
      </c>
      <c r="F2063" s="21" t="inlineStr">
        <is>
          <t>Спірея японська Ентоні Ватерер K19 C80 / H80-100</t>
        </is>
      </c>
      <c r="G2063" s="23" t="n">
        <v>3248</v>
      </c>
      <c r="H2063" s="23" t="n">
        <v>480</v>
      </c>
      <c r="I2063" s="21" t="inlineStr">
        <is>
          <t>ID постачальника збігся, але назви різні</t>
        </is>
      </c>
    </row>
    <row r="2064">
      <c r="A2064" s="22" t="n">
        <v>26.8</v>
      </c>
      <c r="B2064" s="22" t="inlineStr">
        <is>
          <t>Клуб Рослин</t>
        </is>
      </c>
      <c r="C2064" s="22" t="inlineStr">
        <is>
          <t>3305</t>
        </is>
      </c>
      <c r="D2064" s="22" t="inlineStr">
        <is>
          <t>3305</t>
        </is>
      </c>
      <c r="E2064" s="21" t="inlineStr">
        <is>
          <t>Секатор з ковадлом Lowe 3305 Німеччина</t>
        </is>
      </c>
      <c r="F2064" s="21" t="inlineStr">
        <is>
          <t>Магнолія бруклинська Єллоу Бьорд C18 / H125-150</t>
        </is>
      </c>
      <c r="G2064" s="23" t="n">
        <v>2650</v>
      </c>
      <c r="H2064" s="23" t="n">
        <v>3312</v>
      </c>
      <c r="I2064" s="21" t="inlineStr">
        <is>
          <t>ID постачальника збігся, але назви різні</t>
        </is>
      </c>
    </row>
    <row r="2065">
      <c r="A2065" s="22" t="n">
        <v>26.8</v>
      </c>
      <c r="B2065" s="22" t="inlineStr">
        <is>
          <t>Клуб Рослин</t>
        </is>
      </c>
      <c r="C2065" s="22" t="inlineStr">
        <is>
          <t>2227</t>
        </is>
      </c>
      <c r="D2065" s="22" t="inlineStr">
        <is>
          <t>2227</t>
        </is>
      </c>
      <c r="E2065" s="21" t="inlineStr">
        <is>
          <t>Інсектицид Хлорпірівіт-Агро 5 л Ukravit Укравіт Україна</t>
        </is>
      </c>
      <c r="F2065" s="21" t="inlineStr">
        <is>
          <t>Гортензія волотиста Лаймлайт ® PC21 C5 / H70-80</t>
        </is>
      </c>
      <c r="G2065" s="23" t="n">
        <v>2048</v>
      </c>
      <c r="H2065" s="23" t="n">
        <v>360</v>
      </c>
      <c r="I2065" s="21" t="inlineStr">
        <is>
          <t>ID постачальника збігся, але назви різні</t>
        </is>
      </c>
    </row>
    <row r="2066">
      <c r="A2066" s="22" t="n">
        <v>26.8</v>
      </c>
      <c r="B2066" s="22" t="inlineStr">
        <is>
          <t>Клуб Рослин</t>
        </is>
      </c>
      <c r="C2066" s="22" t="inlineStr">
        <is>
          <t>8060</t>
        </is>
      </c>
      <c r="D2066" s="22" t="inlineStr">
        <is>
          <t>8060</t>
        </is>
      </c>
      <c r="E2066" s="21" t="inlineStr">
        <is>
          <t>Добриво Сульфат Калію / Nova SOP 0-0-50+43SO3 25 кг ICL Ізраїль</t>
        </is>
      </c>
      <c r="F2066" s="21" t="inlineStr">
        <is>
          <t>Тюльпан махровий пізній Айс Крім 11\12</t>
        </is>
      </c>
      <c r="G2066" s="23" t="n">
        <v>1998</v>
      </c>
      <c r="H2066" s="23" t="n">
        <v>35</v>
      </c>
      <c r="I2066" s="21" t="inlineStr">
        <is>
          <t>ID постачальника збігся, але назви різні</t>
        </is>
      </c>
    </row>
    <row r="2067">
      <c r="A2067" s="22" t="n">
        <v>26.8</v>
      </c>
      <c r="B2067" s="22" t="inlineStr">
        <is>
          <t>Клуб Рослин</t>
        </is>
      </c>
      <c r="C2067" s="22" t="inlineStr">
        <is>
          <t>3335</t>
        </is>
      </c>
      <c r="D2067" s="22" t="inlineStr">
        <is>
          <t>3335</t>
        </is>
      </c>
      <c r="E2067" s="21" t="inlineStr">
        <is>
          <t>Фунгіцид Трініті WG 500 г Green Express / Грін Експрес</t>
        </is>
      </c>
      <c r="F2067" s="21" t="inlineStr">
        <is>
          <t>Магнолія Голд Стар C10 / H100-125</t>
        </is>
      </c>
      <c r="G2067" s="23" t="n">
        <v>1675</v>
      </c>
      <c r="H2067" s="23" t="n">
        <v>1992</v>
      </c>
      <c r="I2067" s="21" t="inlineStr">
        <is>
          <t>ID постачальника збігся, але назви різні</t>
        </is>
      </c>
    </row>
    <row r="2068">
      <c r="A2068" s="22" t="n">
        <v>26.8</v>
      </c>
      <c r="B2068" s="22" t="inlineStr">
        <is>
          <t>Клуб Рослин</t>
        </is>
      </c>
      <c r="C2068" s="22" t="inlineStr">
        <is>
          <t>3034</t>
        </is>
      </c>
      <c r="D2068" s="22" t="inlineStr">
        <is>
          <t>3034</t>
        </is>
      </c>
      <c r="E2068" s="21" t="inlineStr">
        <is>
          <t>Фунгіцид Ефатол 2.5 кг Хімагромаркетинг Україна</t>
        </is>
      </c>
      <c r="F2068" s="21" t="inlineStr">
        <is>
          <t>Ялівець середній Олд Голд K G / H60-80</t>
        </is>
      </c>
      <c r="G2068" s="23" t="n">
        <v>1448</v>
      </c>
      <c r="H2068" s="23" t="n">
        <v>480</v>
      </c>
      <c r="I2068" s="21" t="inlineStr">
        <is>
          <t>ID постачальника збігся, але назви різні</t>
        </is>
      </c>
    </row>
    <row r="2069">
      <c r="A2069" s="22" t="n">
        <v>26.8</v>
      </c>
      <c r="B2069" s="22" t="inlineStr">
        <is>
          <t>Клуб Рослин</t>
        </is>
      </c>
      <c r="C2069" s="22" t="inlineStr">
        <is>
          <t>2118</t>
        </is>
      </c>
      <c r="D2069" s="22" t="inlineStr">
        <is>
          <t>2118</t>
        </is>
      </c>
      <c r="E2069" s="21" t="inlineStr">
        <is>
          <t>Інсекто-акарицид Препарат 30 В 10 л</t>
        </is>
      </c>
      <c r="F2069" s="21" t="inlineStr">
        <is>
          <t>Гортензія великолисткова Ендлесс Саммер Роуз C5</t>
        </is>
      </c>
      <c r="G2069" s="23" t="n">
        <v>1248</v>
      </c>
      <c r="H2069" s="23" t="n">
        <v>840</v>
      </c>
      <c r="I2069" s="21" t="inlineStr">
        <is>
          <t>ID постачальника збігся, але назви різні</t>
        </is>
      </c>
    </row>
    <row r="2070">
      <c r="A2070" s="22" t="n">
        <v>26.8</v>
      </c>
      <c r="B2070" s="22" t="inlineStr">
        <is>
          <t>Клуб Рослин</t>
        </is>
      </c>
      <c r="C2070" s="22" t="inlineStr">
        <is>
          <t>7280</t>
        </is>
      </c>
      <c r="D2070" s="22" t="inlineStr">
        <is>
          <t>7280</t>
        </is>
      </c>
      <c r="E2070" s="21" t="inlineStr">
        <is>
          <t>Добриво Келькат Цинк / Kelkat Zinc 1 кг Вітера Atlantica Agricola Іспанія</t>
        </is>
      </c>
      <c r="F2070" s="21" t="inlineStr">
        <is>
          <t>Троянда поліантова Лілі Марлен DP PC18 C2</t>
        </is>
      </c>
      <c r="G2070" s="23" t="n">
        <v>1049</v>
      </c>
      <c r="H2070" s="23" t="n">
        <v>85</v>
      </c>
      <c r="I2070" s="21" t="inlineStr">
        <is>
          <t>ID постачальника збігся, але різні бренди</t>
        </is>
      </c>
    </row>
    <row r="2071">
      <c r="A2071" s="22" t="n">
        <v>26.8</v>
      </c>
      <c r="B2071" s="22" t="inlineStr">
        <is>
          <t>Клуб Рослин</t>
        </is>
      </c>
      <c r="C2071" s="22" t="inlineStr">
        <is>
          <t>7671</t>
        </is>
      </c>
      <c r="D2071" s="22" t="inlineStr">
        <is>
          <t>7671</t>
        </is>
      </c>
      <c r="E2071" s="21" t="inlineStr">
        <is>
          <t>Біостимулятор Крузеро (Crucero) 1 л Вітера Atlantica Agricola Іспанія</t>
        </is>
      </c>
      <c r="F2071" s="21" t="inlineStr">
        <is>
          <t>Туя (Платікладус) східна Елегантіссіма G / H80-100</t>
        </is>
      </c>
      <c r="G2071" s="23" t="n">
        <v>970</v>
      </c>
      <c r="H2071" s="23" t="n">
        <v>560</v>
      </c>
      <c r="I2071" s="21" t="inlineStr">
        <is>
          <t>ID постачальника збігся, але назви різні</t>
        </is>
      </c>
    </row>
    <row r="2072">
      <c r="A2072" s="22" t="n">
        <v>26.8</v>
      </c>
      <c r="B2072" s="22" t="inlineStr">
        <is>
          <t>Клуб Рослин</t>
        </is>
      </c>
      <c r="C2072" s="22" t="inlineStr">
        <is>
          <t>7335</t>
        </is>
      </c>
      <c r="D2072" s="22" t="inlineStr">
        <is>
          <t>7335</t>
        </is>
      </c>
      <c r="E2072" s="21" t="inlineStr">
        <is>
          <t>Добриво Аміномакс Кальцій / Aminomax Ca 1 л Meristem Мерістем Іспанія</t>
        </is>
      </c>
      <c r="F2072" s="21" t="inlineStr">
        <is>
          <t>Спірея японська Ентоні Ватерер K19 C60 / H80-100</t>
        </is>
      </c>
      <c r="G2072" s="23" t="n">
        <v>780</v>
      </c>
      <c r="H2072" s="23" t="n">
        <v>580</v>
      </c>
      <c r="I2072" s="21" t="inlineStr">
        <is>
          <t>ID постачальника збігся, але назви різні</t>
        </is>
      </c>
    </row>
    <row r="2073">
      <c r="A2073" s="22" t="n">
        <v>26.8</v>
      </c>
      <c r="B2073" s="22" t="inlineStr">
        <is>
          <t>Клуб Рослин</t>
        </is>
      </c>
      <c r="C2073" s="22" t="inlineStr">
        <is>
          <t>1118</t>
        </is>
      </c>
      <c r="D2073" s="22" t="inlineStr">
        <is>
          <t>1118</t>
        </is>
      </c>
      <c r="E2073" s="21" t="inlineStr">
        <is>
          <t>Гербіцид Клайнер 50 г Ukravit Укравіт Україна</t>
        </is>
      </c>
      <c r="F2073" s="21" t="inlineStr">
        <is>
          <t>Самшит вічнозенений Конус C60 / H100-125</t>
        </is>
      </c>
      <c r="G2073" s="23" t="n">
        <v>759</v>
      </c>
      <c r="H2073" s="23" t="n">
        <v>4201</v>
      </c>
      <c r="I2073" s="21" t="inlineStr">
        <is>
          <t>ID постачальника збігся, але назви різні</t>
        </is>
      </c>
    </row>
    <row r="2074">
      <c r="A2074" s="22" t="n">
        <v>26.8</v>
      </c>
      <c r="B2074" s="22" t="inlineStr">
        <is>
          <t>Клуб Рослин</t>
        </is>
      </c>
      <c r="C2074" s="22" t="inlineStr">
        <is>
          <t>7823</t>
        </is>
      </c>
      <c r="D2074" s="22" t="inlineStr">
        <is>
          <t>7823</t>
        </is>
      </c>
      <c r="E2074" s="21" t="inlineStr">
        <is>
          <t>Біостимулятор Екісітімакс / Equisetomax 250 мл Bioera Іспанія</t>
        </is>
      </c>
      <c r="F2074" s="21" t="inlineStr">
        <is>
          <t>Туя західна (ий) Смарагд K19 C20 / H100-120</t>
        </is>
      </c>
      <c r="G2074" s="23" t="n">
        <v>468</v>
      </c>
      <c r="H2074" s="23" t="n">
        <v>435</v>
      </c>
      <c r="I2074" s="21" t="inlineStr">
        <is>
          <t>ID постачальника збігся, але назви різні</t>
        </is>
      </c>
    </row>
    <row r="2075">
      <c r="A2075" s="22" t="n">
        <v>26.7</v>
      </c>
      <c r="B2075" s="22" t="inlineStr">
        <is>
          <t>Клуб Рослин</t>
        </is>
      </c>
      <c r="C2075" s="22" t="inlineStr">
        <is>
          <t>2319</t>
        </is>
      </c>
      <c r="D2075" s="22" t="inlineStr">
        <is>
          <t>2319</t>
        </is>
      </c>
      <c r="E2075" s="21" t="inlineStr">
        <is>
          <t>Інсектицид Косейр 1 л Аdama Адама Ізраїль</t>
        </is>
      </c>
      <c r="F2075" s="21" t="inlineStr">
        <is>
          <t>Гортензія волотиста Меджикал Мунлайт ® PC21 C20 / H80</t>
        </is>
      </c>
      <c r="G2075" s="23" t="n">
        <v>6748</v>
      </c>
      <c r="H2075" s="23" t="n">
        <v>492</v>
      </c>
      <c r="I2075" s="21" t="inlineStr">
        <is>
          <t>ID постачальника збігся, але назви різні</t>
        </is>
      </c>
    </row>
    <row r="2076">
      <c r="A2076" s="22" t="n">
        <v>26.7</v>
      </c>
      <c r="B2076" s="22" t="inlineStr">
        <is>
          <t>Клуб Рослин</t>
        </is>
      </c>
      <c r="C2076" s="22" t="inlineStr">
        <is>
          <t>3155</t>
        </is>
      </c>
      <c r="D2076" s="22" t="inlineStr">
        <is>
          <t>3155</t>
        </is>
      </c>
      <c r="E2076" s="21" t="inlineStr">
        <is>
          <t>Фунгіцид Самшит КС 5 л Ukravit Укравіт Україна</t>
        </is>
      </c>
      <c r="F2076" s="21" t="inlineStr">
        <is>
          <t>Лілія ЛА-гібридна Кур'єр 12\14</t>
        </is>
      </c>
      <c r="G2076" s="23" t="n">
        <v>6198</v>
      </c>
      <c r="H2076" s="23" t="n">
        <v>50</v>
      </c>
      <c r="I2076" s="21" t="inlineStr">
        <is>
          <t>ID постачальника збігся, але назви різні</t>
        </is>
      </c>
    </row>
    <row r="2077">
      <c r="A2077" s="22" t="n">
        <v>26.7</v>
      </c>
      <c r="B2077" s="22" t="inlineStr">
        <is>
          <t>Клуб Рослин</t>
        </is>
      </c>
      <c r="C2077" s="22" t="inlineStr">
        <is>
          <t>7452</t>
        </is>
      </c>
      <c r="D2077" s="22" t="inlineStr">
        <is>
          <t>7452</t>
        </is>
      </c>
      <c r="E2077" s="21" t="inlineStr">
        <is>
          <t>Добриво GroGreen NPK 28-14-14+TE 25 кг Lima Бельгія</t>
        </is>
      </c>
      <c r="F2077" s="21" t="inlineStr">
        <is>
          <t>Тис ягідний (а) Куля C70 / L60</t>
        </is>
      </c>
      <c r="G2077" s="23" t="n">
        <v>4233</v>
      </c>
      <c r="H2077" s="23" t="n">
        <v>3745</v>
      </c>
      <c r="I2077" s="21" t="inlineStr">
        <is>
          <t>ID постачальника збігся, але назви різні</t>
        </is>
      </c>
    </row>
    <row r="2078">
      <c r="A2078" s="22" t="n">
        <v>26.7</v>
      </c>
      <c r="B2078" s="22" t="inlineStr">
        <is>
          <t>Клуб Рослин</t>
        </is>
      </c>
      <c r="C2078" s="22" t="inlineStr">
        <is>
          <t>7373</t>
        </is>
      </c>
      <c r="D2078" s="22" t="inlineStr">
        <is>
          <t>7373</t>
        </is>
      </c>
      <c r="E2078" s="21" t="inlineStr">
        <is>
          <t>Добриво Блек Павер Бор / Black Power Bor 10 л SmartGrow Україна</t>
        </is>
      </c>
      <c r="F2078" s="21" t="inlineStr">
        <is>
          <t>Спірея японська Голдмунд PC19 C5 / H20-25 / L40-45</t>
        </is>
      </c>
      <c r="G2078" s="23" t="n">
        <v>3598</v>
      </c>
      <c r="H2078" s="23" t="n">
        <v>156</v>
      </c>
      <c r="I2078" s="21" t="inlineStr">
        <is>
          <t>ID постачальника збігся, але назви різні</t>
        </is>
      </c>
    </row>
    <row r="2079">
      <c r="A2079" s="22" t="n">
        <v>26.7</v>
      </c>
      <c r="B2079" s="22" t="inlineStr">
        <is>
          <t>Клуб Рослин</t>
        </is>
      </c>
      <c r="C2079" s="22" t="inlineStr">
        <is>
          <t>3214</t>
        </is>
      </c>
      <c r="D2079" s="22" t="inlineStr">
        <is>
          <t>3214</t>
        </is>
      </c>
      <c r="E2079" s="21" t="inlineStr">
        <is>
          <t>Фунгіцид Мікротіол Спеціаль 25 кг UPL / ЮПЛ</t>
        </is>
      </c>
      <c r="F2079" s="21" t="inlineStr">
        <is>
          <t>Ліквідамбар (Амброве дерево) смолоносний C100 / o16-18</t>
        </is>
      </c>
      <c r="G2079" s="23" t="n">
        <v>3298</v>
      </c>
      <c r="H2079" s="23" t="n">
        <v>10199</v>
      </c>
      <c r="I2079" s="21" t="inlineStr">
        <is>
          <t>ID постачальника збігся, але назви різні</t>
        </is>
      </c>
    </row>
    <row r="2080">
      <c r="A2080" s="22" t="n">
        <v>26.7</v>
      </c>
      <c r="B2080" s="22" t="inlineStr">
        <is>
          <t>Клуб Рослин</t>
        </is>
      </c>
      <c r="C2080" s="22" t="inlineStr">
        <is>
          <t>9.104</t>
        </is>
      </c>
      <c r="D2080" s="22" t="inlineStr">
        <is>
          <t>9104</t>
        </is>
      </c>
      <c r="E2080" s="21" t="inlineStr">
        <is>
          <t>LOWE Original 9.104 Обхідний секатор Німеччина</t>
        </is>
      </c>
      <c r="F2080" s="21" t="inlineStr">
        <is>
          <t>Добриво Ekote Control 25-05-09+3MgO (6 місяців) Deltacote, 25 кг</t>
        </is>
      </c>
      <c r="G2080" s="23" t="n">
        <v>3190</v>
      </c>
      <c r="H2080" s="23" t="n">
        <v>3245</v>
      </c>
      <c r="I2080" s="21" t="inlineStr">
        <is>
          <t>ID постачальника збігся, але різні бренди</t>
        </is>
      </c>
    </row>
    <row r="2081">
      <c r="A2081" s="22" t="n">
        <v>26.7</v>
      </c>
      <c r="B2081" s="22" t="inlineStr">
        <is>
          <t>Клуб Рослин</t>
        </is>
      </c>
      <c r="C2081" s="22" t="inlineStr">
        <is>
          <t>7288</t>
        </is>
      </c>
      <c r="D2081" s="22" t="inlineStr">
        <is>
          <t>7288</t>
        </is>
      </c>
      <c r="E2081" s="21" t="inlineStr">
        <is>
          <t>Добриво Хелатин БорПлюс 10 л Кіссон Україна</t>
        </is>
      </c>
      <c r="F2081" s="21" t="inlineStr">
        <is>
          <t>Троянда Сі Фоам DP PC19 C5 / H20-30</t>
        </is>
      </c>
      <c r="G2081" s="23" t="n">
        <v>2014</v>
      </c>
      <c r="H2081" s="23" t="n">
        <v>144</v>
      </c>
      <c r="I2081" s="21" t="inlineStr">
        <is>
          <t>ID постачальника збігся, але назви різні</t>
        </is>
      </c>
    </row>
    <row r="2082">
      <c r="A2082" s="22" t="n">
        <v>26.7</v>
      </c>
      <c r="B2082" s="22" t="inlineStr">
        <is>
          <t>Клуб Рослин</t>
        </is>
      </c>
      <c r="C2082" s="22" t="inlineStr">
        <is>
          <t>2332</t>
        </is>
      </c>
      <c r="D2082" s="22" t="inlineStr">
        <is>
          <t>2332</t>
        </is>
      </c>
      <c r="E2082" s="21" t="inlineStr">
        <is>
          <t>Біоінсектецид Нематем / Nematem 1 л Meristem Мерістем Іспанія</t>
        </is>
      </c>
      <c r="F2082" s="21" t="inlineStr">
        <is>
          <t>Гортензія волотиста Меджікел Везувіо PC20 C7,5</t>
        </is>
      </c>
      <c r="G2082" s="23" t="n">
        <v>1575</v>
      </c>
      <c r="H2082" s="23" t="n">
        <v>420</v>
      </c>
      <c r="I2082" s="21" t="inlineStr">
        <is>
          <t>ID постачальника збігся, але назви різні</t>
        </is>
      </c>
    </row>
    <row r="2083">
      <c r="A2083" s="22" t="n">
        <v>26.7</v>
      </c>
      <c r="B2083" s="22" t="inlineStr">
        <is>
          <t>Клуб Рослин</t>
        </is>
      </c>
      <c r="C2083" s="22" t="inlineStr">
        <is>
          <t>7165</t>
        </is>
      </c>
      <c r="D2083" s="22" t="inlineStr">
        <is>
          <t>7165</t>
        </is>
      </c>
      <c r="E2083" s="21" t="inlineStr">
        <is>
          <t>Біостимулятор Фітомаре (Fitomare) 1 л Atlantica Agricola Вітера Іспанія</t>
        </is>
      </c>
      <c r="F2083" s="21" t="inlineStr">
        <is>
          <t>Троянда гібридний(а) Дабл Делайт SP G</t>
        </is>
      </c>
      <c r="G2083" s="23" t="n">
        <v>1279</v>
      </c>
      <c r="H2083" s="23" t="n">
        <v>44</v>
      </c>
      <c r="I2083" s="21" t="inlineStr">
        <is>
          <t>ID постачальника збігся, але різні бренди</t>
        </is>
      </c>
    </row>
    <row r="2084">
      <c r="A2084" s="22" t="n">
        <v>26.7</v>
      </c>
      <c r="B2084" s="22" t="inlineStr">
        <is>
          <t>Клуб Рослин</t>
        </is>
      </c>
      <c r="C2084" s="22" t="inlineStr">
        <is>
          <t>7803</t>
        </is>
      </c>
      <c r="D2084" s="22" t="inlineStr">
        <is>
          <t>7803</t>
        </is>
      </c>
      <c r="E2084" s="21" t="inlineStr">
        <is>
          <t>Біостимулятор Ікар Біго Рутс / Ikar Bigo Roots 1 л Литва</t>
        </is>
      </c>
      <c r="F2084" s="21" t="inlineStr">
        <is>
          <t>Туя західна (ий) Смарагд K C25 / H120-140</t>
        </is>
      </c>
      <c r="G2084" s="23" t="n">
        <v>1022</v>
      </c>
      <c r="H2084" s="23" t="n">
        <v>1087</v>
      </c>
      <c r="I2084" s="21" t="inlineStr">
        <is>
          <t>ID постачальника збігся, але назви різні</t>
        </is>
      </c>
    </row>
    <row r="2085">
      <c r="A2085" s="22" t="n">
        <v>26.7</v>
      </c>
      <c r="B2085" s="22" t="inlineStr">
        <is>
          <t>Клуб Рослин</t>
        </is>
      </c>
      <c r="C2085" s="22" t="inlineStr">
        <is>
          <t>9038</t>
        </is>
      </c>
      <c r="D2085" s="22" t="inlineStr">
        <is>
          <t>9038</t>
        </is>
      </c>
      <c r="E2085" s="21" t="inlineStr">
        <is>
          <t>Прилипач Силип Пар 1 л Дар Агро</t>
        </is>
      </c>
      <c r="F2085" s="21" t="inlineStr">
        <is>
          <t>Держак Bellota M901LR120SB.B для вил (1200мм)</t>
        </is>
      </c>
      <c r="G2085" s="23" t="n">
        <v>748</v>
      </c>
      <c r="H2085" s="23" t="n">
        <v>383</v>
      </c>
      <c r="I2085" s="21" t="inlineStr">
        <is>
          <t>ID постачальника збігся, але різні об'єми або розміри</t>
        </is>
      </c>
    </row>
    <row r="2086">
      <c r="A2086" s="22" t="n">
        <v>26.7</v>
      </c>
      <c r="B2086" s="22" t="inlineStr">
        <is>
          <t>Клуб Рослин</t>
        </is>
      </c>
      <c r="C2086" s="22" t="inlineStr">
        <is>
          <t>7943</t>
        </is>
      </c>
      <c r="D2086" s="22" t="inlineStr">
        <is>
          <t>7943</t>
        </is>
      </c>
      <c r="E2086" s="21" t="inlineStr">
        <is>
          <t>Добриво Brandt Manni-Plex Ca / Брендт Менні-Плекс Кальцій 1 л США</t>
        </is>
      </c>
      <c r="F2086" s="21" t="inlineStr">
        <is>
          <t>Туя західна (ий) Тіні Тім PC20 C5 / H25-30 / L20-25</t>
        </is>
      </c>
      <c r="G2086" s="23" t="n">
        <v>603</v>
      </c>
      <c r="H2086" s="23" t="n">
        <v>384</v>
      </c>
      <c r="I2086" s="21" t="inlineStr">
        <is>
          <t>ID постачальника збігся, але назви різні</t>
        </is>
      </c>
    </row>
    <row r="2087">
      <c r="A2087" s="22" t="n">
        <v>26.7</v>
      </c>
      <c r="B2087" s="22" t="inlineStr">
        <is>
          <t>Клуб Рослин</t>
        </is>
      </c>
      <c r="C2087" s="22" t="inlineStr">
        <is>
          <t>8065</t>
        </is>
      </c>
      <c r="D2087" s="22" t="inlineStr">
        <is>
          <t>8065</t>
        </is>
      </c>
      <c r="E2087" s="21" t="inlineStr">
        <is>
          <t>Добриво Сайкін Преміум / Saikin Premium 8-5-40+2MgO+МЕ+ЕАV 2 кг Туреччина</t>
        </is>
      </c>
      <c r="F2087" s="21" t="inlineStr">
        <is>
          <t>Тюльпан бахромчастий Арія Кард 11\12</t>
        </is>
      </c>
      <c r="G2087" s="23" t="n">
        <v>548</v>
      </c>
      <c r="H2087" s="23" t="n">
        <v>15</v>
      </c>
      <c r="I2087" s="21" t="inlineStr">
        <is>
          <t>ID постачальника збігся, але назви різні</t>
        </is>
      </c>
    </row>
    <row r="2088">
      <c r="A2088" s="22" t="n">
        <v>26.7</v>
      </c>
      <c r="B2088" s="22" t="inlineStr">
        <is>
          <t>Клуб Рослин</t>
        </is>
      </c>
      <c r="C2088" s="22" t="inlineStr">
        <is>
          <t>7613</t>
        </is>
      </c>
      <c r="D2088" s="22" t="inlineStr">
        <is>
          <t>7613</t>
        </is>
      </c>
      <c r="E2088" s="21" t="inlineStr">
        <is>
          <t>Біостимулятор Амінокат 30% (Aminocat 30%) 250 мл Вітера Atlantica Agricola Іспанія</t>
        </is>
      </c>
      <c r="F2088" s="21" t="inlineStr">
        <is>
          <t>Тис середній Хіксіі Бонсай G / H120-140</t>
        </is>
      </c>
      <c r="G2088" s="23" t="n">
        <v>399</v>
      </c>
      <c r="H2088" s="23" t="n">
        <v>12002</v>
      </c>
      <c r="I2088" s="21" t="inlineStr">
        <is>
          <t>ID постачальника збігся, але різні коди виробника</t>
        </is>
      </c>
    </row>
    <row r="2089">
      <c r="A2089" s="22" t="n">
        <v>26.7</v>
      </c>
      <c r="B2089" s="22" t="inlineStr">
        <is>
          <t>Клуб Рослин</t>
        </is>
      </c>
      <c r="C2089" s="22" t="inlineStr">
        <is>
          <t>3998</t>
        </is>
      </c>
      <c r="D2089" s="22" t="inlineStr">
        <is>
          <t>3998</t>
        </is>
      </c>
      <c r="E2089" s="21" t="inlineStr">
        <is>
          <t>Фунгіцид Топсін-М 25 г SumiAgro Сумі Агро Японія</t>
        </is>
      </c>
      <c r="F2089" s="21" t="inlineStr">
        <is>
          <t>Ялина звичайна Віргата Глаука C130 / H200-250</t>
        </is>
      </c>
      <c r="G2089" s="23" t="n">
        <v>45</v>
      </c>
      <c r="H2089" s="23" t="n">
        <v>8280</v>
      </c>
      <c r="I2089" s="21" t="inlineStr">
        <is>
          <t>ID постачальника збігся, але назви різні</t>
        </is>
      </c>
    </row>
    <row r="2090">
      <c r="A2090" s="22" t="n">
        <v>26.6</v>
      </c>
      <c r="B2090" s="22" t="inlineStr">
        <is>
          <t>Клуб Рослин</t>
        </is>
      </c>
      <c r="C2090" s="22" t="inlineStr">
        <is>
          <t>7580</t>
        </is>
      </c>
      <c r="D2090" s="22" t="inlineStr">
        <is>
          <t>7580</t>
        </is>
      </c>
      <c r="E2090" s="21" t="inlineStr">
        <is>
          <t>Добриво Кристафос Cristaphos NPK 11-30-11+ 2% Fulvic acids+ Bacillus subtilis 12 кг Meristem Іспанія</t>
        </is>
      </c>
      <c r="F2090" s="21" t="inlineStr">
        <is>
          <t>Тис ягідний (а) Топіар, Складна Фігура C130 / H200-250</t>
        </is>
      </c>
      <c r="G2090" s="23" t="n">
        <v>4348</v>
      </c>
      <c r="H2090" s="23" t="n">
        <v>33120</v>
      </c>
      <c r="I2090" s="21" t="inlineStr">
        <is>
          <t>ID постачальника збігся, але різні коди виробника</t>
        </is>
      </c>
    </row>
    <row r="2091">
      <c r="A2091" s="22" t="n">
        <v>26.5</v>
      </c>
      <c r="B2091" s="22" t="inlineStr">
        <is>
          <t>Клуб Рослин</t>
        </is>
      </c>
      <c r="C2091" s="22" t="inlineStr">
        <is>
          <t>3278</t>
        </is>
      </c>
      <c r="D2091" s="22" t="inlineStr">
        <is>
          <t>3278</t>
        </is>
      </c>
      <c r="E2091" s="21" t="inlineStr">
        <is>
          <t>Фунгіцид Зепан 330 КС 5 л Sumi Agro Сумі Агро Японія</t>
        </is>
      </c>
      <c r="F2091" s="21" t="inlineStr">
        <is>
          <t>Жимолость блискуча Майгрюн PC20 C3 / H10-15 / L20-25</t>
        </is>
      </c>
      <c r="G2091" s="23" t="n">
        <v>8398</v>
      </c>
      <c r="H2091" s="23" t="n">
        <v>145</v>
      </c>
      <c r="I2091" s="21" t="inlineStr">
        <is>
          <t>ID постачальника збігся, але назви різні</t>
        </is>
      </c>
    </row>
    <row r="2092">
      <c r="A2092" s="22" t="n">
        <v>26.5</v>
      </c>
      <c r="B2092" s="22" t="inlineStr">
        <is>
          <t>Клуб Рослин</t>
        </is>
      </c>
      <c r="C2092" s="22" t="inlineStr">
        <is>
          <t>5031</t>
        </is>
      </c>
      <c r="D2092" s="22" t="inlineStr">
        <is>
          <t>5031</t>
        </is>
      </c>
      <c r="E2092" s="21" t="inlineStr">
        <is>
          <t>Протруйник Максим 025 FS 5 л Syngenta Сингента Швейцарія</t>
        </is>
      </c>
      <c r="F2092" s="21" t="inlineStr">
        <is>
          <t>Сосна гнучка Пігмея C20 / H50</t>
        </is>
      </c>
      <c r="G2092" s="23" t="n">
        <v>6760</v>
      </c>
      <c r="H2092" s="23" t="n">
        <v>2091</v>
      </c>
      <c r="I2092" s="21" t="inlineStr">
        <is>
          <t>ID постачальника збігся, але назви різні</t>
        </is>
      </c>
    </row>
    <row r="2093">
      <c r="A2093" s="22" t="n">
        <v>26.5</v>
      </c>
      <c r="B2093" s="22" t="inlineStr">
        <is>
          <t>Клуб Рослин</t>
        </is>
      </c>
      <c r="C2093" s="22" t="inlineStr">
        <is>
          <t>7959</t>
        </is>
      </c>
      <c r="D2093" s="22" t="inlineStr">
        <is>
          <t>7959</t>
        </is>
      </c>
      <c r="E2093" s="21" t="inlineStr">
        <is>
          <t>Добриво 21 Пі-Джі Мікробленд / 21PG Microblend (+Mg) 5 кг L.Gobbi Італія</t>
        </is>
      </c>
      <c r="F2093" s="21" t="inlineStr">
        <is>
          <t>Туя складчата Форева Голді Спіраль C55 / H100-120</t>
        </is>
      </c>
      <c r="G2093" s="23" t="n">
        <v>5315</v>
      </c>
      <c r="H2093" s="23" t="n">
        <v>6000</v>
      </c>
      <c r="I2093" s="21" t="inlineStr">
        <is>
          <t>ID постачальника збігся, але назви різні</t>
        </is>
      </c>
    </row>
    <row r="2094">
      <c r="A2094" s="22" t="n">
        <v>26.5</v>
      </c>
      <c r="B2094" s="22" t="inlineStr">
        <is>
          <t>Клуб Рослин</t>
        </is>
      </c>
      <c r="C2094" s="22" t="inlineStr">
        <is>
          <t>3026</t>
        </is>
      </c>
      <c r="D2094" s="22" t="inlineStr">
        <is>
          <t>3026</t>
        </is>
      </c>
      <c r="E2094" s="21" t="inlineStr">
        <is>
          <t>Фунгіцид Сілліт 400 КС 5 л Arysta Аріста</t>
        </is>
      </c>
      <c r="F2094" s="21" t="inlineStr">
        <is>
          <t>Ялівець середній Олд Голд C2</t>
        </is>
      </c>
      <c r="G2094" s="23" t="n">
        <v>4298</v>
      </c>
      <c r="H2094" s="23" t="n">
        <v>117</v>
      </c>
      <c r="I2094" s="21" t="inlineStr">
        <is>
          <t>ID постачальника збігся, але назви різні</t>
        </is>
      </c>
    </row>
    <row r="2095">
      <c r="A2095" s="22" t="n">
        <v>26.5</v>
      </c>
      <c r="B2095" s="22" t="inlineStr">
        <is>
          <t>Клуб Рослин</t>
        </is>
      </c>
      <c r="C2095" s="22" t="inlineStr">
        <is>
          <t>2236</t>
        </is>
      </c>
      <c r="D2095" s="22" t="inlineStr">
        <is>
          <t>2236</t>
        </is>
      </c>
      <c r="E2095" s="21" t="inlineStr">
        <is>
          <t>Інсектицид Хлорпірівіт-Агро 10 л Ukravit Укравіт Україна</t>
        </is>
      </c>
      <c r="F2095" s="21" t="inlineStr">
        <is>
          <t>Гортензія волотиста Лаймлайт PC20 C3 / H60-65</t>
        </is>
      </c>
      <c r="G2095" s="23" t="n">
        <v>3575</v>
      </c>
      <c r="H2095" s="23" t="n">
        <v>240</v>
      </c>
      <c r="I2095" s="21" t="inlineStr">
        <is>
          <t>ID постачальника збігся, але назви різні</t>
        </is>
      </c>
    </row>
    <row r="2096">
      <c r="A2096" s="22" t="n">
        <v>26.5</v>
      </c>
      <c r="B2096" s="22" t="inlineStr">
        <is>
          <t>Клуб Рослин</t>
        </is>
      </c>
      <c r="C2096" s="22" t="inlineStr">
        <is>
          <t>3291</t>
        </is>
      </c>
      <c r="D2096" s="22" t="inlineStr">
        <is>
          <t>3291</t>
        </is>
      </c>
      <c r="E2096" s="21" t="inlineStr">
        <is>
          <t>Біофунгіцид Ізокур 5 л Агро-Захист Україна</t>
        </is>
      </c>
      <c r="F2096" s="21" t="inlineStr">
        <is>
          <t>Жимолость східна Войтек C2</t>
        </is>
      </c>
      <c r="G2096" s="23" t="n">
        <v>1875</v>
      </c>
      <c r="H2096" s="23" t="n">
        <v>145</v>
      </c>
      <c r="I2096" s="21" t="inlineStr">
        <is>
          <t>ID постачальника збігся, але назви різні</t>
        </is>
      </c>
    </row>
    <row r="2097">
      <c r="A2097" s="22" t="n">
        <v>26.5</v>
      </c>
      <c r="B2097" s="22" t="inlineStr">
        <is>
          <t>Клуб Рослин</t>
        </is>
      </c>
      <c r="C2097" s="22" t="inlineStr">
        <is>
          <t>8004</t>
        </is>
      </c>
      <c r="D2097" s="22" t="inlineStr">
        <is>
          <t>8004</t>
        </is>
      </c>
      <c r="E2097" s="21" t="inlineStr">
        <is>
          <t>Добриво Солденсо Гель / Soldenso Gel NPK 9-9-39+7%MgO+54%SO3+TE 5 кг Orange​​​​​​​ Іспанія</t>
        </is>
      </c>
      <c r="F2097" s="21" t="inlineStr">
        <is>
          <t>Липа широколиста Фастігіата Штамб K20 C180 / o18-20 / Pa150-175</t>
        </is>
      </c>
      <c r="G2097" s="23" t="n">
        <v>1799</v>
      </c>
      <c r="H2097" s="23" t="n">
        <v>8280</v>
      </c>
      <c r="I2097" s="21" t="inlineStr">
        <is>
          <t>ID постачальника збігся, але назви різні</t>
        </is>
      </c>
    </row>
    <row r="2098">
      <c r="A2098" s="22" t="n">
        <v>26.5</v>
      </c>
      <c r="B2098" s="22" t="inlineStr">
        <is>
          <t>Клуб Рослин</t>
        </is>
      </c>
      <c r="C2098" s="22" t="inlineStr">
        <is>
          <t>7196</t>
        </is>
      </c>
      <c r="D2098" s="22" t="inlineStr">
        <is>
          <t>7196</t>
        </is>
      </c>
      <c r="E2098" s="21" t="inlineStr">
        <is>
          <t>Біостимулятор Атланте (Atlante) 1 л Вітера Atlantica Agricola Іспанія</t>
        </is>
      </c>
      <c r="F2098" s="21" t="inlineStr">
        <is>
          <t>Троянда гібридний(а) Мільва SP G</t>
        </is>
      </c>
      <c r="G2098" s="23" t="n">
        <v>1150</v>
      </c>
      <c r="H2098" s="23" t="n">
        <v>44</v>
      </c>
      <c r="I2098" s="21" t="inlineStr">
        <is>
          <t>ID постачальника збігся, але різні бренди</t>
        </is>
      </c>
    </row>
    <row r="2099">
      <c r="A2099" s="22" t="n">
        <v>26.5</v>
      </c>
      <c r="B2099" s="22" t="inlineStr">
        <is>
          <t>Клуб Рослин</t>
        </is>
      </c>
      <c r="C2099" s="22" t="inlineStr">
        <is>
          <t>2076</t>
        </is>
      </c>
      <c r="D2099" s="22" t="inlineStr">
        <is>
          <t>2076</t>
        </is>
      </c>
      <c r="E2099" s="21" t="inlineStr">
        <is>
          <t>Інсектицид Люфокс 105 EC КЕ 500 мл (розлив) Syngenta Сингента Швейцарія</t>
        </is>
      </c>
      <c r="F2099" s="21" t="inlineStr">
        <is>
          <t>Гібіскус сірійський Триколор Штамб C7,5 / Pa50</t>
        </is>
      </c>
      <c r="G2099" s="23" t="n">
        <v>1125</v>
      </c>
      <c r="H2099" s="23" t="n">
        <v>942</v>
      </c>
      <c r="I2099" s="21" t="inlineStr">
        <is>
          <t>ID постачальника збігся, але назви різні</t>
        </is>
      </c>
    </row>
    <row r="2100">
      <c r="A2100" s="22" t="n">
        <v>26.5</v>
      </c>
      <c r="B2100" s="22" t="inlineStr">
        <is>
          <t>Клуб Рослин</t>
        </is>
      </c>
      <c r="C2100" s="22" t="inlineStr">
        <is>
          <t>7316</t>
        </is>
      </c>
      <c r="D2100" s="22" t="inlineStr">
        <is>
          <t>7316</t>
        </is>
      </c>
      <c r="E2100" s="21" t="inlineStr">
        <is>
          <t>Добриво Кафом Калій-Магній / Kafom К-Mg 1 л Meristem Мерістем Іспанія</t>
        </is>
      </c>
      <c r="F2100" s="21" t="inlineStr">
        <is>
          <t>Сціадопітіс кільчастий C15 / H70-80</t>
        </is>
      </c>
      <c r="G2100" s="23" t="n">
        <v>1125</v>
      </c>
      <c r="H2100" s="23" t="n">
        <v>4002</v>
      </c>
      <c r="I2100" s="21" t="inlineStr">
        <is>
          <t>ID постачальника збігся, але назви різні</t>
        </is>
      </c>
    </row>
    <row r="2101">
      <c r="A2101" s="22" t="n">
        <v>26.5</v>
      </c>
      <c r="B2101" s="22" t="inlineStr">
        <is>
          <t>Клуб Рослин</t>
        </is>
      </c>
      <c r="C2101" s="22" t="inlineStr">
        <is>
          <t>2011</t>
        </is>
      </c>
      <c r="D2101" s="22" t="inlineStr">
        <is>
          <t>2011</t>
        </is>
      </c>
      <c r="E2101" s="21" t="inlineStr">
        <is>
          <t>Акарацид Омайт 1 л Arysta Аріста</t>
        </is>
      </c>
      <c r="F2101" s="21" t="inlineStr">
        <is>
          <t>Гібіскус сірійський Дук де Брабант PC22 C7,5 / H80-100</t>
        </is>
      </c>
      <c r="G2101" s="23" t="n">
        <v>898</v>
      </c>
      <c r="H2101" s="23" t="n">
        <v>260</v>
      </c>
      <c r="I2101" s="21" t="inlineStr">
        <is>
          <t>ID постачальника збігся, але назви різні</t>
        </is>
      </c>
    </row>
    <row r="2102">
      <c r="A2102" s="22" t="n">
        <v>26.5</v>
      </c>
      <c r="B2102" s="22" t="inlineStr">
        <is>
          <t>Клуб Рослин</t>
        </is>
      </c>
      <c r="C2102" s="22" t="inlineStr">
        <is>
          <t>7806</t>
        </is>
      </c>
      <c r="D2102" s="22" t="inlineStr">
        <is>
          <t>7806</t>
        </is>
      </c>
      <c r="E2102" s="21" t="inlineStr">
        <is>
          <t>Укорінювач Савіавітал Різо / Saviavital Rhyzo 1 л Bioera Іспанія</t>
        </is>
      </c>
      <c r="F2102" s="21" t="inlineStr">
        <is>
          <t>Туя західна (ий) Смарагд K C45 / H140-160</t>
        </is>
      </c>
      <c r="G2102" s="23" t="n">
        <v>824</v>
      </c>
      <c r="H2102" s="23" t="n">
        <v>1232</v>
      </c>
      <c r="I2102" s="21" t="inlineStr">
        <is>
          <t>ID постачальника збігся, але назви різні</t>
        </is>
      </c>
    </row>
    <row r="2103">
      <c r="A2103" s="22" t="n">
        <v>26.5</v>
      </c>
      <c r="B2103" s="22" t="inlineStr">
        <is>
          <t>Клуб Рослин</t>
        </is>
      </c>
      <c r="C2103" s="22" t="inlineStr">
        <is>
          <t>7918</t>
        </is>
      </c>
      <c r="D2103" s="22" t="inlineStr">
        <is>
          <t>7918</t>
        </is>
      </c>
      <c r="E2103" s="21" t="inlineStr">
        <is>
          <t>Біостимулятор Ікар Біго Рутс / Ikar Bigo Roots 0.5 л Литва</t>
        </is>
      </c>
      <c r="F2103" s="21" t="inlineStr">
        <is>
          <t>Туя західна (ий) Смарагд Спіраль C35 / H150-175</t>
        </is>
      </c>
      <c r="G2103" s="23" t="n">
        <v>642</v>
      </c>
      <c r="H2103" s="23" t="n">
        <v>3623</v>
      </c>
      <c r="I2103" s="21" t="inlineStr">
        <is>
          <t>ID постачальника збігся, але назви різні</t>
        </is>
      </c>
    </row>
    <row r="2104">
      <c r="A2104" s="22" t="n">
        <v>26.5</v>
      </c>
      <c r="B2104" s="22" t="inlineStr">
        <is>
          <t>Клуб Рослин</t>
        </is>
      </c>
      <c r="C2104" s="22" t="inlineStr">
        <is>
          <t>7479</t>
        </is>
      </c>
      <c r="D2104" s="22" t="inlineStr">
        <is>
          <t>7479</t>
        </is>
      </c>
      <c r="E2104" s="21" t="inlineStr">
        <is>
          <t>Мікродобриво Оракул Колофермін Бору 1 л Долина Україна</t>
        </is>
      </c>
      <c r="F2104" s="21" t="inlineStr">
        <is>
          <t>Тис ягідний (а) Бонсай C60 / H100+</t>
        </is>
      </c>
      <c r="G2104" s="23" t="n">
        <v>275</v>
      </c>
      <c r="H2104" s="23" t="n">
        <v>19083</v>
      </c>
      <c r="I2104" s="21" t="inlineStr">
        <is>
          <t>ID постачальника збігся, але назви різні</t>
        </is>
      </c>
    </row>
    <row r="2105">
      <c r="A2105" s="22" t="n">
        <v>26.5</v>
      </c>
      <c r="B2105" s="22" t="inlineStr">
        <is>
          <t>Клуб Рослин</t>
        </is>
      </c>
      <c r="C2105" s="22" t="inlineStr">
        <is>
          <t>1276</t>
        </is>
      </c>
      <c r="D2105" s="22" t="inlineStr">
        <is>
          <t>1276</t>
        </is>
      </c>
      <c r="E2105" s="21" t="inlineStr">
        <is>
          <t>Гербіцид Цетодим 5 л Нертус Угорщина</t>
        </is>
      </c>
      <c r="F2105" s="21" t="inlineStr">
        <is>
          <t>Кедр гімалайський Пендула Woodenbox 300 / H175-200</t>
        </is>
      </c>
      <c r="G2105" s="23" t="n"/>
      <c r="H2105" s="23" t="n">
        <v>21528</v>
      </c>
      <c r="I2105" s="21" t="inlineStr">
        <is>
          <t>ID постачальника збігся, але назви різні</t>
        </is>
      </c>
    </row>
    <row r="2106">
      <c r="A2106" s="22" t="n">
        <v>26.4</v>
      </c>
      <c r="B2106" s="22" t="inlineStr">
        <is>
          <t>Клуб Рослин</t>
        </is>
      </c>
      <c r="C2106" s="22" t="inlineStr">
        <is>
          <t>3252</t>
        </is>
      </c>
      <c r="D2106" s="22" t="inlineStr">
        <is>
          <t>3252</t>
        </is>
      </c>
      <c r="E2106" s="21" t="inlineStr">
        <is>
          <t>Фунгіцид Мелоді Компакт 6 кг Bayer Байєр Німеччина</t>
        </is>
      </c>
      <c r="F2106" s="21" t="inlineStr">
        <is>
          <t>Ліріодендрон (Тюльпанове дерево) тюльпановий Фастігіатум Штамб C45 / o10-12 / Pa180-200</t>
        </is>
      </c>
      <c r="G2106" s="23" t="n">
        <v>9360</v>
      </c>
      <c r="H2106" s="23" t="n">
        <v>9605</v>
      </c>
      <c r="I2106" s="21" t="inlineStr">
        <is>
          <t>ID постачальника збігся, але назви різні</t>
        </is>
      </c>
    </row>
    <row r="2107">
      <c r="A2107" s="22" t="n">
        <v>26.4</v>
      </c>
      <c r="B2107" s="22" t="inlineStr">
        <is>
          <t>Клуб Рослин</t>
        </is>
      </c>
      <c r="C2107" s="22" t="inlineStr">
        <is>
          <t>7801</t>
        </is>
      </c>
      <c r="D2107" s="22" t="inlineStr">
        <is>
          <t>7801</t>
        </is>
      </c>
      <c r="E2107" s="21" t="inlineStr">
        <is>
          <t>Регулятор росту Глобаріл / Globaryll 1 л Globagem N.V Бельгія</t>
        </is>
      </c>
      <c r="F2107" s="21" t="inlineStr">
        <is>
          <t>Туя західна (ий) Смарагд G / H200-220</t>
        </is>
      </c>
      <c r="G2107" s="23" t="n">
        <v>5625</v>
      </c>
      <c r="H2107" s="23" t="n">
        <v>1250</v>
      </c>
      <c r="I2107" s="21" t="inlineStr">
        <is>
          <t>ID постачальника збігся, але назви різні</t>
        </is>
      </c>
    </row>
    <row r="2108">
      <c r="A2108" s="22" t="n">
        <v>26.4</v>
      </c>
      <c r="B2108" s="22" t="inlineStr">
        <is>
          <t>Клуб Рослин</t>
        </is>
      </c>
      <c r="C2108" s="22" t="inlineStr">
        <is>
          <t>7090</t>
        </is>
      </c>
      <c r="D2108" s="22" t="inlineStr">
        <is>
          <t>7090</t>
        </is>
      </c>
      <c r="E2108" s="21" t="inlineStr">
        <is>
          <t>Добриво Опіфол Репродукция / Optifol Reproductive 3-10-40 25 кг Valagro Італія</t>
        </is>
      </c>
      <c r="F2108" s="21" t="inlineStr">
        <is>
          <t>Троянда плетиста Колор Б'юті SP G</t>
        </is>
      </c>
      <c r="G2108" s="23" t="n">
        <v>4883</v>
      </c>
      <c r="H2108" s="23" t="n">
        <v>44</v>
      </c>
      <c r="I2108" s="21" t="inlineStr">
        <is>
          <t>ID постачальника збігся, але різні бренди</t>
        </is>
      </c>
    </row>
    <row r="2109">
      <c r="A2109" s="22" t="n">
        <v>26.4</v>
      </c>
      <c r="B2109" s="22" t="inlineStr">
        <is>
          <t>Клуб Рослин</t>
        </is>
      </c>
      <c r="C2109" s="22" t="inlineStr">
        <is>
          <t>7303</t>
        </is>
      </c>
      <c r="D2109" s="22" t="inlineStr">
        <is>
          <t>7303</t>
        </is>
      </c>
      <c r="E2109" s="21" t="inlineStr">
        <is>
          <t>Добриво Eтаборо / Etaboro 5 л Meristem Мерістем Іспанія</t>
        </is>
      </c>
      <c r="F2109" s="21" t="inlineStr">
        <is>
          <t>Верба козяча Кільмарнок PC17 C10 / Pa120</t>
        </is>
      </c>
      <c r="G2109" s="23" t="n">
        <v>2398</v>
      </c>
      <c r="H2109" s="23" t="n">
        <v>300</v>
      </c>
      <c r="I2109" s="21" t="inlineStr">
        <is>
          <t>ID постачальника збігся, але назви різні</t>
        </is>
      </c>
    </row>
    <row r="2110">
      <c r="A2110" s="22" t="n">
        <v>26.4</v>
      </c>
      <c r="B2110" s="22" t="inlineStr">
        <is>
          <t>Клуб Рослин</t>
        </is>
      </c>
      <c r="C2110" s="22" t="inlineStr">
        <is>
          <t>7643</t>
        </is>
      </c>
      <c r="D2110" s="22" t="inlineStr">
        <is>
          <t>7643</t>
        </is>
      </c>
      <c r="E2110" s="21" t="inlineStr">
        <is>
          <t>Укорінювач Хризотоп Groen 0.25% 350 г Rhizopon B.V. Нідерланди</t>
        </is>
      </c>
      <c r="F2110" s="21" t="inlineStr">
        <is>
          <t>Тис середній Войтек K14 G / H20-30</t>
        </is>
      </c>
      <c r="G2110" s="23" t="n">
        <v>2224</v>
      </c>
      <c r="H2110" s="23" t="n">
        <v>285</v>
      </c>
      <c r="I2110" s="21" t="inlineStr">
        <is>
          <t>ID постачальника збігся, але різні об'єми або розміри</t>
        </is>
      </c>
    </row>
    <row r="2111">
      <c r="A2111" s="22" t="n">
        <v>26.4</v>
      </c>
      <c r="B2111" s="22" t="inlineStr">
        <is>
          <t>Клуб Рослин</t>
        </is>
      </c>
      <c r="C2111" s="22" t="inlineStr">
        <is>
          <t>3423</t>
        </is>
      </c>
      <c r="D2111" s="22" t="inlineStr">
        <is>
          <t>3423</t>
        </is>
      </c>
      <c r="E2111" s="21" t="inlineStr">
        <is>
          <t>Фунгіцид Феномен Прайм 2.5 кг Ukravit Укравіт Україна</t>
        </is>
      </c>
      <c r="F2111" s="21" t="inlineStr">
        <is>
          <t>Магнолія Лебнера Леонард Мессел Woodenbox 600 / H200-250</t>
        </is>
      </c>
      <c r="G2111" s="23" t="n">
        <v>1365</v>
      </c>
      <c r="H2111" s="23" t="n">
        <v>14518</v>
      </c>
      <c r="I2111" s="21" t="inlineStr">
        <is>
          <t>ID постачальника збігся, але різні бренди</t>
        </is>
      </c>
    </row>
    <row r="2112">
      <c r="A2112" s="22" t="n">
        <v>26.4</v>
      </c>
      <c r="B2112" s="22" t="inlineStr">
        <is>
          <t>Клуб Рослин</t>
        </is>
      </c>
      <c r="C2112" s="22" t="inlineStr">
        <is>
          <t>7917</t>
        </is>
      </c>
      <c r="D2112" s="22" t="inlineStr">
        <is>
          <t>7917</t>
        </is>
      </c>
      <c r="E2112" s="21" t="inlineStr">
        <is>
          <t>Біостимулятор Ікар Револт / Ikar Revolt 0.5 л Литва</t>
        </is>
      </c>
      <c r="F2112" s="21" t="inlineStr">
        <is>
          <t>Туя західна (ий) Смарагд Спіраль C35 / H120-140</t>
        </is>
      </c>
      <c r="G2112" s="23" t="n">
        <v>992</v>
      </c>
      <c r="H2112" s="23" t="n">
        <v>4347</v>
      </c>
      <c r="I2112" s="21" t="inlineStr">
        <is>
          <t>ID постачальника збігся, але назви різні</t>
        </is>
      </c>
    </row>
    <row r="2113">
      <c r="A2113" s="22" t="n">
        <v>26.4</v>
      </c>
      <c r="B2113" s="22" t="inlineStr">
        <is>
          <t>Клуб Рослин</t>
        </is>
      </c>
      <c r="C2113" s="22" t="inlineStr">
        <is>
          <t>7157</t>
        </is>
      </c>
      <c r="D2113" s="22" t="inlineStr">
        <is>
          <t>7157</t>
        </is>
      </c>
      <c r="E2113" s="21" t="inlineStr">
        <is>
          <t>Добриво Келік Калій (Kelik Potassium) 1 л Вітера Atlantica Agricola Іспанія</t>
        </is>
      </c>
      <c r="F2113" s="21" t="inlineStr">
        <is>
          <t>Троянда гібридний(а) Казанова DP G</t>
        </is>
      </c>
      <c r="G2113" s="23" t="n">
        <v>728</v>
      </c>
      <c r="H2113" s="23" t="n">
        <v>60</v>
      </c>
      <c r="I2113" s="21" t="inlineStr">
        <is>
          <t>ID постачальника збігся, але різні бренди</t>
        </is>
      </c>
    </row>
    <row r="2114">
      <c r="A2114" s="22" t="n">
        <v>26.4</v>
      </c>
      <c r="B2114" s="22" t="inlineStr">
        <is>
          <t>Клуб Рослин</t>
        </is>
      </c>
      <c r="C2114" s="22" t="inlineStr">
        <is>
          <t>7362</t>
        </is>
      </c>
      <c r="D2114" s="22" t="inlineStr">
        <is>
          <t>7362</t>
        </is>
      </c>
      <c r="E2114" s="21" t="inlineStr">
        <is>
          <t>Мікробіологіче добриво Байкал-ЄМ 10 л Кіссон Україна</t>
        </is>
      </c>
      <c r="F2114" s="21" t="inlineStr">
        <is>
          <t>Спірея японська Голдфлейм PC19 C5 / H30-40</t>
        </is>
      </c>
      <c r="G2114" s="23" t="n">
        <v>692</v>
      </c>
      <c r="H2114" s="23" t="n">
        <v>190</v>
      </c>
      <c r="I2114" s="21" t="inlineStr">
        <is>
          <t>ID постачальника збігся, але назви різні</t>
        </is>
      </c>
    </row>
    <row r="2115">
      <c r="A2115" s="22" t="n">
        <v>26.4</v>
      </c>
      <c r="B2115" s="22" t="inlineStr">
        <is>
          <t>Клуб Рослин</t>
        </is>
      </c>
      <c r="C2115" s="22" t="inlineStr">
        <is>
          <t>7028</t>
        </is>
      </c>
      <c r="D2115" s="22" t="inlineStr">
        <is>
          <t>7028</t>
        </is>
      </c>
      <c r="E2115" s="21" t="inlineStr">
        <is>
          <t>Добриво Брексіл Нутрі / Brexil Nutre 1 кг Valagro Валагро Італія</t>
        </is>
      </c>
      <c r="F2115" s="21" t="inlineStr">
        <is>
          <t>Рододендрон Похіолас Дотер C3</t>
        </is>
      </c>
      <c r="G2115" s="23" t="n">
        <v>585</v>
      </c>
      <c r="H2115" s="23" t="n">
        <v>245</v>
      </c>
      <c r="I2115" s="21" t="inlineStr">
        <is>
          <t>ID постачальника збігся, але назви різні</t>
        </is>
      </c>
    </row>
    <row r="2116">
      <c r="A2116" s="22" t="n">
        <v>26.4</v>
      </c>
      <c r="B2116" s="22" t="inlineStr">
        <is>
          <t>Клуб Рослин</t>
        </is>
      </c>
      <c r="C2116" s="22" t="inlineStr">
        <is>
          <t>2246</t>
        </is>
      </c>
      <c r="D2116" s="22" t="inlineStr">
        <is>
          <t>2246</t>
        </is>
      </c>
      <c r="E2116" s="21" t="inlineStr">
        <is>
          <t>Інсекто-акарицид Акарамік КЕ 100 мл Sumi Agro Сумі Агро Японія</t>
        </is>
      </c>
      <c r="F2116" s="21" t="inlineStr">
        <is>
          <t>Гортензія волотиста Лаймлайт Штамб C7,5 / Pa50</t>
        </is>
      </c>
      <c r="G2116" s="23" t="n">
        <v>425</v>
      </c>
      <c r="H2116" s="23" t="n">
        <v>963</v>
      </c>
      <c r="I2116" s="21" t="inlineStr">
        <is>
          <t>ID постачальника збігся, але назви різні</t>
        </is>
      </c>
    </row>
    <row r="2117">
      <c r="A2117" s="22" t="n">
        <v>26.4</v>
      </c>
      <c r="B2117" s="22" t="inlineStr">
        <is>
          <t>Клуб Рослин</t>
        </is>
      </c>
      <c r="C2117" s="22" t="inlineStr">
        <is>
          <t>3265</t>
        </is>
      </c>
      <c r="D2117" s="22" t="inlineStr">
        <is>
          <t>3265</t>
        </is>
      </c>
      <c r="E2117" s="21" t="inlineStr">
        <is>
          <t>Фунгіцид Мілдікат 25 КС 500 мл Sumi Agro Сумі Агро Японія</t>
        </is>
      </c>
      <c r="F2117" s="21" t="inlineStr">
        <is>
          <t>Жимолость Брауна Дропмо Скарлет C2</t>
        </is>
      </c>
      <c r="G2117" s="23" t="n">
        <v>398</v>
      </c>
      <c r="H2117" s="23" t="n">
        <v>144</v>
      </c>
      <c r="I2117" s="21" t="inlineStr">
        <is>
          <t>ID постачальника збігся, але назви різні</t>
        </is>
      </c>
    </row>
    <row r="2118">
      <c r="A2118" s="22" t="n">
        <v>26.3</v>
      </c>
      <c r="B2118" s="22" t="inlineStr">
        <is>
          <t>Клуб Рослин</t>
        </is>
      </c>
      <c r="C2118" s="22" t="inlineStr">
        <is>
          <t>7941</t>
        </is>
      </c>
      <c r="D2118" s="22" t="inlineStr">
        <is>
          <t>7941</t>
        </is>
      </c>
      <c r="E2118" s="21" t="inlineStr">
        <is>
          <t>Добриво Brandt Manni-Plex Ca-B / Брендт Менні-Плекс Кальцій-Бор 10 л США</t>
        </is>
      </c>
      <c r="F2118" s="21" t="inlineStr">
        <is>
          <t>Туя західна (ий) Тіні Тім PC17 C3</t>
        </is>
      </c>
      <c r="G2118" s="23" t="n">
        <v>5652</v>
      </c>
      <c r="H2118" s="23" t="n">
        <v>100</v>
      </c>
      <c r="I2118" s="21" t="inlineStr">
        <is>
          <t>ID постачальника збігся, але назви різні</t>
        </is>
      </c>
    </row>
    <row r="2119">
      <c r="A2119" s="22" t="n">
        <v>26.3</v>
      </c>
      <c r="B2119" s="22" t="inlineStr">
        <is>
          <t>Клуб Рослин</t>
        </is>
      </c>
      <c r="C2119" s="22" t="inlineStr">
        <is>
          <t>7318</t>
        </is>
      </c>
      <c r="D2119" s="22" t="inlineStr">
        <is>
          <t>7318</t>
        </is>
      </c>
      <c r="E2119" s="21" t="inlineStr">
        <is>
          <t>Добриво Кафом Калій-Магній / Kafom К-Mg 5 л Meristem Мерістем Іспанія</t>
        </is>
      </c>
      <c r="F2119" s="21" t="inlineStr">
        <is>
          <t>Сціадопітіс кільчастий C7,5 / H50-60</t>
        </is>
      </c>
      <c r="G2119" s="23" t="n">
        <v>5375</v>
      </c>
      <c r="H2119" s="23" t="n">
        <v>2346</v>
      </c>
      <c r="I2119" s="21" t="inlineStr">
        <is>
          <t>ID постачальника збігся, але назви різні</t>
        </is>
      </c>
    </row>
    <row r="2120">
      <c r="A2120" s="22" t="n">
        <v>26.3</v>
      </c>
      <c r="B2120" s="22" t="inlineStr">
        <is>
          <t>Клуб Рослин</t>
        </is>
      </c>
      <c r="C2120" s="22" t="inlineStr">
        <is>
          <t>3444</t>
        </is>
      </c>
      <c r="D2120" s="22" t="inlineStr">
        <is>
          <t>3444</t>
        </is>
      </c>
      <c r="E2120" s="21" t="inlineStr">
        <is>
          <t>Фугніцид Зугамін РК 5 л Green Express / Грін Експрес</t>
        </is>
      </c>
      <c r="F2120" s="21" t="inlineStr">
        <is>
          <t>Магнолія зіркова C10 / H70-80</t>
        </is>
      </c>
      <c r="G2120" s="23" t="n">
        <v>3998</v>
      </c>
      <c r="H2120" s="23" t="n">
        <v>840</v>
      </c>
      <c r="I2120" s="21" t="inlineStr">
        <is>
          <t>ID постачальника збігся, але назви різні</t>
        </is>
      </c>
    </row>
    <row r="2121">
      <c r="A2121" s="22" t="n">
        <v>26.3</v>
      </c>
      <c r="B2121" s="22" t="inlineStr">
        <is>
          <t>Клуб Рослин</t>
        </is>
      </c>
      <c r="C2121" s="22" t="inlineStr">
        <is>
          <t>7957</t>
        </is>
      </c>
      <c r="D2121" s="22" t="inlineStr">
        <is>
          <t>7957</t>
        </is>
      </c>
      <c r="E2121" s="21" t="inlineStr">
        <is>
          <t>Добриво-біостимулятор Ел-Джі 336 / LG 336 (Cropaid Antifrost) 1 л L.Gobbi Італія</t>
        </is>
      </c>
      <c r="F2121" s="21" t="inlineStr">
        <is>
          <t>Туя складчата Форева Голді PC22 C5 / H35-40</t>
        </is>
      </c>
      <c r="G2121" s="23" t="n">
        <v>1738</v>
      </c>
      <c r="H2121" s="23" t="n">
        <v>384</v>
      </c>
      <c r="I2121" s="21" t="inlineStr">
        <is>
          <t>ID постачальника збігся, але назви різні</t>
        </is>
      </c>
    </row>
    <row r="2122">
      <c r="A2122" s="22" t="n">
        <v>26.3</v>
      </c>
      <c r="B2122" s="22" t="inlineStr">
        <is>
          <t>Клуб Рослин</t>
        </is>
      </c>
      <c r="C2122" s="22" t="inlineStr">
        <is>
          <t>2023</t>
        </is>
      </c>
      <c r="D2122" s="22" t="inlineStr">
        <is>
          <t>2023</t>
        </is>
      </c>
      <c r="E2122" s="21" t="inlineStr">
        <is>
          <t>Інсектицид Іназума 1 кг Summit-Agro / Сумі Агро Японія</t>
        </is>
      </c>
      <c r="F2122" s="21" t="inlineStr">
        <is>
          <t>Гібіскус сірійський Френч кабарет Перпел PC18 C3</t>
        </is>
      </c>
      <c r="G2122" s="23" t="n">
        <v>1186</v>
      </c>
      <c r="H2122" s="23" t="n">
        <v>180</v>
      </c>
      <c r="I2122" s="21" t="inlineStr">
        <is>
          <t>ID постачальника збігся, але назви різні</t>
        </is>
      </c>
    </row>
    <row r="2123">
      <c r="A2123" s="22" t="n">
        <v>26.3</v>
      </c>
      <c r="B2123" s="22" t="inlineStr">
        <is>
          <t>Клуб Рослин</t>
        </is>
      </c>
      <c r="C2123" s="22" t="inlineStr">
        <is>
          <t>1273</t>
        </is>
      </c>
      <c r="D2123" s="22" t="inlineStr">
        <is>
          <t>1273</t>
        </is>
      </c>
      <c r="E2123" s="21" t="inlineStr">
        <is>
          <t>Гербіцид Дефолт 1 л Bingo Україна</t>
        </is>
      </c>
      <c r="F2123" s="21" t="inlineStr">
        <is>
          <t>Кедр гімалайський Пендула Extra C65 / H200-250</t>
        </is>
      </c>
      <c r="G2123" s="23" t="n">
        <v>1175</v>
      </c>
      <c r="H2123" s="23" t="n">
        <v>13440</v>
      </c>
      <c r="I2123" s="21" t="inlineStr">
        <is>
          <t>ID постачальника збігся, але різні бренди</t>
        </is>
      </c>
    </row>
    <row r="2124">
      <c r="A2124" s="22" t="n">
        <v>26.3</v>
      </c>
      <c r="B2124" s="22" t="inlineStr">
        <is>
          <t>Клуб Рослин</t>
        </is>
      </c>
      <c r="C2124" s="22" t="inlineStr">
        <is>
          <t>7664</t>
        </is>
      </c>
      <c r="D2124" s="22" t="inlineStr">
        <is>
          <t>7664</t>
        </is>
      </c>
      <c r="E2124" s="21" t="inlineStr">
        <is>
          <t>Добриво BRANDT Reaction / Брендт Реакшн Фосфор ДС 12-58-0 1 кг Vitera Україна</t>
        </is>
      </c>
      <c r="F2124" s="21" t="inlineStr">
        <is>
          <t>Туя (Платікладус) східна Ауреа Нана PC18 C5</t>
        </is>
      </c>
      <c r="G2124" s="23" t="n">
        <v>818</v>
      </c>
      <c r="H2124" s="23" t="n">
        <v>304</v>
      </c>
      <c r="I2124" s="21" t="inlineStr">
        <is>
          <t>ID постачальника збігся, але назви різні</t>
        </is>
      </c>
    </row>
    <row r="2125">
      <c r="A2125" s="22" t="n">
        <v>26.3</v>
      </c>
      <c r="B2125" s="22" t="inlineStr">
        <is>
          <t>Клуб Рослин</t>
        </is>
      </c>
      <c r="C2125" s="22" t="inlineStr">
        <is>
          <t>160/27</t>
        </is>
      </c>
      <c r="D2125" s="22" t="inlineStr">
        <is>
          <t>16027</t>
        </is>
      </c>
      <c r="E2125" s="21" t="inlineStr">
        <is>
          <t>Ножиці Due Buoi (160/27) Італія</t>
        </is>
      </c>
      <c r="F2125" s="21" t="inlineStr">
        <is>
          <t>Молюскоцид (лімацид) Sumin Molufries 5 GB 500 г засіб від равликів і слимаків на 1250 м2</t>
        </is>
      </c>
      <c r="G2125" s="23" t="n">
        <v>790</v>
      </c>
      <c r="H2125" s="23" t="n">
        <v>250</v>
      </c>
      <c r="I2125" s="21" t="inlineStr">
        <is>
          <t>ID постачальника збігся, але різні бренди</t>
        </is>
      </c>
    </row>
    <row r="2126">
      <c r="A2126" s="22" t="n">
        <v>26.3</v>
      </c>
      <c r="B2126" s="22" t="inlineStr">
        <is>
          <t>Клуб Рослин</t>
        </is>
      </c>
      <c r="C2126" s="22" t="inlineStr">
        <is>
          <t>4003</t>
        </is>
      </c>
      <c r="D2126" s="22" t="inlineStr">
        <is>
          <t>4003</t>
        </is>
      </c>
      <c r="E2126" s="21" t="inlineStr">
        <is>
          <t>Родентицид Шторм 1 кг Basf Басф Німеччина</t>
        </is>
      </c>
      <c r="F2126" s="21" t="inlineStr">
        <is>
          <t>Ялина звичайна Віллс Цверг C2 / H20-25</t>
        </is>
      </c>
      <c r="G2126" s="23" t="n">
        <v>650</v>
      </c>
      <c r="H2126" s="23" t="n">
        <v>746</v>
      </c>
      <c r="I2126" s="21" t="inlineStr">
        <is>
          <t>ID постачальника збігся, але назви різні</t>
        </is>
      </c>
    </row>
    <row r="2127">
      <c r="A2127" s="22" t="n">
        <v>26.3</v>
      </c>
      <c r="B2127" s="22" t="inlineStr">
        <is>
          <t>Клуб Рослин</t>
        </is>
      </c>
      <c r="C2127" s="22" t="inlineStr">
        <is>
          <t>2349</t>
        </is>
      </c>
      <c r="D2127" s="22" t="inlineStr">
        <is>
          <t>2349</t>
        </is>
      </c>
      <c r="E2127" s="21" t="inlineStr">
        <is>
          <t>Інсектицид Kanemite / Канемайт 100 мл Agri Sciences Туреччина</t>
        </is>
      </c>
      <c r="F2127" s="21" t="inlineStr">
        <is>
          <t>Гортензія волотиста Пінк Даймонд PC21 C3</t>
        </is>
      </c>
      <c r="G2127" s="23" t="n">
        <v>648</v>
      </c>
      <c r="H2127" s="23" t="n">
        <v>240</v>
      </c>
      <c r="I2127" s="21" t="inlineStr">
        <is>
          <t>ID постачальника збігся, але назви різні</t>
        </is>
      </c>
    </row>
    <row r="2128">
      <c r="A2128" s="22" t="n">
        <v>26.3</v>
      </c>
      <c r="B2128" s="22" t="inlineStr">
        <is>
          <t>Клуб Рослин</t>
        </is>
      </c>
      <c r="C2128" s="22" t="inlineStr">
        <is>
          <t>7001</t>
        </is>
      </c>
      <c r="D2128" s="22" t="inlineStr">
        <is>
          <t>7001</t>
        </is>
      </c>
      <c r="E2128" s="21" t="inlineStr">
        <is>
          <t>Добриво Плантафол Plantafol 30+10+10 1 кг Syngenta (Valagro) Італія</t>
        </is>
      </c>
      <c r="F2128" s="21" t="inlineStr">
        <is>
          <t>Рододендрон гібридний Нова Зембла C15 / H40-50</t>
        </is>
      </c>
      <c r="G2128" s="23" t="n">
        <v>325</v>
      </c>
      <c r="H2128" s="23" t="n">
        <v>865</v>
      </c>
      <c r="I2128" s="21" t="inlineStr">
        <is>
          <t>ID постачальника збігся, але назви різні</t>
        </is>
      </c>
    </row>
    <row r="2129">
      <c r="A2129" s="22" t="n">
        <v>26.2</v>
      </c>
      <c r="B2129" s="22" t="inlineStr">
        <is>
          <t>Клуб Рослин</t>
        </is>
      </c>
      <c r="C2129" s="22" t="inlineStr">
        <is>
          <t>7680</t>
        </is>
      </c>
      <c r="D2129" s="22" t="inlineStr">
        <is>
          <t>7680</t>
        </is>
      </c>
      <c r="E2129" s="21" t="inlineStr">
        <is>
          <t>Добриво BRANDT Reaction / Брендт Реакшн Калій ДС 5-0-48+8S 10 кг Vitera Україна</t>
        </is>
      </c>
      <c r="F2129" s="21" t="inlineStr">
        <is>
          <t>Туя західна (ий) Брабант PC18 C7,5</t>
        </is>
      </c>
      <c r="G2129" s="23" t="n">
        <v>5818</v>
      </c>
      <c r="H2129" s="23" t="n">
        <v>420</v>
      </c>
      <c r="I2129" s="21" t="inlineStr">
        <is>
          <t>ID постачальника збігся, але назви різні</t>
        </is>
      </c>
    </row>
    <row r="2130">
      <c r="A2130" s="22" t="n">
        <v>26.2</v>
      </c>
      <c r="B2130" s="22" t="inlineStr">
        <is>
          <t>Клуб Рослин</t>
        </is>
      </c>
      <c r="C2130" s="22" t="inlineStr">
        <is>
          <t>7025</t>
        </is>
      </c>
      <c r="D2130" s="22" t="inlineStr">
        <is>
          <t>7025</t>
        </is>
      </c>
      <c r="E2130" s="21" t="inlineStr">
        <is>
          <t>Добриво Мастер Master 3+11+38+4 25 кг Syngenta (Valagro) Італія</t>
        </is>
      </c>
      <c r="F2130" s="21" t="inlineStr">
        <is>
          <t>Рододендрон західна (ий) Джок Бридон C100 / H80-100</t>
        </is>
      </c>
      <c r="G2130" s="23" t="n">
        <v>4675</v>
      </c>
      <c r="H2130" s="23" t="n">
        <v>6293</v>
      </c>
      <c r="I2130" s="21" t="inlineStr">
        <is>
          <t>ID постачальника збігся, але назви різні</t>
        </is>
      </c>
    </row>
    <row r="2131">
      <c r="A2131" s="22" t="n">
        <v>26.2</v>
      </c>
      <c r="B2131" s="22" t="inlineStr">
        <is>
          <t>Клуб Рослин</t>
        </is>
      </c>
      <c r="C2131" s="22" t="inlineStr">
        <is>
          <t>9097</t>
        </is>
      </c>
      <c r="D2131" s="22" t="inlineStr">
        <is>
          <t>9097</t>
        </is>
      </c>
      <c r="E2131" s="21" t="inlineStr">
        <is>
          <t>Регулятор кислотності Аквастаб / AquaStab 10 л Кіссон Україна</t>
        </is>
      </c>
      <c r="F2131" s="21" t="inlineStr">
        <is>
          <t>Добриво Ekote Agriculture 34-04-03 (3-4 місяці), 20 кг</t>
        </is>
      </c>
      <c r="G2131" s="23" t="n">
        <v>2231</v>
      </c>
      <c r="H2131" s="23" t="n">
        <v>3296</v>
      </c>
      <c r="I2131" s="21" t="inlineStr">
        <is>
          <t>ID постачальника збігся, але різні об'єми або розміри</t>
        </is>
      </c>
    </row>
    <row r="2132">
      <c r="A2132" s="22" t="n">
        <v>26.2</v>
      </c>
      <c r="B2132" s="22" t="inlineStr">
        <is>
          <t>Клуб Рослин</t>
        </is>
      </c>
      <c r="C2132" s="22" t="inlineStr">
        <is>
          <t>2027</t>
        </is>
      </c>
      <c r="D2132" s="22" t="inlineStr">
        <is>
          <t>2027</t>
        </is>
      </c>
      <c r="E2132" s="21" t="inlineStr">
        <is>
          <t>Інсектицид Денді 5 л Нуфарм Nufarm Австралія</t>
        </is>
      </c>
      <c r="F2132" s="21" t="inlineStr">
        <is>
          <t>Гібіскус сірійський Хамабо Штамб C3 / Pa50</t>
        </is>
      </c>
      <c r="G2132" s="23" t="n">
        <v>1850</v>
      </c>
      <c r="H2132" s="23" t="n">
        <v>470</v>
      </c>
      <c r="I2132" s="21" t="inlineStr">
        <is>
          <t>ID постачальника збігся, але назви різні</t>
        </is>
      </c>
    </row>
    <row r="2133">
      <c r="A2133" s="22" t="n">
        <v>26.2</v>
      </c>
      <c r="B2133" s="22" t="inlineStr">
        <is>
          <t>Клуб Рослин</t>
        </is>
      </c>
      <c r="C2133" s="22" t="inlineStr">
        <is>
          <t>7821</t>
        </is>
      </c>
      <c r="D2133" s="22" t="inlineStr">
        <is>
          <t>7821</t>
        </is>
      </c>
      <c r="E2133" s="21" t="inlineStr">
        <is>
          <t>Біостимулятор - антистресант Новамін Н (Азот) / Novamine N 1 л Bioera Іспанія</t>
        </is>
      </c>
      <c r="F2133" s="21" t="inlineStr">
        <is>
          <t>Туя західна (ий) Смарагд K18 G / H120-140</t>
        </is>
      </c>
      <c r="G2133" s="23" t="n">
        <v>884</v>
      </c>
      <c r="H2133" s="23" t="n">
        <v>455</v>
      </c>
      <c r="I2133" s="21" t="inlineStr">
        <is>
          <t>ID постачальника збігся, але різні об'єми або розміри</t>
        </is>
      </c>
    </row>
    <row r="2134">
      <c r="A2134" s="22" t="n">
        <v>26.2</v>
      </c>
      <c r="B2134" s="22" t="inlineStr">
        <is>
          <t>Клуб Рослин</t>
        </is>
      </c>
      <c r="C2134" s="22" t="inlineStr">
        <is>
          <t>7667</t>
        </is>
      </c>
      <c r="D2134" s="22" t="inlineStr">
        <is>
          <t>7667</t>
        </is>
      </c>
      <c r="E2134" s="21" t="inlineStr">
        <is>
          <t>Добриво BRANDT Reaction / Брендт Реакшн Калій ДС 5-0-48+8S 250 г Vitera Україна</t>
        </is>
      </c>
      <c r="F2134" s="21" t="inlineStr">
        <is>
          <t>Туя (Платікладус) східна Ауреа Нана PC21 C3 / H30-35</t>
        </is>
      </c>
      <c r="G2134" s="23" t="n">
        <v>318</v>
      </c>
      <c r="H2134" s="23" t="n">
        <v>180</v>
      </c>
      <c r="I2134" s="21" t="inlineStr">
        <is>
          <t>ID постачальника збігся, але назви різні</t>
        </is>
      </c>
    </row>
    <row r="2135">
      <c r="A2135" s="22" t="n">
        <v>26.1</v>
      </c>
      <c r="B2135" s="22" t="inlineStr">
        <is>
          <t>Клуб Рослин</t>
        </is>
      </c>
      <c r="C2135" s="22" t="inlineStr">
        <is>
          <t>7851</t>
        </is>
      </c>
      <c r="D2135" s="22" t="inlineStr">
        <is>
          <t>7851</t>
        </is>
      </c>
      <c r="E2135" s="21" t="inlineStr">
        <is>
          <t>Біостимулятор Ікар Біго Рутс / Ikar Bigo Roots 5 л Литва</t>
        </is>
      </c>
      <c r="F2135" s="21" t="inlineStr">
        <is>
          <t>Туя західна (ий) Смарагд K19 C60 / H120-140</t>
        </is>
      </c>
      <c r="G2135" s="23" t="n">
        <v>5080</v>
      </c>
      <c r="H2135" s="23" t="n">
        <v>508</v>
      </c>
      <c r="I2135" s="21" t="inlineStr">
        <is>
          <t>ID постачальника збігся, але назви різні</t>
        </is>
      </c>
    </row>
    <row r="2136">
      <c r="A2136" s="22" t="n">
        <v>26.1</v>
      </c>
      <c r="B2136" s="22" t="inlineStr">
        <is>
          <t>Клуб Рослин</t>
        </is>
      </c>
      <c r="C2136" s="22" t="inlineStr">
        <is>
          <t>7519</t>
        </is>
      </c>
      <c r="D2136" s="22" t="inlineStr">
        <is>
          <t>7519</t>
        </is>
      </c>
      <c r="E2136" s="21" t="inlineStr">
        <is>
          <t>Добриво GroGreen NPK 3-8-38+2MgO+TE 25 кг Lima Бельгія</t>
        </is>
      </c>
      <c r="F2136" s="21" t="inlineStr">
        <is>
          <t>Тис ягідний (а) Подвійна Куля C230 / H140-160</t>
        </is>
      </c>
      <c r="G2136" s="23" t="n">
        <v>4705</v>
      </c>
      <c r="H2136" s="23" t="n">
        <v>33120</v>
      </c>
      <c r="I2136" s="21" t="inlineStr">
        <is>
          <t>ID постачальника збігся, але назви різні</t>
        </is>
      </c>
    </row>
    <row r="2137">
      <c r="A2137" s="22" t="n">
        <v>26.1</v>
      </c>
      <c r="B2137" s="22" t="inlineStr">
        <is>
          <t>Клуб Рослин</t>
        </is>
      </c>
      <c r="C2137" s="22" t="inlineStr">
        <is>
          <t>4036</t>
        </is>
      </c>
      <c r="D2137" s="22" t="inlineStr">
        <is>
          <t>4036</t>
        </is>
      </c>
      <c r="E2137" s="21" t="inlineStr">
        <is>
          <t>Родентицид Раттер 10 л Enzim Biotech Agro / Ензим Біотек Агро Україна</t>
        </is>
      </c>
      <c r="F2137" s="21" t="inlineStr">
        <is>
          <t>Ялина двоколірна C3 / H25-40</t>
        </is>
      </c>
      <c r="G2137" s="23" t="n">
        <v>4400</v>
      </c>
      <c r="H2137" s="23" t="n">
        <v>1325</v>
      </c>
      <c r="I2137" s="21" t="inlineStr">
        <is>
          <t>ID постачальника збігся, але назви різні</t>
        </is>
      </c>
    </row>
    <row r="2138">
      <c r="A2138" s="22" t="n">
        <v>26.1</v>
      </c>
      <c r="B2138" s="22" t="inlineStr">
        <is>
          <t>Клуб Рослин</t>
        </is>
      </c>
      <c r="C2138" s="22" t="inlineStr">
        <is>
          <t>7794</t>
        </is>
      </c>
      <c r="D2138" s="22" t="inlineStr">
        <is>
          <t>7794</t>
        </is>
      </c>
      <c r="E2138" s="21" t="inlineStr">
        <is>
          <t>Добриво Ікар Інтенс Зерновий / Ikar Intense Grain 5 л Литва</t>
        </is>
      </c>
      <c r="F2138" s="21" t="inlineStr">
        <is>
          <t>Туя західна (ий) Смарагд C7,5 / H100-120</t>
        </is>
      </c>
      <c r="G2138" s="23" t="n">
        <v>2540</v>
      </c>
      <c r="H2138" s="23" t="n">
        <v>435</v>
      </c>
      <c r="I2138" s="21" t="inlineStr">
        <is>
          <t>ID постачальника збігся, але назви різні</t>
        </is>
      </c>
    </row>
    <row r="2139">
      <c r="A2139" s="22" t="n">
        <v>26.1</v>
      </c>
      <c r="B2139" s="22" t="inlineStr">
        <is>
          <t>Клуб Рослин</t>
        </is>
      </c>
      <c r="C2139" s="22" t="inlineStr">
        <is>
          <t>7641</t>
        </is>
      </c>
      <c r="D2139" s="22" t="inlineStr">
        <is>
          <t>7641</t>
        </is>
      </c>
      <c r="E2139" s="21" t="inlineStr">
        <is>
          <t>Укорінювач Хризотек Beige 0.4% 350 г Rhizopon B.V. Нідерланди</t>
        </is>
      </c>
      <c r="F2139" s="21" t="inlineStr">
        <is>
          <t>Тис середній Хілліі PC21 C5 / H30-35</t>
        </is>
      </c>
      <c r="G2139" s="23" t="n">
        <v>1882</v>
      </c>
      <c r="H2139" s="23" t="n">
        <v>384</v>
      </c>
      <c r="I2139" s="21" t="inlineStr">
        <is>
          <t>ID постачальника збігся, але назви різні</t>
        </is>
      </c>
    </row>
    <row r="2140">
      <c r="A2140" s="22" t="n">
        <v>26.1</v>
      </c>
      <c r="B2140" s="22" t="inlineStr">
        <is>
          <t>Клуб Рослин</t>
        </is>
      </c>
      <c r="C2140" s="22" t="inlineStr">
        <is>
          <t>7287</t>
        </is>
      </c>
      <c r="D2140" s="22" t="inlineStr">
        <is>
          <t>7287</t>
        </is>
      </c>
      <c r="E2140" s="21" t="inlineStr">
        <is>
          <t>Добриво Хелатин МоноБор 10 л Кіссон Україна</t>
        </is>
      </c>
      <c r="F2140" s="21" t="inlineStr">
        <is>
          <t>Троянда Сі Фоам DP PC18 C2</t>
        </is>
      </c>
      <c r="G2140" s="23" t="n">
        <v>1685</v>
      </c>
      <c r="H2140" s="23" t="n">
        <v>144</v>
      </c>
      <c r="I2140" s="21" t="inlineStr">
        <is>
          <t>ID постачальника збігся, але назви різні</t>
        </is>
      </c>
    </row>
    <row r="2141">
      <c r="A2141" s="22" t="n">
        <v>26.1</v>
      </c>
      <c r="B2141" s="22" t="inlineStr">
        <is>
          <t>Клуб Рослин</t>
        </is>
      </c>
      <c r="C2141" s="22" t="inlineStr">
        <is>
          <t>7713</t>
        </is>
      </c>
      <c r="D2141" s="22" t="inlineStr">
        <is>
          <t>7713</t>
        </is>
      </c>
      <c r="E2141" s="21" t="inlineStr">
        <is>
          <t>Регулятор росту Ферті Ліф / Ferti Leaf 1 л Кіссон Україна</t>
        </is>
      </c>
      <c r="F2141" s="21" t="inlineStr">
        <is>
          <t>Туя західна (ий) Даніка PC20 C5 / H30 / L25</t>
        </is>
      </c>
      <c r="G2141" s="23" t="n">
        <v>586</v>
      </c>
      <c r="H2141" s="23" t="n">
        <v>290</v>
      </c>
      <c r="I2141" s="21" t="inlineStr">
        <is>
          <t>ID постачальника збігся, але назви різні</t>
        </is>
      </c>
    </row>
    <row r="2142">
      <c r="A2142" s="22" t="n">
        <v>26.1</v>
      </c>
      <c r="B2142" s="22" t="inlineStr">
        <is>
          <t>Клуб Рослин</t>
        </is>
      </c>
      <c r="C2142" s="22" t="inlineStr">
        <is>
          <t>7544</t>
        </is>
      </c>
      <c r="D2142" s="22" t="inlineStr">
        <is>
          <t>7544</t>
        </is>
      </c>
      <c r="E2142" s="21" t="inlineStr">
        <is>
          <t>Добриво Кеміра Грунт NPK 11-10.5-21.2 1 кг Yara Яра Норвегія</t>
        </is>
      </c>
      <c r="F2142" s="21" t="inlineStr">
        <is>
          <t>Тис ягідний (а) Піраміда G+C500 / H225+</t>
        </is>
      </c>
      <c r="G2142" s="23" t="n">
        <v>225</v>
      </c>
      <c r="H2142" s="23" t="n">
        <v>22355</v>
      </c>
      <c r="I2142" s="21" t="inlineStr">
        <is>
          <t>ID постачальника збігся, але назви різні</t>
        </is>
      </c>
    </row>
    <row r="2143">
      <c r="A2143" s="22" t="n">
        <v>26</v>
      </c>
      <c r="B2143" s="22" t="inlineStr">
        <is>
          <t>Клуб Рослин</t>
        </is>
      </c>
      <c r="C2143" s="22" t="inlineStr">
        <is>
          <t>1114</t>
        </is>
      </c>
      <c r="D2143" s="22" t="inlineStr">
        <is>
          <t>1114</t>
        </is>
      </c>
      <c r="E2143" s="21" t="inlineStr">
        <is>
          <t>Гербіцид Варяг 20 л Ukravit Укравіт Україна</t>
        </is>
      </c>
      <c r="F2143" s="21" t="inlineStr">
        <is>
          <t>Самшит вічнозенений Конус C110 / H90</t>
        </is>
      </c>
      <c r="G2143" s="23" t="n">
        <v>7540</v>
      </c>
      <c r="H2143" s="23" t="n">
        <v>4200</v>
      </c>
      <c r="I2143" s="21" t="inlineStr">
        <is>
          <t>ID постачальника збігся, але назви різні</t>
        </is>
      </c>
    </row>
    <row r="2144">
      <c r="A2144" s="22" t="n">
        <v>26</v>
      </c>
      <c r="B2144" s="22" t="inlineStr">
        <is>
          <t>Клуб Рослин</t>
        </is>
      </c>
      <c r="C2144" s="22" t="inlineStr">
        <is>
          <t>3025</t>
        </is>
      </c>
      <c r="D2144" s="22" t="inlineStr">
        <is>
          <t>3025</t>
        </is>
      </c>
      <c r="E2144" s="21" t="inlineStr">
        <is>
          <t>Фунгіцид Чемпіон ЗП 10 кг Nufarm Нуфарм Австралія мідьвмістний препарат</t>
        </is>
      </c>
      <c r="F2144" s="21" t="inlineStr">
        <is>
          <t>Ялівець середній Олд Голд C10</t>
        </is>
      </c>
      <c r="G2144" s="23" t="n">
        <v>6250</v>
      </c>
      <c r="H2144" s="23" t="n">
        <v>479</v>
      </c>
      <c r="I2144" s="21" t="inlineStr">
        <is>
          <t>ID постачальника збігся, але назви різні</t>
        </is>
      </c>
    </row>
    <row r="2145">
      <c r="A2145" s="22" t="n">
        <v>26</v>
      </c>
      <c r="B2145" s="22" t="inlineStr">
        <is>
          <t>Клуб Рослин</t>
        </is>
      </c>
      <c r="C2145" s="22" t="inlineStr">
        <is>
          <t>7425</t>
        </is>
      </c>
      <c r="D2145" s="22" t="inlineStr">
        <is>
          <t>7425</t>
        </is>
      </c>
      <c r="E2145" s="21" t="inlineStr">
        <is>
          <t>Добриво GroGreen Гель Мікро 5 кг (комплекс мікроелементів+гліцин+амінокислоти) Lima Бельгія</t>
        </is>
      </c>
      <c r="F2145" s="21" t="inlineStr">
        <is>
          <t>Бузок звичайний Мішель Бюхнер K16 G / H80-100</t>
        </is>
      </c>
      <c r="G2145" s="23" t="n">
        <v>3800</v>
      </c>
      <c r="H2145" s="23" t="n">
        <v>205</v>
      </c>
      <c r="I2145" s="21" t="inlineStr">
        <is>
          <t>ID постачальника збігся, але різні об'єми або розміри</t>
        </is>
      </c>
    </row>
    <row r="2146">
      <c r="A2146" s="22" t="n">
        <v>26</v>
      </c>
      <c r="B2146" s="22" t="inlineStr">
        <is>
          <t>Клуб Рослин</t>
        </is>
      </c>
      <c r="C2146" s="22" t="inlineStr">
        <is>
          <t>3211</t>
        </is>
      </c>
      <c r="D2146" s="22" t="inlineStr">
        <is>
          <t>3211</t>
        </is>
      </c>
      <c r="E2146" s="21" t="inlineStr">
        <is>
          <t>Фунгіцид Пергадо R 270 WG ВДГ 5 кг Syngenta Сингента Швейцарія</t>
        </is>
      </c>
      <c r="F2146" s="21" t="inlineStr">
        <is>
          <t>Лілія ОТ-гібридна Роберт Свансон 12\14</t>
        </is>
      </c>
      <c r="G2146" s="23" t="n">
        <v>2979</v>
      </c>
      <c r="H2146" s="23" t="n">
        <v>50</v>
      </c>
      <c r="I2146" s="21" t="inlineStr">
        <is>
          <t>ID постачальника збігся, але назви різні</t>
        </is>
      </c>
    </row>
    <row r="2147">
      <c r="A2147" s="22" t="n">
        <v>26</v>
      </c>
      <c r="B2147" s="22" t="inlineStr">
        <is>
          <t>Клуб Рослин</t>
        </is>
      </c>
      <c r="C2147" s="22" t="inlineStr">
        <is>
          <t>8133</t>
        </is>
      </c>
      <c r="D2147" s="22" t="inlineStr">
        <is>
          <t>8133</t>
        </is>
      </c>
      <c r="E2147" s="21" t="inlineStr">
        <is>
          <t>Добриво Технічні Зерива / Zeryva 10 л Украина</t>
        </is>
      </c>
      <c r="F2147" s="21" t="inlineStr">
        <is>
          <t>Калина червона Компактум PC12 C7,5</t>
        </is>
      </c>
      <c r="G2147" s="23" t="n">
        <v>2500</v>
      </c>
      <c r="H2147" s="23" t="n">
        <v>210</v>
      </c>
      <c r="I2147" s="21" t="inlineStr">
        <is>
          <t>ID постачальника збігся, але назви різні</t>
        </is>
      </c>
    </row>
    <row r="2148">
      <c r="A2148" s="22" t="n">
        <v>26</v>
      </c>
      <c r="B2148" s="22" t="inlineStr">
        <is>
          <t>Клуб Рослин</t>
        </is>
      </c>
      <c r="C2148" s="22" t="inlineStr">
        <is>
          <t>7678</t>
        </is>
      </c>
      <c r="D2148" s="22" t="inlineStr">
        <is>
          <t>7678</t>
        </is>
      </c>
      <c r="E2148" s="21" t="inlineStr">
        <is>
          <t>Біопестицид-фунгіцид-інсектоакарацид Мікрокат Бол (Microcat Bal) 1 л Вітера Atlantica Agricola Іспанія</t>
        </is>
      </c>
      <c r="F2148" s="21" t="inlineStr">
        <is>
          <t>Туя західна (ий) Брабант PC18 C15</t>
        </is>
      </c>
      <c r="G2148" s="23" t="n">
        <v>2252</v>
      </c>
      <c r="H2148" s="23" t="n">
        <v>508</v>
      </c>
      <c r="I2148" s="21" t="inlineStr">
        <is>
          <t>ID постачальника збігся, але назви різні</t>
        </is>
      </c>
    </row>
    <row r="2149">
      <c r="A2149" s="22" t="n">
        <v>26</v>
      </c>
      <c r="B2149" s="22" t="inlineStr">
        <is>
          <t>Клуб Рослин</t>
        </is>
      </c>
      <c r="C2149" s="22" t="inlineStr">
        <is>
          <t>1097</t>
        </is>
      </c>
      <c r="D2149" s="22" t="inlineStr">
        <is>
          <t>1097</t>
        </is>
      </c>
      <c r="E2149" s="21" t="inlineStr">
        <is>
          <t>Гербіцид Трифлурекс 5 л Аdama Адама Ізраїль</t>
        </is>
      </c>
      <c r="F2149" s="21" t="inlineStr">
        <is>
          <t>Самшит вічнозенений Куля C25 / L50-55</t>
        </is>
      </c>
      <c r="G2149" s="23" t="n">
        <v>2198</v>
      </c>
      <c r="H2149" s="23" t="n">
        <v>2405</v>
      </c>
      <c r="I2149" s="21" t="inlineStr">
        <is>
          <t>ID постачальника збігся, але назви різні</t>
        </is>
      </c>
    </row>
    <row r="2150">
      <c r="A2150" s="22" t="n">
        <v>26</v>
      </c>
      <c r="B2150" s="22" t="inlineStr">
        <is>
          <t>Клуб Рослин</t>
        </is>
      </c>
      <c r="C2150" s="22" t="inlineStr">
        <is>
          <t>7000</t>
        </is>
      </c>
      <c r="D2150" s="22" t="inlineStr">
        <is>
          <t>7000</t>
        </is>
      </c>
      <c r="E2150" s="21" t="inlineStr">
        <is>
          <t>Добриво Мікро NP Micro NP 10 кг Valagro Валагро Італія</t>
        </is>
      </c>
      <c r="F2150" s="21" t="inlineStr">
        <is>
          <t>Рододендрон гібридний Могамбе C3</t>
        </is>
      </c>
      <c r="G2150" s="23" t="n">
        <v>2175</v>
      </c>
      <c r="H2150" s="23" t="n">
        <v>245</v>
      </c>
      <c r="I2150" s="21" t="inlineStr">
        <is>
          <t>ID постачальника збігся, але назви різні</t>
        </is>
      </c>
    </row>
    <row r="2151">
      <c r="A2151" s="22" t="n">
        <v>26</v>
      </c>
      <c r="B2151" s="22" t="inlineStr">
        <is>
          <t>Клуб Рослин</t>
        </is>
      </c>
      <c r="C2151" s="22" t="inlineStr">
        <is>
          <t>7774</t>
        </is>
      </c>
      <c r="D2151" s="22" t="inlineStr">
        <is>
          <t>7774</t>
        </is>
      </c>
      <c r="E2151" s="21" t="inlineStr">
        <is>
          <t>Добриво Ікар Хайго Колд / Ikar Higo Cold 1 л Литва</t>
        </is>
      </c>
      <c r="F2151" s="21" t="inlineStr">
        <is>
          <t>Туя західна (ий) Мірьям ® PC14 C5</t>
        </is>
      </c>
      <c r="G2151" s="23" t="n">
        <v>1047</v>
      </c>
      <c r="H2151" s="23" t="n">
        <v>210</v>
      </c>
      <c r="I2151" s="21" t="inlineStr">
        <is>
          <t>ID постачальника збігся, але назви різні</t>
        </is>
      </c>
    </row>
    <row r="2152">
      <c r="A2152" s="22" t="n">
        <v>26</v>
      </c>
      <c r="B2152" s="22" t="inlineStr">
        <is>
          <t>Клуб Рослин</t>
        </is>
      </c>
      <c r="C2152" s="22" t="inlineStr">
        <is>
          <t>3347</t>
        </is>
      </c>
      <c r="D2152" s="22" t="inlineStr">
        <is>
          <t>3347</t>
        </is>
      </c>
      <c r="E2152" s="21" t="inlineStr">
        <is>
          <t>Фунгіцид Чемпіон ВГ 1 кг (розсип) Nufarm Нуфарм Австралія мідьвмістний препарат</t>
        </is>
      </c>
      <c r="F2152" s="21" t="inlineStr">
        <is>
          <t>Магнолія Хані Туліп C12</t>
        </is>
      </c>
      <c r="G2152" s="23" t="n">
        <v>648</v>
      </c>
      <c r="H2152" s="23" t="n">
        <v>1320</v>
      </c>
      <c r="I2152" s="21" t="inlineStr">
        <is>
          <t>ID постачальника збігся, але назви різні</t>
        </is>
      </c>
    </row>
    <row r="2153">
      <c r="A2153" s="22" t="n">
        <v>26</v>
      </c>
      <c r="B2153" s="22" t="inlineStr">
        <is>
          <t>Клуб Рослин</t>
        </is>
      </c>
      <c r="C2153" s="22" t="inlineStr">
        <is>
          <t>7063</t>
        </is>
      </c>
      <c r="D2153" s="22" t="inlineStr">
        <is>
          <t>7063</t>
        </is>
      </c>
      <c r="E2153" s="21" t="inlineStr">
        <is>
          <t>Біостимулятор укорінювач Радіфарм Radifarm 100 мл Валагро Valagro Італія</t>
        </is>
      </c>
      <c r="F2153" s="21" t="inlineStr">
        <is>
          <t>Агрус Штамб K17 G / L40-60 / Pa60</t>
        </is>
      </c>
      <c r="G2153" s="23" t="n">
        <v>298</v>
      </c>
      <c r="H2153" s="23" t="n">
        <v>305</v>
      </c>
      <c r="I2153" s="21" t="inlineStr">
        <is>
          <t>ID постачальника збігся, але різні об'єми або розміри</t>
        </is>
      </c>
    </row>
    <row r="2154">
      <c r="A2154" s="22" t="n">
        <v>25.9</v>
      </c>
      <c r="B2154" s="22" t="inlineStr">
        <is>
          <t>Клуб Рослин</t>
        </is>
      </c>
      <c r="C2154" s="22" t="inlineStr">
        <is>
          <t>7419</t>
        </is>
      </c>
      <c r="D2154" s="22" t="inlineStr">
        <is>
          <t>7419</t>
        </is>
      </c>
      <c r="E2154" s="21" t="inlineStr">
        <is>
          <t>Добриво Grogreen Гель Стартер NPK 16-69-16+TE 5 кг Lima Бельгія</t>
        </is>
      </c>
      <c r="F2154" s="21" t="inlineStr">
        <is>
          <t>Бузок звичайний Красавіца Москви Штамб GK / Pa100</t>
        </is>
      </c>
      <c r="G2154" s="23" t="n">
        <v>2790</v>
      </c>
      <c r="H2154" s="23" t="n">
        <v>455</v>
      </c>
      <c r="I2154" s="21" t="inlineStr">
        <is>
          <t>ID постачальника збігся, але різні бренди</t>
        </is>
      </c>
    </row>
    <row r="2155">
      <c r="A2155" s="22" t="n">
        <v>25.9</v>
      </c>
      <c r="B2155" s="22" t="inlineStr">
        <is>
          <t>Клуб Рослин</t>
        </is>
      </c>
      <c r="C2155" s="22" t="inlineStr">
        <is>
          <t>7062</t>
        </is>
      </c>
      <c r="D2155" s="22" t="inlineStr">
        <is>
          <t>7062</t>
        </is>
      </c>
      <c r="E2155" s="21" t="inlineStr">
        <is>
          <t>Стимулятор росту Бенефіт ПЗ Benefit PZ 1 л Syngenta (Valagro) Італія</t>
        </is>
      </c>
      <c r="F2155" s="21" t="inlineStr">
        <is>
          <t>Агрус Хіннонмакі Рот Штамб C3 / H125-150 / Pa80</t>
        </is>
      </c>
      <c r="G2155" s="23" t="n">
        <v>1675</v>
      </c>
      <c r="H2155" s="23" t="n">
        <v>525</v>
      </c>
      <c r="I2155" s="21" t="inlineStr">
        <is>
          <t>ID постачальника збігся, але назви різні</t>
        </is>
      </c>
    </row>
    <row r="2156">
      <c r="A2156" s="22" t="n">
        <v>25.9</v>
      </c>
      <c r="B2156" s="22" t="inlineStr">
        <is>
          <t>Клуб Рослин</t>
        </is>
      </c>
      <c r="C2156" s="22" t="inlineStr">
        <is>
          <t>3030</t>
        </is>
      </c>
      <c r="D2156" s="22" t="inlineStr">
        <is>
          <t>3030</t>
        </is>
      </c>
      <c r="E2156" s="21" t="inlineStr">
        <is>
          <t>Фунгіцид Шавіт Ф 72 WG ВДГ 1 кг Adama Адама Ізраїль</t>
        </is>
      </c>
      <c r="F2156" s="21" t="inlineStr">
        <is>
          <t>Ялівець середній Олд Голд C5 / H30-40</t>
        </is>
      </c>
      <c r="G2156" s="23" t="n">
        <v>858</v>
      </c>
      <c r="H2156" s="23" t="n">
        <v>240</v>
      </c>
      <c r="I2156" s="21" t="inlineStr">
        <is>
          <t>ID постачальника збігся, але назви різні</t>
        </is>
      </c>
    </row>
    <row r="2157">
      <c r="A2157" s="22" t="n">
        <v>25.9</v>
      </c>
      <c r="B2157" s="22" t="inlineStr">
        <is>
          <t>Клуб Рослин</t>
        </is>
      </c>
      <c r="C2157" s="22" t="inlineStr">
        <is>
          <t>3332</t>
        </is>
      </c>
      <c r="D2157" s="22" t="inlineStr">
        <is>
          <t>3332</t>
        </is>
      </c>
      <c r="E2157" s="21" t="inlineStr">
        <is>
          <t>Фунгіцид Тройсет 250 г Ukravit Укравіт Україна</t>
        </is>
      </c>
      <c r="F2157" s="21" t="inlineStr">
        <is>
          <t>Магнолія Елізабет Штамб C80 / o12-16 / Pa200</t>
        </is>
      </c>
      <c r="G2157" s="23" t="n">
        <v>238</v>
      </c>
      <c r="H2157" s="23" t="n">
        <v>9075</v>
      </c>
      <c r="I2157" s="21" t="inlineStr">
        <is>
          <t>ID постачальника збігся, але назви різні</t>
        </is>
      </c>
    </row>
    <row r="2158">
      <c r="A2158" s="22" t="n">
        <v>25.9</v>
      </c>
      <c r="B2158" s="22" t="inlineStr">
        <is>
          <t>Клуб Рослин</t>
        </is>
      </c>
      <c r="C2158" s="22" t="inlineStr">
        <is>
          <t>7961</t>
        </is>
      </c>
      <c r="D2158" s="22" t="inlineStr">
        <is>
          <t>7961</t>
        </is>
      </c>
      <c r="E2158" s="21" t="inlineStr">
        <is>
          <t>Біостимулятор-антистресант Текамін Макс / Tecamin Max 250 мл AgriTecno Іспанія</t>
        </is>
      </c>
      <c r="F2158" s="21" t="inlineStr">
        <is>
          <t>Туя складчата Корнік K14 G / H60-80</t>
        </is>
      </c>
      <c r="G2158" s="23" t="n">
        <v>205</v>
      </c>
      <c r="H2158" s="23" t="n">
        <v>350</v>
      </c>
      <c r="I2158" s="21" t="inlineStr">
        <is>
          <t>ID постачальника збігся, але різні об'єми або розміри</t>
        </is>
      </c>
    </row>
    <row r="2159">
      <c r="A2159" s="22" t="n">
        <v>25.9</v>
      </c>
      <c r="B2159" s="22" t="inlineStr">
        <is>
          <t>Клуб Рослин</t>
        </is>
      </c>
      <c r="C2159" s="22" t="inlineStr">
        <is>
          <t>8027</t>
        </is>
      </c>
      <c r="D2159" s="22" t="inlineStr">
        <is>
          <t>8027</t>
        </is>
      </c>
      <c r="E2159" s="21" t="inlineStr">
        <is>
          <t>Добриво МікроСтім Бор / MicroStim B 5 л Імекс Агро Україна</t>
        </is>
      </c>
      <c r="F2159" s="21" t="inlineStr">
        <is>
          <t>Тсуга канадська K C65 / H120-140</t>
        </is>
      </c>
      <c r="G2159" s="23" t="n"/>
      <c r="H2159" s="23" t="n">
        <v>1243</v>
      </c>
      <c r="I2159" s="21" t="inlineStr">
        <is>
          <t>ID постачальника збігся, але назви різні</t>
        </is>
      </c>
    </row>
    <row r="2160">
      <c r="A2160" s="22" t="n">
        <v>25.8</v>
      </c>
      <c r="B2160" s="22" t="inlineStr">
        <is>
          <t>Клуб Рослин</t>
        </is>
      </c>
      <c r="C2160" s="22" t="inlineStr">
        <is>
          <t>7991</t>
        </is>
      </c>
      <c r="D2160" s="22" t="inlineStr">
        <is>
          <t>7991</t>
        </is>
      </c>
      <c r="E2160" s="21" t="inlineStr">
        <is>
          <t>Добриво Леда Гель Кальцй Плюс / Leda Gel Ca Plus 10 л Велика Британія</t>
        </is>
      </c>
      <c r="F2160" s="21" t="inlineStr">
        <is>
          <t>Липа широколиста C80 / o10-12</t>
        </is>
      </c>
      <c r="G2160" s="23" t="n">
        <v>6925</v>
      </c>
      <c r="H2160" s="23" t="n">
        <v>4968</v>
      </c>
      <c r="I2160" s="21" t="inlineStr">
        <is>
          <t>ID постачальника збігся, але назви різні</t>
        </is>
      </c>
    </row>
    <row r="2161">
      <c r="A2161" s="22" t="n">
        <v>25.8</v>
      </c>
      <c r="B2161" s="22" t="inlineStr">
        <is>
          <t>Клуб Рослин</t>
        </is>
      </c>
      <c r="C2161" s="22" t="inlineStr">
        <is>
          <t>7148</t>
        </is>
      </c>
      <c r="D2161" s="22" t="inlineStr">
        <is>
          <t>7148</t>
        </is>
      </c>
      <c r="E2161" s="21" t="inlineStr">
        <is>
          <t>Біостимулятор Амінокат 30% (Aminocat 30%) 5 л Вітера Atlantica Agricola Іспанія</t>
        </is>
      </c>
      <c r="F2161" s="21" t="inlineStr">
        <is>
          <t>Троянда гібридний(а) Бель Перль SP G</t>
        </is>
      </c>
      <c r="G2161" s="23" t="n">
        <v>5847</v>
      </c>
      <c r="H2161" s="23" t="n">
        <v>44</v>
      </c>
      <c r="I2161" s="21" t="inlineStr">
        <is>
          <t>ID постачальника збігся, але різні бренди</t>
        </is>
      </c>
    </row>
    <row r="2162">
      <c r="A2162" s="22" t="n">
        <v>25.8</v>
      </c>
      <c r="B2162" s="22" t="inlineStr">
        <is>
          <t>Клуб Рослин</t>
        </is>
      </c>
      <c r="C2162" s="22" t="inlineStr">
        <is>
          <t>7634</t>
        </is>
      </c>
      <c r="D2162" s="22" t="inlineStr">
        <is>
          <t>7634</t>
        </is>
      </c>
      <c r="E2162" s="21" t="inlineStr">
        <is>
          <t>Укорінювач Ризопон Powder AA 0.5% 500 г Rhizopon B.V. Нідерланди</t>
        </is>
      </c>
      <c r="F2162" s="21" t="inlineStr">
        <is>
          <t>Тис середній Хілліі C40 / H120-140</t>
        </is>
      </c>
      <c r="G2162" s="23" t="n">
        <v>2700</v>
      </c>
      <c r="H2162" s="23" t="n">
        <v>4140</v>
      </c>
      <c r="I2162" s="21" t="inlineStr">
        <is>
          <t>ID постачальника збігся, але назви різні</t>
        </is>
      </c>
    </row>
    <row r="2163">
      <c r="A2163" s="22" t="n">
        <v>25.8</v>
      </c>
      <c r="B2163" s="22" t="inlineStr">
        <is>
          <t>Клуб Рослин</t>
        </is>
      </c>
      <c r="C2163" s="22" t="inlineStr">
        <is>
          <t>7639</t>
        </is>
      </c>
      <c r="D2163" s="22" t="inlineStr">
        <is>
          <t>7639</t>
        </is>
      </c>
      <c r="E2163" s="21" t="inlineStr">
        <is>
          <t>Укорінювач Хризопон Rose 0.1% 350 г Rhizopon B.V. Нідерланди</t>
        </is>
      </c>
      <c r="F2163" s="21" t="inlineStr">
        <is>
          <t>Тис середній Хілліі PC20 C20 / H80-100</t>
        </is>
      </c>
      <c r="G2163" s="23" t="n">
        <v>1882</v>
      </c>
      <c r="H2163" s="23" t="n">
        <v>1409</v>
      </c>
      <c r="I2163" s="21" t="inlineStr">
        <is>
          <t>ID постачальника збігся, але назви різні</t>
        </is>
      </c>
    </row>
    <row r="2164">
      <c r="A2164" s="22" t="n">
        <v>25.8</v>
      </c>
      <c r="B2164" s="22" t="inlineStr">
        <is>
          <t>Клуб Рослин</t>
        </is>
      </c>
      <c r="C2164" s="22" t="inlineStr">
        <is>
          <t>3136</t>
        </is>
      </c>
      <c r="D2164" s="22" t="inlineStr">
        <is>
          <t>3136</t>
        </is>
      </c>
      <c r="E2164" s="21" t="inlineStr">
        <is>
          <t>Фунгіцид Магнікур Енерджі 840 SL в.р. 500 мл Bayer Байєр Німеччина</t>
        </is>
      </c>
      <c r="F2164" s="21" t="inlineStr">
        <is>
          <t>Бірючина звичайна GK / H100-125</t>
        </is>
      </c>
      <c r="G2164" s="23" t="n">
        <v>1198</v>
      </c>
      <c r="H2164" s="23" t="n">
        <v>54</v>
      </c>
      <c r="I2164" s="21" t="inlineStr">
        <is>
          <t>ID постачальника збігся, але різні бренди</t>
        </is>
      </c>
    </row>
    <row r="2165">
      <c r="A2165" s="22" t="n">
        <v>25.8</v>
      </c>
      <c r="B2165" s="22" t="inlineStr">
        <is>
          <t>Клуб Рослин</t>
        </is>
      </c>
      <c r="C2165" s="22" t="inlineStr">
        <is>
          <t>3312</t>
        </is>
      </c>
      <c r="D2165" s="22" t="inlineStr">
        <is>
          <t>3312</t>
        </is>
      </c>
      <c r="E2165" s="21" t="inlineStr">
        <is>
          <t>Фунгіцид Ридоміл Голд R 162 WG ВДГ 1 кг Syngenta Сингента Швейцарія</t>
        </is>
      </c>
      <c r="F2165" s="21" t="inlineStr">
        <is>
          <t>Магнолія Дафні C7,5 / H80-100</t>
        </is>
      </c>
      <c r="G2165" s="23" t="n">
        <v>898</v>
      </c>
      <c r="H2165" s="23" t="n">
        <v>2050</v>
      </c>
      <c r="I2165" s="21" t="inlineStr">
        <is>
          <t>ID постачальника збігся, але назви різні</t>
        </is>
      </c>
    </row>
    <row r="2166">
      <c r="A2166" s="22" t="n">
        <v>25.8</v>
      </c>
      <c r="B2166" s="22" t="inlineStr">
        <is>
          <t>Клуб Рослин</t>
        </is>
      </c>
      <c r="C2166" s="22" t="inlineStr">
        <is>
          <t>7765</t>
        </is>
      </c>
      <c r="D2166" s="22" t="inlineStr">
        <is>
          <t>7765</t>
        </is>
      </c>
      <c r="E2166" s="21" t="inlineStr">
        <is>
          <t>Добриво Ікар Фосто (Фосфор) / Ikar Fosto 1 л Литва</t>
        </is>
      </c>
      <c r="F2166" s="21" t="inlineStr">
        <is>
          <t>Туя західна (ий) Литл Джаінт PC21 C12 / H40-45 / L30-35</t>
        </is>
      </c>
      <c r="G2166" s="23" t="n">
        <v>875</v>
      </c>
      <c r="H2166" s="23" t="n">
        <v>456</v>
      </c>
      <c r="I2166" s="21" t="inlineStr">
        <is>
          <t>ID постачальника збігся, але назви різні</t>
        </is>
      </c>
    </row>
    <row r="2167">
      <c r="A2167" s="22" t="n">
        <v>25.8</v>
      </c>
      <c r="B2167" s="22" t="inlineStr">
        <is>
          <t>Клуб Рослин</t>
        </is>
      </c>
      <c r="C2167" s="22" t="inlineStr">
        <is>
          <t>2259</t>
        </is>
      </c>
      <c r="D2167" s="22" t="inlineStr">
        <is>
          <t>2259</t>
        </is>
      </c>
      <c r="E2167" s="21" t="inlineStr">
        <is>
          <t>Біоінсектицид Мікрокат Флік (Microcat Flic) 250 мл Вітера Atlantica Agricola Іспанія</t>
        </is>
      </c>
      <c r="F2167" s="21" t="inlineStr">
        <is>
          <t>Гортензія волотиста Літтл Лайм (Джейн) PC21 C5 / H50-60</t>
        </is>
      </c>
      <c r="G2167" s="23" t="n">
        <v>550</v>
      </c>
      <c r="H2167" s="23" t="n">
        <v>360</v>
      </c>
      <c r="I2167" s="21" t="inlineStr">
        <is>
          <t>ID постачальника збігся, але назви різні</t>
        </is>
      </c>
    </row>
    <row r="2168">
      <c r="A2168" s="22" t="n">
        <v>25.8</v>
      </c>
      <c r="B2168" s="22" t="inlineStr">
        <is>
          <t>Клуб Рослин</t>
        </is>
      </c>
      <c r="C2168" s="22" t="inlineStr">
        <is>
          <t>3266</t>
        </is>
      </c>
      <c r="D2168" s="22" t="inlineStr">
        <is>
          <t>3266</t>
        </is>
      </c>
      <c r="E2168" s="21" t="inlineStr">
        <is>
          <t>Фунгіцид Артемікс КС 500 мл SumiAgro Сумі Агро Японія</t>
        </is>
      </c>
      <c r="F2168" s="21" t="inlineStr">
        <is>
          <t>Жимолость Брауна Дропмо Скарлет C2 / H40-60</t>
        </is>
      </c>
      <c r="G2168" s="23" t="n">
        <v>398</v>
      </c>
      <c r="H2168" s="23" t="n">
        <v>155</v>
      </c>
      <c r="I2168" s="21" t="inlineStr">
        <is>
          <t>ID постачальника збігся, але назви різні</t>
        </is>
      </c>
    </row>
    <row r="2169">
      <c r="A2169" s="22" t="n">
        <v>25.8</v>
      </c>
      <c r="B2169" s="22" t="inlineStr">
        <is>
          <t>Клуб Рослин</t>
        </is>
      </c>
      <c r="C2169" s="22" t="inlineStr">
        <is>
          <t>7046</t>
        </is>
      </c>
      <c r="D2169" s="22" t="inlineStr">
        <is>
          <t>7046</t>
        </is>
      </c>
      <c r="E2169" s="21" t="inlineStr">
        <is>
          <t>Біостимулятор Віва Viva 100 мл Valagro Валагро Італія</t>
        </is>
      </c>
      <c r="F2169" s="21" t="inlineStr">
        <is>
          <t>Рододендрон якушиманський Снізі C3 / H20-30</t>
        </is>
      </c>
      <c r="G2169" s="23" t="n">
        <v>125</v>
      </c>
      <c r="H2169" s="23" t="n">
        <v>300</v>
      </c>
      <c r="I2169" s="21" t="inlineStr">
        <is>
          <t>ID постачальника збігся, але назви різні</t>
        </is>
      </c>
    </row>
    <row r="2170">
      <c r="A2170" s="22" t="n">
        <v>25.8</v>
      </c>
      <c r="B2170" s="22" t="inlineStr">
        <is>
          <t>Клуб Рослин</t>
        </is>
      </c>
      <c r="C2170" s="22" t="inlineStr">
        <is>
          <t>1-100</t>
        </is>
      </c>
      <c r="D2170" s="22" t="inlineStr">
        <is>
          <t>1100</t>
        </is>
      </c>
      <c r="E2170" s="21" t="inlineStr">
        <is>
          <t>Скоби металеві для садового тапенера (степлера) для підв'язки рослин</t>
        </is>
      </c>
      <c r="F2170" s="21" t="inlineStr">
        <is>
          <t>Самшит вічнозенений Куля G+C / L50-55</t>
        </is>
      </c>
      <c r="G2170" s="23" t="n">
        <v>100</v>
      </c>
      <c r="H2170" s="23" t="n">
        <v>1805</v>
      </c>
      <c r="I2170" s="21" t="inlineStr">
        <is>
          <t>ID постачальника збігся, але назви різні</t>
        </is>
      </c>
    </row>
    <row r="2171">
      <c r="A2171" s="22" t="n">
        <v>25.8</v>
      </c>
      <c r="B2171" s="22" t="inlineStr">
        <is>
          <t>Клуб Рослин</t>
        </is>
      </c>
      <c r="C2171" s="22" t="inlineStr">
        <is>
          <t>8044</t>
        </is>
      </c>
      <c r="D2171" s="22" t="inlineStr">
        <is>
          <t>8044</t>
        </is>
      </c>
      <c r="E2171" s="21" t="inlineStr">
        <is>
          <t>Біофунгіцид МікроЦел Плюс / MicoCell + 5 л Імекс Агро Україна</t>
        </is>
      </c>
      <c r="F2171" s="21" t="inlineStr">
        <is>
          <t>Тсуга канадська Пендула C107 / H200-225</t>
        </is>
      </c>
      <c r="G2171" s="23" t="n"/>
      <c r="H2171" s="23" t="n">
        <v>5190</v>
      </c>
      <c r="I2171" s="21" t="inlineStr">
        <is>
          <t>ID постачальника збігся, але назви різні</t>
        </is>
      </c>
    </row>
    <row r="2172">
      <c r="A2172" s="22" t="n">
        <v>25.7</v>
      </c>
      <c r="B2172" s="22" t="inlineStr">
        <is>
          <t>Клуб Рослин</t>
        </is>
      </c>
      <c r="C2172" s="22" t="inlineStr">
        <is>
          <t>7154</t>
        </is>
      </c>
      <c r="D2172" s="22" t="inlineStr">
        <is>
          <t>7154</t>
        </is>
      </c>
      <c r="E2172" s="21" t="inlineStr">
        <is>
          <t>Стимулятор росту Райкат Ріст (Raykat Growth) 5 л Вітера Atlantica Agricola Іспанія</t>
        </is>
      </c>
      <c r="F2172" s="21" t="inlineStr">
        <is>
          <t>Троянда гібридний(а) Блаш SP G</t>
        </is>
      </c>
      <c r="G2172" s="23" t="n">
        <v>5468</v>
      </c>
      <c r="H2172" s="23" t="n">
        <v>44</v>
      </c>
      <c r="I2172" s="21" t="inlineStr">
        <is>
          <t>ID постачальника збігся, але різні бренди</t>
        </is>
      </c>
    </row>
    <row r="2173">
      <c r="A2173" s="22" t="n">
        <v>25.7</v>
      </c>
      <c r="B2173" s="22" t="inlineStr">
        <is>
          <t>Клуб Рослин</t>
        </is>
      </c>
      <c r="C2173" s="22" t="inlineStr">
        <is>
          <t>3242</t>
        </is>
      </c>
      <c r="D2173" s="22" t="inlineStr">
        <is>
          <t>3242</t>
        </is>
      </c>
      <c r="E2173" s="21" t="inlineStr">
        <is>
          <t>Фунгіцид Купроксат 10 л Nufarm Нуфарм Австралія</t>
        </is>
      </c>
      <c r="F2173" s="21" t="inlineStr">
        <is>
          <t>Ліріодендрон (Тюльпанове дерево) тюльпановий C35 / H200-300</t>
        </is>
      </c>
      <c r="G2173" s="23" t="n">
        <v>3598</v>
      </c>
      <c r="H2173" s="23" t="n">
        <v>7452</v>
      </c>
      <c r="I2173" s="21" t="inlineStr">
        <is>
          <t>ID постачальника збігся, але назви різні</t>
        </is>
      </c>
    </row>
    <row r="2174">
      <c r="A2174" s="22" t="n">
        <v>25.7</v>
      </c>
      <c r="B2174" s="22" t="inlineStr">
        <is>
          <t>Клуб Рослин</t>
        </is>
      </c>
      <c r="C2174" s="22" t="inlineStr">
        <is>
          <t>3153</t>
        </is>
      </c>
      <c r="D2174" s="22" t="inlineStr">
        <is>
          <t>3153</t>
        </is>
      </c>
      <c r="E2174" s="21" t="inlineStr">
        <is>
          <t>Фунгіцид Імпакт К 36.6% 5 л FMC ФМС США</t>
        </is>
      </c>
      <c r="F2174" s="21" t="inlineStr">
        <is>
          <t>Лілія ЛА-гібридна Бріндізі 14\16</t>
        </is>
      </c>
      <c r="G2174" s="23" t="n">
        <v>4160</v>
      </c>
      <c r="H2174" s="23" t="n">
        <v>50</v>
      </c>
      <c r="I2174" s="21" t="inlineStr">
        <is>
          <t>ID постачальника збігся, але назви різні</t>
        </is>
      </c>
    </row>
    <row r="2175">
      <c r="A2175" s="22" t="n">
        <v>25.7</v>
      </c>
      <c r="B2175" s="22" t="inlineStr">
        <is>
          <t>Клуб Рослин</t>
        </is>
      </c>
      <c r="C2175" s="22" t="inlineStr">
        <is>
          <t>7734</t>
        </is>
      </c>
      <c r="D2175" s="22" t="inlineStr">
        <is>
          <t>7734</t>
        </is>
      </c>
      <c r="E2175" s="21" t="inlineStr">
        <is>
          <t>Біостимулятор Текамін Брікс / Tecamin Brix 5 л AgriTecno Іспанія</t>
        </is>
      </c>
      <c r="F2175" s="21" t="inlineStr">
        <is>
          <t>Туя західна (ий) Голден Смарагд ® C12 / H40-60</t>
        </is>
      </c>
      <c r="G2175" s="23" t="n">
        <v>4004</v>
      </c>
      <c r="H2175" s="23" t="n">
        <v>565</v>
      </c>
      <c r="I2175" s="21" t="inlineStr">
        <is>
          <t>ID постачальника збігся, але назви різні</t>
        </is>
      </c>
    </row>
    <row r="2176">
      <c r="A2176" s="22" t="n">
        <v>25.7</v>
      </c>
      <c r="B2176" s="22" t="inlineStr">
        <is>
          <t>Клуб Рослин</t>
        </is>
      </c>
      <c r="C2176" s="22" t="inlineStr">
        <is>
          <t>7401</t>
        </is>
      </c>
      <c r="D2176" s="22" t="inlineStr">
        <is>
          <t>7401</t>
        </is>
      </c>
      <c r="E2176" s="21" t="inlineStr">
        <is>
          <t>Добриво GroGreen Гель Блу-С 5 кг (бор-10.5%+сірка-13.4%+ТE) Lima Бельгія</t>
        </is>
      </c>
      <c r="F2176" s="21" t="inlineStr">
        <is>
          <t>Бузок Мейєра Палібін Штамб C10 / Pa80</t>
        </is>
      </c>
      <c r="G2176" s="23" t="n">
        <v>3796</v>
      </c>
      <c r="H2176" s="23" t="n">
        <v>2160</v>
      </c>
      <c r="I2176" s="21" t="inlineStr">
        <is>
          <t>ID постачальника збігся, але назви різні</t>
        </is>
      </c>
    </row>
    <row r="2177">
      <c r="A2177" s="22" t="n">
        <v>25.7</v>
      </c>
      <c r="B2177" s="22" t="inlineStr">
        <is>
          <t>Клуб Рослин</t>
        </is>
      </c>
      <c r="C2177" s="22" t="inlineStr">
        <is>
          <t>5011</t>
        </is>
      </c>
      <c r="D2177" s="22" t="inlineStr">
        <is>
          <t>5011</t>
        </is>
      </c>
      <c r="E2177" s="21" t="inlineStr">
        <is>
          <t>Протруювач Тексіо Велум 500 мл Bayer Байєр Німеччина</t>
        </is>
      </c>
      <c r="F2177" s="21" t="inlineStr">
        <is>
          <t>Сосна густоквіткова Умбракуліфера K19 C60 / H100-120</t>
        </is>
      </c>
      <c r="G2177" s="23" t="n">
        <v>1248</v>
      </c>
      <c r="H2177" s="23" t="n">
        <v>2584</v>
      </c>
      <c r="I2177" s="21" t="inlineStr">
        <is>
          <t>ID постачальника збігся, але назви різні</t>
        </is>
      </c>
    </row>
    <row r="2178">
      <c r="A2178" s="22" t="n">
        <v>25.7</v>
      </c>
      <c r="B2178" s="22" t="inlineStr">
        <is>
          <t>Клуб Рослин</t>
        </is>
      </c>
      <c r="C2178" s="22" t="inlineStr">
        <is>
          <t>3321</t>
        </is>
      </c>
      <c r="D2178" s="22" t="inlineStr">
        <is>
          <t>3321</t>
        </is>
      </c>
      <c r="E2178" s="21" t="inlineStr">
        <is>
          <t>Біофунгіцид Фітодоктор 1 кг Enzim Biotech Agro / Ензим Біотех Агро Україна</t>
        </is>
      </c>
      <c r="F2178" s="21" t="inlineStr">
        <is>
          <t>Магнолія гола Єллоу Рівер C30 / H100-120</t>
        </is>
      </c>
      <c r="G2178" s="23" t="n">
        <v>457</v>
      </c>
      <c r="H2178" s="23" t="n">
        <v>3610</v>
      </c>
      <c r="I2178" s="21" t="inlineStr">
        <is>
          <t>ID постачальника збігся, але назви різні</t>
        </is>
      </c>
    </row>
    <row r="2179">
      <c r="A2179" s="22" t="n">
        <v>25.7</v>
      </c>
      <c r="B2179" s="22" t="inlineStr">
        <is>
          <t>Клуб Рослин</t>
        </is>
      </c>
      <c r="C2179" s="22" t="inlineStr">
        <is>
          <t>3683</t>
        </is>
      </c>
      <c r="D2179" s="22" t="inlineStr">
        <is>
          <t>3683</t>
        </is>
      </c>
      <c r="E2179" s="21" t="inlineStr">
        <is>
          <t>Фунгіцид Фалькон 250 мл (розлив) Bayer Байєр Німеччина</t>
        </is>
      </c>
      <c r="F2179" s="21" t="inlineStr">
        <is>
          <t>Нарцис Обдам 14\16</t>
        </is>
      </c>
      <c r="G2179" s="23" t="n">
        <v>398</v>
      </c>
      <c r="H2179" s="23" t="n">
        <v>20</v>
      </c>
      <c r="I2179" s="21" t="inlineStr">
        <is>
          <t>ID постачальника збігся, але назви різні</t>
        </is>
      </c>
    </row>
    <row r="2180">
      <c r="A2180" s="22" t="n">
        <v>25.7</v>
      </c>
      <c r="B2180" s="22" t="inlineStr">
        <is>
          <t>Клуб Рослин</t>
        </is>
      </c>
      <c r="C2180" s="22" t="inlineStr">
        <is>
          <t>7627</t>
        </is>
      </c>
      <c r="D2180" s="22" t="inlineStr">
        <is>
          <t>7627</t>
        </is>
      </c>
      <c r="E2180" s="21" t="inlineStr">
        <is>
          <t>Біостимулятор Крузеро (Crucero) 250 мл Вітера Atlantica Agricola Іспанія</t>
        </is>
      </c>
      <c r="F2180" s="21" t="inlineStr">
        <is>
          <t>Тис середній Хілліі Бонсай C130 / H200-225</t>
        </is>
      </c>
      <c r="G2180" s="23" t="n">
        <v>352</v>
      </c>
      <c r="H2180" s="23" t="n">
        <v>35994</v>
      </c>
      <c r="I2180" s="21" t="inlineStr">
        <is>
          <t>ID постачальника збігся, але назви різні</t>
        </is>
      </c>
    </row>
    <row r="2181">
      <c r="A2181" s="22" t="n">
        <v>25.7</v>
      </c>
      <c r="B2181" s="22" t="inlineStr">
        <is>
          <t>Клуб Рослин</t>
        </is>
      </c>
      <c r="C2181" s="22" t="inlineStr">
        <is>
          <t>7599</t>
        </is>
      </c>
      <c r="D2181" s="22" t="inlineStr">
        <is>
          <t>7599</t>
        </is>
      </c>
      <c r="E2181" s="21" t="inlineStr">
        <is>
          <t>Добриво GroGreen Файв Терра 12-44-12 + 6 CaO + 3 MgO + TE 200 г Lima Бельгія</t>
        </is>
      </c>
      <c r="F2181" s="21" t="inlineStr">
        <is>
          <t>Тис середній Гроєнланд Бонсай C65 / H120-140</t>
        </is>
      </c>
      <c r="G2181" s="23" t="n">
        <v>245</v>
      </c>
      <c r="H2181" s="23" t="n">
        <v>33120</v>
      </c>
      <c r="I2181" s="21" t="inlineStr">
        <is>
          <t>ID постачальника збігся, але різні коди виробника</t>
        </is>
      </c>
    </row>
    <row r="2182">
      <c r="A2182" s="22" t="n">
        <v>25.6</v>
      </c>
      <c r="B2182" s="22" t="inlineStr">
        <is>
          <t>Клуб Рослин</t>
        </is>
      </c>
      <c r="C2182" s="22" t="inlineStr">
        <is>
          <t>3676</t>
        </is>
      </c>
      <c r="D2182" s="22" t="inlineStr">
        <is>
          <t>3676</t>
        </is>
      </c>
      <c r="E2182" s="21" t="inlineStr">
        <is>
          <t>Фунгіцид Міравіс Дуо 200 КС 5 л Syngenta Сингента Швейцарія</t>
        </is>
      </c>
      <c r="F2182" s="21" t="inlineStr">
        <is>
          <t>Mанометр аналоговий MMM (top)</t>
        </is>
      </c>
      <c r="G2182" s="23" t="n">
        <v>9998</v>
      </c>
      <c r="H2182" s="23" t="n">
        <v>1000</v>
      </c>
      <c r="I2182" s="21" t="inlineStr">
        <is>
          <t>ID постачальника збігся, але різні бренди</t>
        </is>
      </c>
    </row>
    <row r="2183">
      <c r="A2183" s="22" t="n">
        <v>25.6</v>
      </c>
      <c r="B2183" s="22" t="inlineStr">
        <is>
          <t>Клуб Рослин</t>
        </is>
      </c>
      <c r="C2183" s="22" t="inlineStr">
        <is>
          <t>3254</t>
        </is>
      </c>
      <c r="D2183" s="22" t="inlineStr">
        <is>
          <t>3254</t>
        </is>
      </c>
      <c r="E2183" s="21" t="inlineStr">
        <is>
          <t>Фунгіцид Колліс 1 л Basf Басф Німмеччина</t>
        </is>
      </c>
      <c r="F2183" s="21" t="inlineStr">
        <is>
          <t>Ліріодендрон (Тюльпанове дерево) тюльпановий Фастігіатум Woodenbox 2000 / H500-600</t>
        </is>
      </c>
      <c r="G2183" s="23" t="n">
        <v>2348</v>
      </c>
      <c r="H2183" s="23" t="n">
        <v>66240</v>
      </c>
      <c r="I2183" s="21" t="inlineStr">
        <is>
          <t>ID постачальника збігся, але різні бренди</t>
        </is>
      </c>
    </row>
    <row r="2184">
      <c r="A2184" s="22" t="n">
        <v>25.6</v>
      </c>
      <c r="B2184" s="22" t="inlineStr">
        <is>
          <t>Клуб Рослин</t>
        </is>
      </c>
      <c r="C2184" s="22" t="inlineStr">
        <is>
          <t>3447</t>
        </is>
      </c>
      <c r="D2184" s="22" t="inlineStr">
        <is>
          <t>3447</t>
        </is>
      </c>
      <c r="E2184" s="21" t="inlineStr">
        <is>
          <t>Фунгіцид Вітоксид-Нітро 10 л Оrganiks-Group Україна</t>
        </is>
      </c>
      <c r="F2184" s="21" t="inlineStr">
        <is>
          <t>Магнолія зіркова C55 / H160-180</t>
        </is>
      </c>
      <c r="G2184" s="23" t="n">
        <v>1998</v>
      </c>
      <c r="H2184" s="23" t="n">
        <v>4800</v>
      </c>
      <c r="I2184" s="21" t="inlineStr">
        <is>
          <t>ID постачальника збігся, але назви різні</t>
        </is>
      </c>
    </row>
    <row r="2185">
      <c r="A2185" s="22" t="n">
        <v>25.6</v>
      </c>
      <c r="B2185" s="22" t="inlineStr">
        <is>
          <t>Клуб Рослин</t>
        </is>
      </c>
      <c r="C2185" s="22" t="inlineStr">
        <is>
          <t>7816</t>
        </is>
      </c>
      <c r="D2185" s="22" t="inlineStr">
        <is>
          <t>7816</t>
        </is>
      </c>
      <c r="E2185" s="21" t="inlineStr">
        <is>
          <t>Укорінювач Вітамакс / Vitamax 1 л Bioera Іспанія</t>
        </is>
      </c>
      <c r="F2185" s="21" t="inlineStr">
        <is>
          <t>Туя західна (ий) Смарагд K17 C27,5 / H100-120</t>
        </is>
      </c>
      <c r="G2185" s="23" t="n">
        <v>1508</v>
      </c>
      <c r="H2185" s="23" t="n">
        <v>432</v>
      </c>
      <c r="I2185" s="21" t="inlineStr">
        <is>
          <t>ID постачальника збігся, але назви різні</t>
        </is>
      </c>
    </row>
    <row r="2186">
      <c r="A2186" s="22" t="n">
        <v>25.6</v>
      </c>
      <c r="B2186" s="22" t="inlineStr">
        <is>
          <t>Клуб Рослин</t>
        </is>
      </c>
      <c r="C2186" s="22" t="inlineStr">
        <is>
          <t>1146</t>
        </is>
      </c>
      <c r="D2186" s="22" t="inlineStr">
        <is>
          <t>1146</t>
        </is>
      </c>
      <c r="E2186" s="21" t="inlineStr">
        <is>
          <t>Гербіцид Позитив Плюс 5 л Хімагромаркетинг Україна</t>
        </is>
      </c>
      <c r="F2186" s="21" t="inlineStr">
        <is>
          <t>Куничник короткочуба PC18 C3</t>
        </is>
      </c>
      <c r="G2186" s="23" t="n">
        <v>1500</v>
      </c>
      <c r="H2186" s="23" t="n">
        <v>145</v>
      </c>
      <c r="I2186" s="21" t="inlineStr">
        <is>
          <t>ID постачальника збігся, але назви різні</t>
        </is>
      </c>
    </row>
    <row r="2187">
      <c r="A2187" s="22" t="n">
        <v>25.6</v>
      </c>
      <c r="B2187" s="22" t="inlineStr">
        <is>
          <t>Клуб Рослин</t>
        </is>
      </c>
      <c r="C2187" s="22" t="inlineStr">
        <is>
          <t>7257</t>
        </is>
      </c>
      <c r="D2187" s="22" t="inlineStr">
        <is>
          <t>7257</t>
        </is>
      </c>
      <c r="E2187" s="21" t="inlineStr">
        <is>
          <t>Добриво Полісульфат Преміум / Polysulphate Premium 25 кг 0-0-13 ICL Fertilizers</t>
        </is>
      </c>
      <c r="F2187" s="21" t="inlineStr">
        <is>
          <t>Троянда мініатюрна Уайт Mini PC14 C3 / L40-60</t>
        </is>
      </c>
      <c r="G2187" s="23" t="n">
        <v>1148</v>
      </c>
      <c r="H2187" s="23" t="n">
        <v>85</v>
      </c>
      <c r="I2187" s="21" t="inlineStr">
        <is>
          <t>ID постачальника збігся, але різні бренди</t>
        </is>
      </c>
    </row>
    <row r="2188">
      <c r="A2188" s="22" t="n">
        <v>25.6</v>
      </c>
      <c r="B2188" s="22" t="inlineStr">
        <is>
          <t>Клуб Рослин</t>
        </is>
      </c>
      <c r="C2188" s="22" t="inlineStr">
        <is>
          <t>7359</t>
        </is>
      </c>
      <c r="D2188" s="22" t="inlineStr">
        <is>
          <t>7359</t>
        </is>
      </c>
      <c r="E2188" s="21" t="inlineStr">
        <is>
          <t>Добриво Плантатор 5+15+45 5 кг Кіссон Україна</t>
        </is>
      </c>
      <c r="F2188" s="21" t="inlineStr">
        <is>
          <t>Спірея японська Голдфлейм C3 / H20-30</t>
        </is>
      </c>
      <c r="G2188" s="23" t="n">
        <v>1057</v>
      </c>
      <c r="H2188" s="23" t="n">
        <v>145</v>
      </c>
      <c r="I2188" s="21" t="inlineStr">
        <is>
          <t>ID постачальника збігся, але назви різні</t>
        </is>
      </c>
    </row>
    <row r="2189">
      <c r="A2189" s="22" t="n">
        <v>25.6</v>
      </c>
      <c r="B2189" s="22" t="inlineStr">
        <is>
          <t>Клуб Рослин</t>
        </is>
      </c>
      <c r="C2189" s="22" t="inlineStr">
        <is>
          <t>3292</t>
        </is>
      </c>
      <c r="D2189" s="22" t="inlineStr">
        <is>
          <t>3292</t>
        </is>
      </c>
      <c r="E2189" s="21" t="inlineStr">
        <is>
          <t>Фунгіцид Карнеоль 1 л Adama Адама Ізраїль</t>
        </is>
      </c>
      <c r="F2189" s="21" t="inlineStr">
        <is>
          <t>Жимолость східна Войтек PC19 C7,5 / H70-80 / L50-70</t>
        </is>
      </c>
      <c r="G2189" s="23" t="n">
        <v>698</v>
      </c>
      <c r="H2189" s="23" t="n">
        <v>240</v>
      </c>
      <c r="I2189" s="21" t="inlineStr">
        <is>
          <t>ID постачальника збігся, але назви різні</t>
        </is>
      </c>
    </row>
    <row r="2190">
      <c r="A2190" s="22" t="n">
        <v>25.6</v>
      </c>
      <c r="B2190" s="22" t="inlineStr">
        <is>
          <t>Клуб Рослин</t>
        </is>
      </c>
      <c r="C2190" s="22" t="inlineStr">
        <is>
          <t>4013</t>
        </is>
      </c>
      <c r="D2190" s="22" t="inlineStr">
        <is>
          <t>4013</t>
        </is>
      </c>
      <c r="E2190" s="21" t="inlineStr">
        <is>
          <t>Лімацид Molufries 5GB Молуфріс 1 кг Sumin Польща</t>
        </is>
      </c>
      <c r="F2190" s="21" t="inlineStr">
        <is>
          <t>Ялина звичайна Віллс Цверг K14 G / H50-60</t>
        </is>
      </c>
      <c r="G2190" s="23" t="n">
        <v>398</v>
      </c>
      <c r="H2190" s="23" t="n">
        <v>710</v>
      </c>
      <c r="I2190" s="21" t="inlineStr">
        <is>
          <t>ID постачальника збігся, але різні об'єми або розміри</t>
        </is>
      </c>
    </row>
    <row r="2191">
      <c r="A2191" s="22" t="n">
        <v>25.6</v>
      </c>
      <c r="B2191" s="22" t="inlineStr">
        <is>
          <t>Клуб Рослин</t>
        </is>
      </c>
      <c r="C2191" s="22" t="inlineStr">
        <is>
          <t>7379</t>
        </is>
      </c>
      <c r="D2191" s="22" t="inlineStr">
        <is>
          <t>7379</t>
        </is>
      </c>
      <c r="E2191" s="21" t="inlineStr">
        <is>
          <t>Добриво Огірок 1 л SmartGrow Україна</t>
        </is>
      </c>
      <c r="F2191" s="21" t="inlineStr">
        <is>
          <t>Спірея японська Литл Прінцес PC14 C3 / L20-30</t>
        </is>
      </c>
      <c r="G2191" s="23" t="n">
        <v>298</v>
      </c>
      <c r="H2191" s="23" t="n">
        <v>90</v>
      </c>
      <c r="I2191" s="21" t="inlineStr">
        <is>
          <t>ID постачальника збігся, але назви різні</t>
        </is>
      </c>
    </row>
    <row r="2192">
      <c r="A2192" s="22" t="n">
        <v>25.6</v>
      </c>
      <c r="B2192" s="22" t="inlineStr">
        <is>
          <t>Клуб Рослин</t>
        </is>
      </c>
      <c r="C2192" s="22" t="inlineStr">
        <is>
          <t>3454</t>
        </is>
      </c>
      <c r="D2192" s="22" t="inlineStr">
        <is>
          <t>3454</t>
        </is>
      </c>
      <c r="E2192" s="21" t="inlineStr">
        <is>
          <t>Біофунгіцид Viridin Триходермін 500 г Enzim Biotech Agro / Ензим Біотех Агро Україна</t>
        </is>
      </c>
      <c r="F2192" s="21" t="inlineStr">
        <is>
          <t>Магнолія зіркова Розеа Штамб C20 / o8-10 / Pa130</t>
        </is>
      </c>
      <c r="G2192" s="23" t="n">
        <v>198</v>
      </c>
      <c r="H2192" s="23" t="n">
        <v>3840</v>
      </c>
      <c r="I2192" s="21" t="inlineStr">
        <is>
          <t>ID постачальника збігся, але назви різні</t>
        </is>
      </c>
    </row>
    <row r="2193">
      <c r="A2193" s="22" t="n">
        <v>25.5</v>
      </c>
      <c r="B2193" s="22" t="inlineStr">
        <is>
          <t>Клуб Рослин</t>
        </is>
      </c>
      <c r="C2193" s="22" t="inlineStr">
        <is>
          <t>7744</t>
        </is>
      </c>
      <c r="D2193" s="22" t="inlineStr">
        <is>
          <t>7744</t>
        </is>
      </c>
      <c r="E2193" s="21" t="inlineStr">
        <is>
          <t>Біостимулятор-антистресант Текамін Макс / Tecamin Max 20 л AgriTecno Іспанія</t>
        </is>
      </c>
      <c r="F2193" s="21" t="inlineStr">
        <is>
          <t>Туя західна (ий) Голден Туффет PC11 C3</t>
        </is>
      </c>
      <c r="G2193" s="23" t="n">
        <v>11440</v>
      </c>
      <c r="H2193" s="23" t="n">
        <v>110</v>
      </c>
      <c r="I2193" s="21" t="inlineStr">
        <is>
          <t>ID постачальника збігся, але назви різні</t>
        </is>
      </c>
    </row>
    <row r="2194">
      <c r="A2194" s="22" t="n">
        <v>25.5</v>
      </c>
      <c r="B2194" s="22" t="inlineStr">
        <is>
          <t>Клуб Рослин</t>
        </is>
      </c>
      <c r="C2194" s="22" t="inlineStr">
        <is>
          <t>3177</t>
        </is>
      </c>
      <c r="D2194" s="22" t="inlineStr">
        <is>
          <t>3177</t>
        </is>
      </c>
      <c r="E2194" s="21" t="inlineStr">
        <is>
          <t>Фунгіцид Амістар Екстра 280 КС 5 л Syngenta Сингента Швейцарія</t>
        </is>
      </c>
      <c r="F2194" s="21" t="inlineStr">
        <is>
          <t>Лілія ОТ-гібридна Мацерата 14\16</t>
        </is>
      </c>
      <c r="G2194" s="23" t="n">
        <v>6975</v>
      </c>
      <c r="H2194" s="23" t="n">
        <v>50</v>
      </c>
      <c r="I2194" s="21" t="inlineStr">
        <is>
          <t>ID постачальника збігся, але назви різні</t>
        </is>
      </c>
    </row>
    <row r="2195">
      <c r="A2195" s="22" t="n">
        <v>25.5</v>
      </c>
      <c r="B2195" s="22" t="inlineStr">
        <is>
          <t>Клуб Рослин</t>
        </is>
      </c>
      <c r="C2195" s="22" t="inlineStr">
        <is>
          <t>7301</t>
        </is>
      </c>
      <c r="D2195" s="22" t="inlineStr">
        <is>
          <t>7301</t>
        </is>
      </c>
      <c r="E2195" s="21" t="inlineStr">
        <is>
          <t>Біостимулятор Стімакс Плюс / Stimax Plus 5 л Meristem Мерістем Іспанія</t>
        </is>
      </c>
      <c r="F2195" s="21" t="inlineStr">
        <is>
          <t>Малина звичайна Trio (Тріо) PC17 C12</t>
        </is>
      </c>
      <c r="G2195" s="23" t="n">
        <v>6798</v>
      </c>
      <c r="H2195" s="23" t="n">
        <v>360</v>
      </c>
      <c r="I2195" s="21" t="inlineStr">
        <is>
          <t>ID постачальника збігся, але різні бренди</t>
        </is>
      </c>
    </row>
    <row r="2196">
      <c r="A2196" s="22" t="n">
        <v>25.5</v>
      </c>
      <c r="B2196" s="22" t="inlineStr">
        <is>
          <t>Клуб Рослин</t>
        </is>
      </c>
      <c r="C2196" s="22" t="inlineStr">
        <is>
          <t>7684</t>
        </is>
      </c>
      <c r="D2196" s="22" t="inlineStr">
        <is>
          <t>7684</t>
        </is>
      </c>
      <c r="E2196" s="21" t="inlineStr">
        <is>
          <t>Добриво Гуміголд GumiGold 25 кг Кіссон Україна (Гумат калію)</t>
        </is>
      </c>
      <c r="F2196" s="21" t="inlineStr">
        <is>
          <t>Туя західна (ий) Брабант PC21 C5 / H50-60</t>
        </is>
      </c>
      <c r="G2196" s="23" t="n">
        <v>5998</v>
      </c>
      <c r="H2196" s="23" t="n">
        <v>290</v>
      </c>
      <c r="I2196" s="21" t="inlineStr">
        <is>
          <t>ID постачальника збігся, але назви різні</t>
        </is>
      </c>
    </row>
    <row r="2197">
      <c r="A2197" s="22" t="n">
        <v>25.5</v>
      </c>
      <c r="B2197" s="22" t="inlineStr">
        <is>
          <t>Клуб Рослин</t>
        </is>
      </c>
      <c r="C2197" s="22" t="inlineStr">
        <is>
          <t>7563</t>
        </is>
      </c>
      <c r="D2197" s="22" t="inlineStr">
        <is>
          <t>7563</t>
        </is>
      </c>
      <c r="E2197" s="21" t="inlineStr">
        <is>
          <t>Добриво Мерістем Meristem NPK 14-15-16+2MgO+Mix 25 кг Іспанія</t>
        </is>
      </c>
      <c r="F2197" s="21" t="inlineStr">
        <is>
          <t>Тис ягідний (а) Шварцгрун Бонсай C80 / H120 / L80</t>
        </is>
      </c>
      <c r="G2197" s="23" t="n">
        <v>3930</v>
      </c>
      <c r="H2197" s="23" t="n">
        <v>24840</v>
      </c>
      <c r="I2197" s="21" t="inlineStr">
        <is>
          <t>ID постачальника збігся, але назви різні</t>
        </is>
      </c>
    </row>
    <row r="2198">
      <c r="A2198" s="22" t="n">
        <v>25.5</v>
      </c>
      <c r="B2198" s="22" t="inlineStr">
        <is>
          <t>Клуб Рослин</t>
        </is>
      </c>
      <c r="C2198" s="22" t="inlineStr">
        <is>
          <t>7805</t>
        </is>
      </c>
      <c r="D2198" s="22" t="inlineStr">
        <is>
          <t>7805</t>
        </is>
      </c>
      <c r="E2198" s="21" t="inlineStr">
        <is>
          <t>Регулятор росту Гіб Плюс / Gibb Plus 1 л Globagem NV Бельгія</t>
        </is>
      </c>
      <c r="F2198" s="21" t="inlineStr">
        <is>
          <t>Туя західна (ий) Смарагд K C45 / H120-140</t>
        </is>
      </c>
      <c r="G2198" s="23" t="n">
        <v>3898</v>
      </c>
      <c r="H2198" s="23" t="n">
        <v>672</v>
      </c>
      <c r="I2198" s="21" t="inlineStr">
        <is>
          <t>ID постачальника збігся, але назви різні</t>
        </is>
      </c>
    </row>
    <row r="2199">
      <c r="A2199" s="22" t="n">
        <v>25.5</v>
      </c>
      <c r="B2199" s="22" t="inlineStr">
        <is>
          <t>Клуб Рослин</t>
        </is>
      </c>
      <c r="C2199" s="22" t="inlineStr">
        <is>
          <t>7442</t>
        </is>
      </c>
      <c r="D2199" s="22" t="inlineStr">
        <is>
          <t>7442</t>
        </is>
      </c>
      <c r="E2199" s="21" t="inlineStr">
        <is>
          <t>Добриво GroGreen Файв Фруктус 18-9-36 + 6 CaO + 3 MgO + TE 5 кг Lima Бельгія</t>
        </is>
      </c>
      <c r="F2199" s="21" t="inlineStr">
        <is>
          <t>Тис ягідний (а) Куля C10 / L40</t>
        </is>
      </c>
      <c r="G2199" s="23" t="n">
        <v>2022</v>
      </c>
      <c r="H2199" s="23" t="n">
        <v>1445</v>
      </c>
      <c r="I2199" s="21" t="inlineStr">
        <is>
          <t>ID постачальника збігся, але назви різні</t>
        </is>
      </c>
    </row>
    <row r="2200">
      <c r="A2200" s="22" t="n">
        <v>25.5</v>
      </c>
      <c r="B2200" s="22" t="inlineStr">
        <is>
          <t>Клуб Рослин</t>
        </is>
      </c>
      <c r="C2200" s="22" t="inlineStr">
        <is>
          <t>2233</t>
        </is>
      </c>
      <c r="D2200" s="22" t="inlineStr">
        <is>
          <t>2233</t>
        </is>
      </c>
      <c r="E2200" s="21" t="inlineStr">
        <is>
          <t>Інсектицид K-Obiol / K-Обіоль 25 ЕС КЕ 1 л Bayer Байєр Німеччина</t>
        </is>
      </c>
      <c r="F2200" s="21" t="inlineStr">
        <is>
          <t>Гортензія волотиста Лаймлайт PC16 C5 / H40-60</t>
        </is>
      </c>
      <c r="G2200" s="23" t="n">
        <v>1498</v>
      </c>
      <c r="H2200" s="23" t="n">
        <v>195</v>
      </c>
      <c r="I2200" s="21" t="inlineStr">
        <is>
          <t>ID постачальника збігся, але назви різні</t>
        </is>
      </c>
    </row>
    <row r="2201">
      <c r="A2201" s="22" t="n">
        <v>25.5</v>
      </c>
      <c r="B2201" s="22" t="inlineStr">
        <is>
          <t>Клуб Рослин</t>
        </is>
      </c>
      <c r="C2201" s="22" t="inlineStr">
        <is>
          <t>7725</t>
        </is>
      </c>
      <c r="D2201" s="22" t="inlineStr">
        <is>
          <t>7725</t>
        </is>
      </c>
      <c r="E2201" s="21" t="inlineStr">
        <is>
          <t>Біостимулятор Текамін Брікс / Tecamin Brix 1 л AgriTecno Іспанія</t>
        </is>
      </c>
      <c r="F2201" s="21" t="inlineStr">
        <is>
          <t>Туя західна (ий) Глобоза Компакта K20 C155 / H100-120</t>
        </is>
      </c>
      <c r="G2201" s="23" t="n">
        <v>832</v>
      </c>
      <c r="H2201" s="23" t="n">
        <v>1159</v>
      </c>
      <c r="I2201" s="21" t="inlineStr">
        <is>
          <t>ID постачальника збігся, але назви різні</t>
        </is>
      </c>
    </row>
    <row r="2202">
      <c r="A2202" s="22" t="n">
        <v>25.5</v>
      </c>
      <c r="B2202" s="22" t="inlineStr">
        <is>
          <t>Клуб Рослин</t>
        </is>
      </c>
      <c r="C2202" s="22" t="inlineStr">
        <is>
          <t>3233</t>
        </is>
      </c>
      <c r="D2202" s="22" t="inlineStr">
        <is>
          <t>3233</t>
        </is>
      </c>
      <c r="E2202" s="21" t="inlineStr">
        <is>
          <t>Фунгіцид Купер 1 л Нертус Угорщина</t>
        </is>
      </c>
      <c r="F2202" s="21" t="inlineStr">
        <is>
          <t>Ліквідамбар (Амброве дерево) смолоносний Воплесдон C20 / H200-250</t>
        </is>
      </c>
      <c r="G2202" s="23" t="n">
        <v>475</v>
      </c>
      <c r="H2202" s="23" t="n">
        <v>6000</v>
      </c>
      <c r="I2202" s="21" t="inlineStr">
        <is>
          <t>ID постачальника збігся, але назви різні</t>
        </is>
      </c>
    </row>
    <row r="2203">
      <c r="A2203" s="22" t="n">
        <v>25.5</v>
      </c>
      <c r="B2203" s="22" t="inlineStr">
        <is>
          <t>Клуб Рослин</t>
        </is>
      </c>
      <c r="C2203" s="22" t="inlineStr">
        <is>
          <t>7836</t>
        </is>
      </c>
      <c r="D2203" s="22" t="inlineStr">
        <is>
          <t>7836</t>
        </is>
      </c>
      <c r="E2203" s="21" t="inlineStr">
        <is>
          <t>Добриво Неовіт Ферті-К (Калій) / Neovit Ferti-K 250 мл Bioera Іспанія</t>
        </is>
      </c>
      <c r="F2203" s="21" t="inlineStr">
        <is>
          <t>Туя західна (ий) Смарагд K19 C35 / H100-120</t>
        </is>
      </c>
      <c r="G2203" s="23" t="n">
        <v>364</v>
      </c>
      <c r="H2203" s="23" t="n">
        <v>435</v>
      </c>
      <c r="I2203" s="21" t="inlineStr">
        <is>
          <t>ID постачальника збігся, але назви різні</t>
        </is>
      </c>
    </row>
    <row r="2204">
      <c r="A2204" s="22" t="n">
        <v>25.5</v>
      </c>
      <c r="B2204" s="22" t="inlineStr">
        <is>
          <t>Клуб Рослин</t>
        </is>
      </c>
      <c r="C2204" s="22" t="inlineStr">
        <is>
          <t>7482</t>
        </is>
      </c>
      <c r="D2204" s="22" t="inlineStr">
        <is>
          <t>7482</t>
        </is>
      </c>
      <c r="E2204" s="21" t="inlineStr">
        <is>
          <t>Мікродобриво Оракул Колофермін Цинку 1 л Долина Україна</t>
        </is>
      </c>
      <c r="F2204" s="21" t="inlineStr">
        <is>
          <t>Тис ягідний (а) Бонсай S-форма C80 / H100-125</t>
        </is>
      </c>
      <c r="G2204" s="23" t="n">
        <v>325</v>
      </c>
      <c r="H2204" s="23" t="n">
        <v>36000</v>
      </c>
      <c r="I2204" s="21" t="inlineStr">
        <is>
          <t>ID постачальника збігся, але назви різні</t>
        </is>
      </c>
    </row>
    <row r="2205">
      <c r="A2205" s="22" t="n">
        <v>25.5</v>
      </c>
      <c r="B2205" s="22" t="inlineStr">
        <is>
          <t>Клуб Рослин</t>
        </is>
      </c>
      <c r="C2205" s="22" t="inlineStr">
        <is>
          <t>7601</t>
        </is>
      </c>
      <c r="D2205" s="22" t="inlineStr">
        <is>
          <t>7601</t>
        </is>
      </c>
      <c r="E2205" s="21" t="inlineStr">
        <is>
          <t>Добриво GroGreen Файв Фруктус 18-9-36 + 6 CaO + 3 MgO + TE 200 г Lima Бельгія</t>
        </is>
      </c>
      <c r="F2205" s="21" t="inlineStr">
        <is>
          <t>Тис середній Гроєнланд C30 / H80-100</t>
        </is>
      </c>
      <c r="G2205" s="23" t="n">
        <v>233</v>
      </c>
      <c r="H2205" s="23" t="n">
        <v>2270</v>
      </c>
      <c r="I2205" s="21" t="inlineStr">
        <is>
          <t>ID постачальника збігся, але назви різні</t>
        </is>
      </c>
    </row>
    <row r="2206">
      <c r="A2206" s="22" t="n">
        <v>25.4</v>
      </c>
      <c r="B2206" s="22" t="inlineStr">
        <is>
          <t>Клуб Рослин</t>
        </is>
      </c>
      <c r="C2206" s="22" t="inlineStr">
        <is>
          <t>9050</t>
        </is>
      </c>
      <c r="D2206" s="22" t="inlineStr">
        <is>
          <t>9050</t>
        </is>
      </c>
      <c r="E2206" s="21" t="inlineStr">
        <is>
          <t>Ад'ювант Ікар Перфект Стік / Ikar Perfect Stick 1 л Литва</t>
        </is>
      </c>
      <c r="F2206" s="21" t="inlineStr">
        <is>
          <t>Деталь №10 HT-B MAX</t>
        </is>
      </c>
      <c r="G2206" s="23" t="n">
        <v>1873</v>
      </c>
      <c r="H2206" s="23" t="n">
        <v>236</v>
      </c>
      <c r="I2206" s="21" t="inlineStr">
        <is>
          <t>ID постачальника збігся, але різні бренди</t>
        </is>
      </c>
    </row>
    <row r="2207">
      <c r="A2207" s="22" t="n">
        <v>25.4</v>
      </c>
      <c r="B2207" s="22" t="inlineStr">
        <is>
          <t>Клуб Рослин</t>
        </is>
      </c>
      <c r="C2207" s="22" t="inlineStr">
        <is>
          <t>1107</t>
        </is>
      </c>
      <c r="D2207" s="22" t="inlineStr">
        <is>
          <t>1107</t>
        </is>
      </c>
      <c r="E2207" s="21" t="inlineStr">
        <is>
          <t>Гербіцид Агент 5 л Ukravit Укравіт Україна</t>
        </is>
      </c>
      <c r="F2207" s="21" t="inlineStr">
        <is>
          <t>Самшит вічнозенений C180 / H120</t>
        </is>
      </c>
      <c r="G2207" s="23" t="n">
        <v>1298</v>
      </c>
      <c r="H2207" s="23" t="n">
        <v>4416</v>
      </c>
      <c r="I2207" s="21" t="inlineStr">
        <is>
          <t>ID постачальника збігся, але назви різні</t>
        </is>
      </c>
    </row>
    <row r="2208">
      <c r="A2208" s="22" t="n">
        <v>25.4</v>
      </c>
      <c r="B2208" s="22" t="inlineStr">
        <is>
          <t>Клуб Рослин</t>
        </is>
      </c>
      <c r="C2208" s="22" t="inlineStr">
        <is>
          <t>1119</t>
        </is>
      </c>
      <c r="D2208" s="22" t="inlineStr">
        <is>
          <t>1119</t>
        </is>
      </c>
      <c r="E2208" s="21" t="inlineStr">
        <is>
          <t>Гербіцид Дефолт 200 мл Bingo Україна</t>
        </is>
      </c>
      <c r="F2208" s="21" t="inlineStr">
        <is>
          <t>Самшит вічнозенений Конус C60 / H60-80</t>
        </is>
      </c>
      <c r="G2208" s="23" t="n">
        <v>325</v>
      </c>
      <c r="H2208" s="23" t="n">
        <v>3450</v>
      </c>
      <c r="I2208" s="21" t="inlineStr">
        <is>
          <t>ID постачальника збігся, але назви різні</t>
        </is>
      </c>
    </row>
    <row r="2209">
      <c r="A2209" s="22" t="n">
        <v>25.3</v>
      </c>
      <c r="B2209" s="22" t="inlineStr">
        <is>
          <t>Клуб Рослин</t>
        </is>
      </c>
      <c r="C2209" s="22" t="inlineStr">
        <is>
          <t>8016</t>
        </is>
      </c>
      <c r="D2209" s="22" t="inlineStr">
        <is>
          <t>8016</t>
        </is>
      </c>
      <c r="E2209" s="21" t="inlineStr">
        <is>
          <t>Добриво Кальційглюк / Calcigluc 20 л Bioera Іспанія</t>
        </is>
      </c>
      <c r="F2209" s="21" t="inlineStr">
        <is>
          <t>Липа Штамб C100 / o20-25 / Pa180-190</t>
        </is>
      </c>
      <c r="G2209" s="23" t="n">
        <v>11800</v>
      </c>
      <c r="H2209" s="23" t="n">
        <v>16560</v>
      </c>
      <c r="I2209" s="21" t="inlineStr">
        <is>
          <t>ID постачальника збігся, але назви різні</t>
        </is>
      </c>
    </row>
    <row r="2210">
      <c r="A2210" s="22" t="n">
        <v>25.3</v>
      </c>
      <c r="B2210" s="22" t="inlineStr">
        <is>
          <t>Клуб Рослин</t>
        </is>
      </c>
      <c r="C2210" s="22" t="inlineStr">
        <is>
          <t>7304</t>
        </is>
      </c>
      <c r="D2210" s="22" t="inlineStr">
        <is>
          <t>7304</t>
        </is>
      </c>
      <c r="E2210" s="21" t="inlineStr">
        <is>
          <t>Добриво Eтаборо / Etaboro 20 л Meristem Мерістем Іспанія</t>
        </is>
      </c>
      <c r="F2210" s="21" t="inlineStr">
        <is>
          <t>Верба козяча Кільмарнок Штамб K16 G / Pa120</t>
        </is>
      </c>
      <c r="G2210" s="23" t="n">
        <v>8998</v>
      </c>
      <c r="H2210" s="23" t="n">
        <v>210</v>
      </c>
      <c r="I2210" s="21" t="inlineStr">
        <is>
          <t>ID постачальника збігся, але різні об'єми або розміри</t>
        </is>
      </c>
    </row>
    <row r="2211">
      <c r="A2211" s="22" t="n">
        <v>25.3</v>
      </c>
      <c r="B2211" s="22" t="inlineStr">
        <is>
          <t>Клуб Рослин</t>
        </is>
      </c>
      <c r="C2211" s="22" t="inlineStr">
        <is>
          <t>3178</t>
        </is>
      </c>
      <c r="D2211" s="22" t="inlineStr">
        <is>
          <t>3178</t>
        </is>
      </c>
      <c r="E2211" s="21" t="inlineStr">
        <is>
          <t>Фунгіцид Аканто Плюс (Acanto Plus) 5 л Corteva Кортева США</t>
        </is>
      </c>
      <c r="F2211" s="21" t="inlineStr">
        <is>
          <t>Лілія OT-гібридна Міс Лілі 12\14</t>
        </is>
      </c>
      <c r="G2211" s="23" t="n">
        <v>7989</v>
      </c>
      <c r="H2211" s="23" t="n">
        <v>50</v>
      </c>
      <c r="I2211" s="21" t="inlineStr">
        <is>
          <t>ID постачальника збігся, але назви різні</t>
        </is>
      </c>
    </row>
    <row r="2212">
      <c r="A2212" s="22" t="n">
        <v>25.3</v>
      </c>
      <c r="B2212" s="22" t="inlineStr">
        <is>
          <t>Клуб Рослин</t>
        </is>
      </c>
      <c r="C2212" s="22" t="inlineStr">
        <is>
          <t>7456</t>
        </is>
      </c>
      <c r="D2212" s="22" t="inlineStr">
        <is>
          <t>7456</t>
        </is>
      </c>
      <c r="E2212" s="21" t="inlineStr">
        <is>
          <t>Добриво GroGreen NPK 14-7-28+5СаО+TE 25 кг Lima Бельгія</t>
        </is>
      </c>
      <c r="F2212" s="21" t="inlineStr">
        <is>
          <t>Тис ягідний (а) Куля G / H40-50</t>
        </is>
      </c>
      <c r="G2212" s="23" t="n">
        <v>4685</v>
      </c>
      <c r="H2212" s="23" t="n">
        <v>2675</v>
      </c>
      <c r="I2212" s="21" t="inlineStr">
        <is>
          <t>ID постачальника збігся, але назви різні</t>
        </is>
      </c>
    </row>
    <row r="2213">
      <c r="A2213" s="22" t="n">
        <v>25.3</v>
      </c>
      <c r="B2213" s="22" t="inlineStr">
        <is>
          <t>Клуб Рослин</t>
        </is>
      </c>
      <c r="C2213" s="22" t="inlineStr">
        <is>
          <t>3670</t>
        </is>
      </c>
      <c r="D2213" s="22" t="inlineStr">
        <is>
          <t>3670</t>
        </is>
      </c>
      <c r="E2213" s="21" t="inlineStr">
        <is>
          <t>Фунгіцид Феномен 5 кг Ukravit Укравіт Україна</t>
        </is>
      </c>
      <c r="F2213" s="21" t="inlineStr">
        <is>
          <t>Шовковиця білий(а) Пендула Штамб C45 / o10-12 / Pa200-220</t>
        </is>
      </c>
      <c r="G2213" s="23" t="n">
        <v>3655</v>
      </c>
      <c r="H2213" s="23" t="n">
        <v>9600</v>
      </c>
      <c r="I2213" s="21" t="inlineStr">
        <is>
          <t>ID постачальника збігся, але назви різні</t>
        </is>
      </c>
    </row>
    <row r="2214">
      <c r="A2214" s="22" t="n">
        <v>25.3</v>
      </c>
      <c r="B2214" s="22" t="inlineStr">
        <is>
          <t>Клуб Рослин</t>
        </is>
      </c>
      <c r="C2214" s="22" t="inlineStr">
        <is>
          <t>7313</t>
        </is>
      </c>
      <c r="D2214" s="22" t="inlineStr">
        <is>
          <t>7313</t>
        </is>
      </c>
      <c r="E2214" s="21" t="inlineStr">
        <is>
          <t>Добриво Кафом Кальцій / Kafom Ca 5 л Meristem Мерістем Іспанія</t>
        </is>
      </c>
      <c r="F2214" s="21" t="inlineStr">
        <is>
          <t>Верба Матсуда K16 G / H100-125</t>
        </is>
      </c>
      <c r="G2214" s="23" t="n">
        <v>3625</v>
      </c>
      <c r="H2214" s="23" t="n">
        <v>145</v>
      </c>
      <c r="I2214" s="21" t="inlineStr">
        <is>
          <t>ID постачальника збігся, але різні об'єми або розміри</t>
        </is>
      </c>
    </row>
    <row r="2215">
      <c r="A2215" s="22" t="n">
        <v>25.3</v>
      </c>
      <c r="B2215" s="22" t="inlineStr">
        <is>
          <t>Клуб Рослин</t>
        </is>
      </c>
      <c r="C2215" s="22" t="inlineStr">
        <is>
          <t>7127</t>
        </is>
      </c>
      <c r="D2215" s="22" t="inlineStr">
        <is>
          <t>7127</t>
        </is>
      </c>
      <c r="E2215" s="21" t="inlineStr">
        <is>
          <t>Добриво Авангард Комплекс Бобові 20 л Ukravit Укравіт Україна</t>
        </is>
      </c>
      <c r="F2215" s="21" t="inlineStr">
        <is>
          <t>Троянда Фейрі Денс PC15 C1,5 / L20-30</t>
        </is>
      </c>
      <c r="G2215" s="23" t="n">
        <v>3198</v>
      </c>
      <c r="H2215" s="23" t="n">
        <v>60</v>
      </c>
      <c r="I2215" s="21" t="inlineStr">
        <is>
          <t>ID постачальника збігся, але назви різні</t>
        </is>
      </c>
    </row>
    <row r="2216">
      <c r="A2216" s="22" t="n">
        <v>25.3</v>
      </c>
      <c r="B2216" s="22" t="inlineStr">
        <is>
          <t>Клуб Рослин</t>
        </is>
      </c>
      <c r="C2216" s="22" t="inlineStr">
        <is>
          <t>3045</t>
        </is>
      </c>
      <c r="D2216" s="22" t="inlineStr">
        <is>
          <t>3045</t>
        </is>
      </c>
      <c r="E2216" s="21" t="inlineStr">
        <is>
          <t>Фунгіцид Ацидан 5 кг Хімагромаркетинг Україна</t>
        </is>
      </c>
      <c r="F2216" s="21" t="inlineStr">
        <is>
          <t>Ялівець середній Олд Голд PC20 C10</t>
        </is>
      </c>
      <c r="G2216" s="23" t="n">
        <v>2648</v>
      </c>
      <c r="H2216" s="23" t="n">
        <v>300</v>
      </c>
      <c r="I2216" s="21" t="inlineStr">
        <is>
          <t>ID постачальника збігся, але назви різні</t>
        </is>
      </c>
    </row>
    <row r="2217">
      <c r="A2217" s="22" t="n">
        <v>25.3</v>
      </c>
      <c r="B2217" s="22" t="inlineStr">
        <is>
          <t>Клуб Рослин</t>
        </is>
      </c>
      <c r="C2217" s="22" t="inlineStr">
        <is>
          <t>4002</t>
        </is>
      </c>
      <c r="D2217" s="22" t="inlineStr">
        <is>
          <t>4002</t>
        </is>
      </c>
      <c r="E2217" s="21" t="inlineStr">
        <is>
          <t>Фумігант Джин 1 кг Alfa Smart Agro Альфа Смарт Агро Україна</t>
        </is>
      </c>
      <c r="F2217" s="21" t="inlineStr">
        <is>
          <t>Ялина звичайна Віллс Цверг C15 / H40-50</t>
        </is>
      </c>
      <c r="G2217" s="23" t="n">
        <v>548</v>
      </c>
      <c r="H2217" s="23" t="n">
        <v>1987</v>
      </c>
      <c r="I2217" s="21" t="inlineStr">
        <is>
          <t>ID постачальника збігся, але назви різні</t>
        </is>
      </c>
    </row>
    <row r="2218">
      <c r="A2218" s="22" t="n">
        <v>25.3</v>
      </c>
      <c r="B2218" s="22" t="inlineStr">
        <is>
          <t>Клуб Рослин</t>
        </is>
      </c>
      <c r="C2218" s="22" t="inlineStr">
        <is>
          <t>2226</t>
        </is>
      </c>
      <c r="D2218" s="22" t="inlineStr">
        <is>
          <t>2226</t>
        </is>
      </c>
      <c r="E2218" s="21" t="inlineStr">
        <is>
          <t>Інсектицид АЦ Люкс Ліквід 1 л Ukravit Укравіт Україна</t>
        </is>
      </c>
      <c r="F2218" s="21" t="inlineStr">
        <is>
          <t>Гортензія волотиста Лаймлайт ® PC21 C3 / H20-30</t>
        </is>
      </c>
      <c r="G2218" s="23" t="n">
        <v>448</v>
      </c>
      <c r="H2218" s="23" t="n">
        <v>240</v>
      </c>
      <c r="I2218" s="21" t="inlineStr">
        <is>
          <t>ID постачальника збігся, але назви різні</t>
        </is>
      </c>
    </row>
    <row r="2219">
      <c r="A2219" s="22" t="n">
        <v>25.3</v>
      </c>
      <c r="B2219" s="22" t="inlineStr">
        <is>
          <t>Клуб Рослин</t>
        </is>
      </c>
      <c r="C2219" s="22" t="inlineStr">
        <is>
          <t>3337</t>
        </is>
      </c>
      <c r="D2219" s="22" t="inlineStr">
        <is>
          <t>3337</t>
        </is>
      </c>
      <c r="E2219" s="21" t="inlineStr">
        <is>
          <t>Фунгіцид Аспект WP ЗП 1 кг Green Express / Грін Експрес</t>
        </is>
      </c>
      <c r="F2219" s="21" t="inlineStr">
        <is>
          <t>Магнолія Голд Стар XXL C15 / H100-125</t>
        </is>
      </c>
      <c r="G2219" s="23" t="n">
        <v>425</v>
      </c>
      <c r="H2219" s="23" t="n">
        <v>3610</v>
      </c>
      <c r="I2219" s="21" t="inlineStr">
        <is>
          <t>ID постачальника збігся, але різні бренди</t>
        </is>
      </c>
    </row>
    <row r="2220">
      <c r="A2220" s="22" t="n">
        <v>25.3</v>
      </c>
      <c r="B2220" s="22" t="inlineStr">
        <is>
          <t>Клуб Рослин</t>
        </is>
      </c>
      <c r="C2220" s="22" t="inlineStr">
        <is>
          <t>3431</t>
        </is>
      </c>
      <c r="D2220" s="22" t="inlineStr">
        <is>
          <t>3431</t>
        </is>
      </c>
      <c r="E2220" s="21" t="inlineStr">
        <is>
          <t>Біофунгіцид Біонорма Триходерма 3 кг (розсип) BioNorma Україна</t>
        </is>
      </c>
      <c r="F2220" s="21" t="inlineStr">
        <is>
          <t>Магнолія Лебнера Вайлдкет G / H400-500</t>
        </is>
      </c>
      <c r="G2220" s="23" t="n">
        <v>300</v>
      </c>
      <c r="H2220" s="23" t="n">
        <v>42000</v>
      </c>
      <c r="I2220" s="21" t="inlineStr">
        <is>
          <t>ID постачальника збігся, але назви різні</t>
        </is>
      </c>
    </row>
    <row r="2221">
      <c r="A2221" s="22" t="n">
        <v>25.2</v>
      </c>
      <c r="B2221" s="22" t="inlineStr">
        <is>
          <t>Клуб Рослин</t>
        </is>
      </c>
      <c r="C2221" s="22" t="inlineStr">
        <is>
          <t>7114</t>
        </is>
      </c>
      <c r="D2221" s="22" t="inlineStr">
        <is>
          <t>7114</t>
        </is>
      </c>
      <c r="E2221" s="21" t="inlineStr">
        <is>
          <t>Регулятор росту AgriFlex Fulvix Агріфлекс Фульвікс 5 кг CityMax</t>
        </is>
      </c>
      <c r="F2221" s="21" t="inlineStr">
        <is>
          <t>Троянда плетиста Полька DP PC19 C4 / H20-30</t>
        </is>
      </c>
      <c r="G2221" s="23" t="n">
        <v>3398</v>
      </c>
      <c r="H2221" s="23" t="n">
        <v>145</v>
      </c>
      <c r="I2221" s="21" t="inlineStr">
        <is>
          <t>ID постачальника збігся, але різні бренди</t>
        </is>
      </c>
    </row>
    <row r="2222">
      <c r="A2222" s="22" t="n">
        <v>25.2</v>
      </c>
      <c r="B2222" s="22" t="inlineStr">
        <is>
          <t>Клуб Рослин</t>
        </is>
      </c>
      <c r="C2222" s="22" t="inlineStr">
        <is>
          <t>2250</t>
        </is>
      </c>
      <c r="D2222" s="22" t="inlineStr">
        <is>
          <t>2250</t>
        </is>
      </c>
      <c r="E2222" s="21" t="inlineStr">
        <is>
          <t>Біоінсектицид Нематодес / NematoDes 1 кг Enzim Biotech Agro / Энзим Биотек Агро Украина</t>
        </is>
      </c>
      <c r="F2222" s="21" t="inlineStr">
        <is>
          <t>Гортензія волотиста Літтл Альф ® PC20 C5 / H60-65</t>
        </is>
      </c>
      <c r="G2222" s="23" t="n">
        <v>1098</v>
      </c>
      <c r="H2222" s="23" t="n">
        <v>360</v>
      </c>
      <c r="I2222" s="21" t="inlineStr">
        <is>
          <t>ID постачальника збігся, але назви різні</t>
        </is>
      </c>
    </row>
    <row r="2223">
      <c r="A2223" s="22" t="n">
        <v>25.2</v>
      </c>
      <c r="B2223" s="22" t="inlineStr">
        <is>
          <t>Клуб Рослин</t>
        </is>
      </c>
      <c r="C2223" s="22" t="inlineStr">
        <is>
          <t>7409</t>
        </is>
      </c>
      <c r="D2223" s="22" t="inlineStr">
        <is>
          <t>7409</t>
        </is>
      </c>
      <c r="E2223" s="21" t="inlineStr">
        <is>
          <t>Добриво GroGreen Гроліф NPK 5-10-43 + TE + QPS45 1 кг Lima Бельгія</t>
        </is>
      </c>
      <c r="F2223" s="21" t="inlineStr">
        <is>
          <t>Бузок звичайний Чарльс Джолі Штамб GK / Pa100</t>
        </is>
      </c>
      <c r="G2223" s="23" t="n">
        <v>425</v>
      </c>
      <c r="H2223" s="23" t="n">
        <v>455</v>
      </c>
      <c r="I2223" s="21" t="inlineStr">
        <is>
          <t>ID постачальника збігся, але різні бренди</t>
        </is>
      </c>
    </row>
    <row r="2224">
      <c r="A2224" s="22" t="n">
        <v>25.2</v>
      </c>
      <c r="B2224" s="22" t="inlineStr">
        <is>
          <t>Клуб Рослин</t>
        </is>
      </c>
      <c r="C2224" s="22" t="inlineStr">
        <is>
          <t>7603</t>
        </is>
      </c>
      <c r="D2224" s="22" t="inlineStr">
        <is>
          <t>7603</t>
        </is>
      </c>
      <c r="E2224" s="21" t="inlineStr">
        <is>
          <t>Добриво GroGreen Гель Блу-С 200 г (бор-10.5%+сірка-13.4%+ТE) Lima Бельгія</t>
        </is>
      </c>
      <c r="F2224" s="21" t="inlineStr">
        <is>
          <t>Тис середній Гроєнланд PC21 C5 / H45-50</t>
        </is>
      </c>
      <c r="G2224" s="23" t="n">
        <v>325</v>
      </c>
      <c r="H2224" s="23" t="n">
        <v>331</v>
      </c>
      <c r="I2224" s="21" t="inlineStr">
        <is>
          <t>ID постачальника збігся, але назви різні</t>
        </is>
      </c>
    </row>
    <row r="2225">
      <c r="A2225" s="22" t="n">
        <v>25.2</v>
      </c>
      <c r="B2225" s="22" t="inlineStr">
        <is>
          <t>Клуб Рослин</t>
        </is>
      </c>
      <c r="C2225" s="22" t="inlineStr">
        <is>
          <t>7809</t>
        </is>
      </c>
      <c r="D2225" s="22" t="inlineStr">
        <is>
          <t>7809</t>
        </is>
      </c>
      <c r="E2225" s="21" t="inlineStr">
        <is>
          <t>Інокулянт Біорадіс Таблет / Bioradis Tablet 10 таблеток (розсип) Bioera Іспанія</t>
        </is>
      </c>
      <c r="F2225" s="21" t="inlineStr">
        <is>
          <t>Туя західна (ий) Смарагд K C65 / H120-140</t>
        </is>
      </c>
      <c r="G2225" s="23" t="n">
        <v>175</v>
      </c>
      <c r="H2225" s="23" t="n">
        <v>508</v>
      </c>
      <c r="I2225" s="21" t="inlineStr">
        <is>
          <t>ID постачальника збігся, але назви різні</t>
        </is>
      </c>
    </row>
    <row r="2226">
      <c r="A2226" s="22" t="n">
        <v>25</v>
      </c>
      <c r="B2226" s="22" t="inlineStr">
        <is>
          <t>Клуб Рослин</t>
        </is>
      </c>
      <c r="C2226" s="22" t="inlineStr">
        <is>
          <t>2290</t>
        </is>
      </c>
      <c r="D2226" s="22" t="inlineStr">
        <is>
          <t>2290</t>
        </is>
      </c>
      <c r="E2226" s="21" t="inlineStr">
        <is>
          <t>Інсектицид Кайрос 5 л DEFENDA Україна</t>
        </is>
      </c>
      <c r="F2226" s="21" t="inlineStr">
        <is>
          <t>Гортензія волотиста Меджікал Гімалайа PC20 C3 / H60-70</t>
        </is>
      </c>
      <c r="G2226" s="23" t="n">
        <v>30498</v>
      </c>
      <c r="H2226" s="23" t="n">
        <v>240</v>
      </c>
      <c r="I2226" s="21" t="inlineStr">
        <is>
          <t>ID постачальника збігся, але назви різні</t>
        </is>
      </c>
    </row>
    <row r="2227">
      <c r="A2227" s="22" t="n">
        <v>25</v>
      </c>
      <c r="B2227" s="22" t="inlineStr">
        <is>
          <t>Клуб Рослин</t>
        </is>
      </c>
      <c r="C2227" s="22" t="inlineStr">
        <is>
          <t>3201</t>
        </is>
      </c>
      <c r="D2227" s="22" t="inlineStr">
        <is>
          <t>3201</t>
        </is>
      </c>
      <c r="E2227" s="21" t="inlineStr">
        <is>
          <t>Фунгіцид Артіс Плюс 5 л Alfa Smart Agro Альфа Смарт Агро Україна</t>
        </is>
      </c>
      <c r="F2227" s="21" t="inlineStr">
        <is>
          <t>Лілія ОТ-гібридна Еудоксіа 12\14</t>
        </is>
      </c>
      <c r="G2227" s="23" t="n">
        <v>3499</v>
      </c>
      <c r="H2227" s="23" t="n">
        <v>50</v>
      </c>
      <c r="I2227" s="21" t="inlineStr">
        <is>
          <t>ID постачальника збігся, але назви різні</t>
        </is>
      </c>
    </row>
    <row r="2228">
      <c r="A2228" s="22" t="n">
        <v>25</v>
      </c>
      <c r="B2228" s="22" t="inlineStr">
        <is>
          <t>Клуб Рослин</t>
        </is>
      </c>
      <c r="C2228" s="22" t="inlineStr">
        <is>
          <t>9030</t>
        </is>
      </c>
      <c r="D2228" s="22" t="inlineStr">
        <is>
          <t>9030</t>
        </is>
      </c>
      <c r="E2228" s="21" t="inlineStr">
        <is>
          <t>Прилипач ад’ювант Інгрес 5 л Ukravit Укравіт Україна</t>
        </is>
      </c>
      <c r="F2228" s="21" t="inlineStr">
        <is>
          <t>Держак Bellota M3020SB.B для грабель віялових (1200мм)</t>
        </is>
      </c>
      <c r="G2228" s="23" t="n">
        <v>2848</v>
      </c>
      <c r="H2228" s="23" t="n">
        <v>248</v>
      </c>
      <c r="I2228" s="21" t="inlineStr">
        <is>
          <t>ID постачальника збігся, але різні об'єми або розміри</t>
        </is>
      </c>
    </row>
    <row r="2229">
      <c r="A2229" s="22" t="n">
        <v>25</v>
      </c>
      <c r="B2229" s="22" t="inlineStr">
        <is>
          <t>Клуб Рослин</t>
        </is>
      </c>
      <c r="C2229" s="22" t="inlineStr">
        <is>
          <t>7629</t>
        </is>
      </c>
      <c r="D2229" s="22" t="inlineStr">
        <is>
          <t>7629</t>
        </is>
      </c>
      <c r="E2229" s="21" t="inlineStr">
        <is>
          <t>Укорінювач Хризоплюс Grey 0.8% 350 г Rhizopon B.V. Нідерланди</t>
        </is>
      </c>
      <c r="F2229" s="21" t="inlineStr">
        <is>
          <t>Тис середній Хілліі C15 / H50-60</t>
        </is>
      </c>
      <c r="G2229" s="23" t="n">
        <v>2436</v>
      </c>
      <c r="H2229" s="23" t="n">
        <v>1680</v>
      </c>
      <c r="I2229" s="21" t="inlineStr">
        <is>
          <t>ID постачальника збігся, але назви різні</t>
        </is>
      </c>
    </row>
    <row r="2230">
      <c r="A2230" s="22" t="n">
        <v>25</v>
      </c>
      <c r="B2230" s="22" t="inlineStr">
        <is>
          <t>Клуб Рослин</t>
        </is>
      </c>
      <c r="C2230" s="22" t="inlineStr">
        <is>
          <t>3090</t>
        </is>
      </c>
      <c r="D2230" s="22" t="inlineStr">
        <is>
          <t>3090</t>
        </is>
      </c>
      <c r="E2230" s="21" t="inlineStr">
        <is>
          <t>Фунгіцид Топ Ефект КС 5 л Ukravit Укравіт Україна</t>
        </is>
      </c>
      <c r="F2230" s="21" t="inlineStr">
        <is>
          <t>Модрина європейська Пулі Штамб C4 / Pa100</t>
        </is>
      </c>
      <c r="G2230" s="23" t="n">
        <v>2262</v>
      </c>
      <c r="H2230" s="23" t="n">
        <v>470</v>
      </c>
      <c r="I2230" s="21" t="inlineStr">
        <is>
          <t>ID постачальника збігся, але назви різні</t>
        </is>
      </c>
    </row>
    <row r="2231">
      <c r="A2231" s="22" t="n">
        <v>25</v>
      </c>
      <c r="B2231" s="22" t="inlineStr">
        <is>
          <t>Клуб Рослин</t>
        </is>
      </c>
      <c r="C2231" s="22" t="inlineStr">
        <is>
          <t>3673</t>
        </is>
      </c>
      <c r="D2231" s="22" t="inlineStr">
        <is>
          <t>3673</t>
        </is>
      </c>
      <c r="E2231" s="21" t="inlineStr">
        <is>
          <t>Фунгіцид Тройсет 5 кг Ukravit Укравіт Україна</t>
        </is>
      </c>
      <c r="F2231" s="21" t="inlineStr">
        <is>
          <t>Шовковиця білий(а) Платифіллос Штамб C60 / o14-16 / Pa220</t>
        </is>
      </c>
      <c r="G2231" s="23" t="n">
        <v>2198</v>
      </c>
      <c r="H2231" s="23" t="n">
        <v>2770</v>
      </c>
      <c r="I2231" s="21" t="inlineStr">
        <is>
          <t>ID постачальника збігся, але назви різні</t>
        </is>
      </c>
    </row>
    <row r="2232">
      <c r="A2232" s="22" t="n">
        <v>25</v>
      </c>
      <c r="B2232" s="22" t="inlineStr">
        <is>
          <t>Клуб Рослин</t>
        </is>
      </c>
      <c r="C2232" s="22" t="inlineStr">
        <is>
          <t>3231</t>
        </is>
      </c>
      <c r="D2232" s="22" t="inlineStr">
        <is>
          <t>3231</t>
        </is>
      </c>
      <c r="E2232" s="21" t="inlineStr">
        <is>
          <t>Фунгіцид Купер 5 л Нертус Угорщина</t>
        </is>
      </c>
      <c r="F2232" s="21" t="inlineStr">
        <is>
          <t>Ліквідамбар (Амброве дерево) смолоносний Стелла PC21 C7,5 / H90-100</t>
        </is>
      </c>
      <c r="G2232" s="23" t="n">
        <v>2025</v>
      </c>
      <c r="H2232" s="23" t="n">
        <v>994</v>
      </c>
      <c r="I2232" s="21" t="inlineStr">
        <is>
          <t>ID постачальника збігся, але назви різні</t>
        </is>
      </c>
    </row>
    <row r="2233">
      <c r="A2233" s="22" t="n">
        <v>25</v>
      </c>
      <c r="B2233" s="22" t="inlineStr">
        <is>
          <t>Клуб Рослин</t>
        </is>
      </c>
      <c r="C2233" s="22" t="inlineStr">
        <is>
          <t>7285</t>
        </is>
      </c>
      <c r="D2233" s="22" t="inlineStr">
        <is>
          <t>7285</t>
        </is>
      </c>
      <c r="E2233" s="21" t="inlineStr">
        <is>
          <t>Добриво Келькат Бор / Kelkat Boron 5 кг Вітера Atlantica Agricola Іспанія</t>
        </is>
      </c>
      <c r="F2233" s="21" t="inlineStr">
        <is>
          <t>Троянда поліантова Румба DP PC19 C5 / H20-30</t>
        </is>
      </c>
      <c r="G2233" s="23" t="n">
        <v>1961</v>
      </c>
      <c r="H2233" s="23" t="n">
        <v>144</v>
      </c>
      <c r="I2233" s="21" t="inlineStr">
        <is>
          <t>ID постачальника збігся, але різні бренди</t>
        </is>
      </c>
    </row>
    <row r="2234">
      <c r="A2234" s="22" t="n">
        <v>25</v>
      </c>
      <c r="B2234" s="22" t="inlineStr">
        <is>
          <t>Клуб Рослин</t>
        </is>
      </c>
      <c r="C2234" s="22" t="inlineStr">
        <is>
          <t>2239</t>
        </is>
      </c>
      <c r="D2234" s="22" t="inlineStr">
        <is>
          <t>2239</t>
        </is>
      </c>
      <c r="E2234" s="21" t="inlineStr">
        <is>
          <t>Інсектицид Твікс 5 л Дефенда / Defenda</t>
        </is>
      </c>
      <c r="F2234" s="21" t="inlineStr">
        <is>
          <t>Гортензія волотиста Лаймлайт Штамб C10 / Pa100</t>
        </is>
      </c>
      <c r="G2234" s="23" t="n">
        <v>1775</v>
      </c>
      <c r="H2234" s="23" t="n">
        <v>1134</v>
      </c>
      <c r="I2234" s="21" t="inlineStr">
        <is>
          <t>ID постачальника збігся, але назви різні</t>
        </is>
      </c>
    </row>
    <row r="2235">
      <c r="A2235" s="22" t="n">
        <v>25</v>
      </c>
      <c r="B2235" s="22" t="inlineStr">
        <is>
          <t>Клуб Рослин</t>
        </is>
      </c>
      <c r="C2235" s="22" t="inlineStr">
        <is>
          <t>1156</t>
        </is>
      </c>
      <c r="D2235" s="22" t="inlineStr">
        <is>
          <t>1156</t>
        </is>
      </c>
      <c r="E2235" s="21" t="inlineStr">
        <is>
          <t>Гербіцид Формула 500 г Ukravit Укравіт Україна</t>
        </is>
      </c>
      <c r="F2235" s="21" t="inlineStr">
        <is>
          <t>Верес звичайний C1,1 / H25-30</t>
        </is>
      </c>
      <c r="G2235" s="23" t="n">
        <v>1728</v>
      </c>
      <c r="H2235" s="23" t="n">
        <v>40</v>
      </c>
      <c r="I2235" s="21" t="inlineStr">
        <is>
          <t>ID постачальника збігся, але назви різні</t>
        </is>
      </c>
    </row>
    <row r="2236">
      <c r="A2236" s="22" t="n">
        <v>25</v>
      </c>
      <c r="B2236" s="22" t="inlineStr">
        <is>
          <t>Клуб Рослин</t>
        </is>
      </c>
      <c r="C2236" s="22" t="inlineStr">
        <is>
          <t>3043</t>
        </is>
      </c>
      <c r="D2236" s="22" t="inlineStr">
        <is>
          <t>3043</t>
        </is>
      </c>
      <c r="E2236" s="21" t="inlineStr">
        <is>
          <t>Фунгіцид Ацидан 2.5 кг Хімагромаркетинг Україна</t>
        </is>
      </c>
      <c r="F2236" s="21" t="inlineStr">
        <is>
          <t>Ялівець середній Олд Голд PC18 C3</t>
        </is>
      </c>
      <c r="G2236" s="23" t="n">
        <v>1375</v>
      </c>
      <c r="H2236" s="23" t="n">
        <v>155</v>
      </c>
      <c r="I2236" s="21" t="inlineStr">
        <is>
          <t>ID постачальника збігся, але назви різні</t>
        </is>
      </c>
    </row>
    <row r="2237">
      <c r="A2237" s="22" t="n">
        <v>25</v>
      </c>
      <c r="B2237" s="22" t="inlineStr">
        <is>
          <t>Клуб Рослин</t>
        </is>
      </c>
      <c r="C2237" s="22" t="inlineStr">
        <is>
          <t>3429</t>
        </is>
      </c>
      <c r="D2237" s="22" t="inlineStr">
        <is>
          <t>3429</t>
        </is>
      </c>
      <c r="E2237" s="21" t="inlineStr">
        <is>
          <t>Фунгіцид Лікур 1 л Ukravit Укравіт Україна</t>
        </is>
      </c>
      <c r="F2237" s="21" t="inlineStr">
        <is>
          <t>Магнолія Лебнера Меррілл Woodenbox 300 / H200-250</t>
        </is>
      </c>
      <c r="G2237" s="23" t="n">
        <v>1225</v>
      </c>
      <c r="H2237" s="23" t="n">
        <v>11879</v>
      </c>
      <c r="I2237" s="21" t="inlineStr">
        <is>
          <t>ID постачальника збігся, але різні бренди</t>
        </is>
      </c>
    </row>
    <row r="2238">
      <c r="A2238" s="22" t="n">
        <v>25</v>
      </c>
      <c r="B2238" s="22" t="inlineStr">
        <is>
          <t>Клуб Рослин</t>
        </is>
      </c>
      <c r="C2238" s="22" t="inlineStr">
        <is>
          <t>8141</t>
        </is>
      </c>
      <c r="D2238" s="22" t="inlineStr">
        <is>
          <t>8141</t>
        </is>
      </c>
      <c r="E2238" s="21" t="inlineStr">
        <is>
          <t>Добриво Неовіт Флоркуахе / Neovit Florcuaje 1 л Bioera Іспанія</t>
        </is>
      </c>
      <c r="F2238" s="21" t="inlineStr">
        <is>
          <t>Виноград культурний Бонсай C25 / H40-50</t>
        </is>
      </c>
      <c r="G2238" s="23" t="n">
        <v>1092</v>
      </c>
      <c r="H2238" s="23" t="n">
        <v>4140</v>
      </c>
      <c r="I2238" s="21" t="inlineStr">
        <is>
          <t>ID постачальника збігся, але назви різні</t>
        </is>
      </c>
    </row>
    <row r="2239">
      <c r="A2239" s="22" t="n">
        <v>25</v>
      </c>
      <c r="B2239" s="22" t="inlineStr">
        <is>
          <t>Клуб Рослин</t>
        </is>
      </c>
      <c r="C2239" s="22" t="inlineStr">
        <is>
          <t>7828</t>
        </is>
      </c>
      <c r="D2239" s="22" t="inlineStr">
        <is>
          <t>7828</t>
        </is>
      </c>
      <c r="E2239" s="21" t="inlineStr">
        <is>
          <t>Добриво Фосфейр / Fosfair 1 л Bioera Іспанія</t>
        </is>
      </c>
      <c r="F2239" s="21" t="inlineStr">
        <is>
          <t>Туя західна (ий) Смарагд K19 C25 / H100-120</t>
        </is>
      </c>
      <c r="G2239" s="23" t="n">
        <v>1040</v>
      </c>
      <c r="H2239" s="23" t="n">
        <v>359</v>
      </c>
      <c r="I2239" s="21" t="inlineStr">
        <is>
          <t>ID постачальника збігся, але назви різні</t>
        </is>
      </c>
    </row>
    <row r="2240">
      <c r="A2240" s="22" t="n">
        <v>25</v>
      </c>
      <c r="B2240" s="22" t="inlineStr">
        <is>
          <t>Клуб Рослин</t>
        </is>
      </c>
      <c r="C2240" s="22" t="inlineStr">
        <is>
          <t>8157</t>
        </is>
      </c>
      <c r="D2240" s="22" t="inlineStr">
        <is>
          <t>8157</t>
        </is>
      </c>
      <c r="E2240" s="21" t="inlineStr">
        <is>
          <t>Добриво Савіавітал К / Saviavital K 1л Bioera Іспанія</t>
        </is>
      </c>
      <c r="F2240" s="21" t="inlineStr">
        <is>
          <t>Вейгела квітуча Александра PC11 C7,5</t>
        </is>
      </c>
      <c r="G2240" s="23" t="n">
        <v>884</v>
      </c>
      <c r="H2240" s="23" t="n">
        <v>160</v>
      </c>
      <c r="I2240" s="21" t="inlineStr">
        <is>
          <t>ID постачальника збігся, але назви різні</t>
        </is>
      </c>
    </row>
    <row r="2241">
      <c r="A2241" s="22" t="n">
        <v>25</v>
      </c>
      <c r="B2241" s="22" t="inlineStr">
        <is>
          <t>Клуб Рослин</t>
        </is>
      </c>
      <c r="C2241" s="22" t="inlineStr">
        <is>
          <t>7035</t>
        </is>
      </c>
      <c r="D2241" s="22" t="inlineStr">
        <is>
          <t>7035</t>
        </is>
      </c>
      <c r="E2241" s="21" t="inlineStr">
        <is>
          <t>Добриво Брексіл Комбі Brexil Combi 1 кг Syngenta (Valagro) Італія</t>
        </is>
      </c>
      <c r="F2241" s="21" t="inlineStr">
        <is>
          <t>Рододендрон Рокет C20 / H60+</t>
        </is>
      </c>
      <c r="G2241" s="23" t="n">
        <v>685</v>
      </c>
      <c r="H2241" s="23" t="n">
        <v>1819</v>
      </c>
      <c r="I2241" s="21" t="inlineStr">
        <is>
          <t>ID постачальника збігся, але назви різні</t>
        </is>
      </c>
    </row>
    <row r="2242">
      <c r="A2242" s="22" t="n">
        <v>25</v>
      </c>
      <c r="B2242" s="22" t="inlineStr">
        <is>
          <t>Клуб Рослин</t>
        </is>
      </c>
      <c r="C2242" s="22" t="inlineStr">
        <is>
          <t>7377</t>
        </is>
      </c>
      <c r="D2242" s="22" t="inlineStr">
        <is>
          <t>7377</t>
        </is>
      </c>
      <c r="E2242" s="21" t="inlineStr">
        <is>
          <t>Добриво Хвойні 1 л SmartGrow Україна</t>
        </is>
      </c>
      <c r="F2242" s="21" t="inlineStr">
        <is>
          <t>Спірея японська Джапаніс Дварф PC19 C5 / H25-30</t>
        </is>
      </c>
      <c r="G2242" s="23" t="n">
        <v>598</v>
      </c>
      <c r="H2242" s="23" t="n">
        <v>145</v>
      </c>
      <c r="I2242" s="21" t="inlineStr">
        <is>
          <t>ID постачальника збігся, але назви різні</t>
        </is>
      </c>
    </row>
    <row r="2243">
      <c r="A2243" s="22" t="n">
        <v>25</v>
      </c>
      <c r="B2243" s="22" t="inlineStr">
        <is>
          <t>Клуб Рослин</t>
        </is>
      </c>
      <c r="C2243" s="22" t="inlineStr">
        <is>
          <t>4019</t>
        </is>
      </c>
      <c r="D2243" s="22" t="inlineStr">
        <is>
          <t>4019</t>
        </is>
      </c>
      <c r="E2243" s="21" t="inlineStr">
        <is>
          <t>Фумігант Фуміфос 1 кг Хімагромаркетинг Україна</t>
        </is>
      </c>
      <c r="F2243" s="21" t="inlineStr">
        <is>
          <t>Ялина звичайна Віллс Цверг K19 C60 / H120-160</t>
        </is>
      </c>
      <c r="G2243" s="23" t="n">
        <v>546</v>
      </c>
      <c r="H2243" s="23" t="n">
        <v>1200</v>
      </c>
      <c r="I2243" s="21" t="inlineStr">
        <is>
          <t>ID постачальника збігся, але назви різні</t>
        </is>
      </c>
    </row>
    <row r="2244">
      <c r="A2244" s="22" t="n">
        <v>25</v>
      </c>
      <c r="B2244" s="22" t="inlineStr">
        <is>
          <t>Клуб Рослин</t>
        </is>
      </c>
      <c r="C2244" s="22" t="inlineStr">
        <is>
          <t>7365</t>
        </is>
      </c>
      <c r="D2244" s="22" t="inlineStr">
        <is>
          <t>7365</t>
        </is>
      </c>
      <c r="E2244" s="21" t="inlineStr">
        <is>
          <t>Добриво Аміномакс Азот / Aminomax N 0.5 л Meristem Мерістем Іспанія</t>
        </is>
      </c>
      <c r="F2244" s="21" t="inlineStr">
        <is>
          <t>Спірея японська Голдфлейм PC21 C3 / H15-20</t>
        </is>
      </c>
      <c r="G2244" s="23" t="n">
        <v>448</v>
      </c>
      <c r="H2244" s="23" t="n">
        <v>151</v>
      </c>
      <c r="I2244" s="21" t="inlineStr">
        <is>
          <t>ID постачальника збігся, але назви різні</t>
        </is>
      </c>
    </row>
    <row r="2245">
      <c r="A2245" s="22" t="n">
        <v>25</v>
      </c>
      <c r="B2245" s="22" t="inlineStr">
        <is>
          <t>Клуб Рослин</t>
        </is>
      </c>
      <c r="C2245" s="22" t="inlineStr">
        <is>
          <t>7095</t>
        </is>
      </c>
      <c r="D2245" s="22" t="inlineStr">
        <is>
          <t>7095</t>
        </is>
      </c>
      <c r="E2245" s="21" t="inlineStr">
        <is>
          <t>Добриво Мультимікс MultiMix 10 кг Leili Лейлі</t>
        </is>
      </c>
      <c r="F2245" s="21" t="inlineStr">
        <is>
          <t>Троянда плетиста Ексцельса Штамб C7,5 / Pa100</t>
        </is>
      </c>
      <c r="G2245" s="23" t="n">
        <v>414</v>
      </c>
      <c r="H2245" s="23" t="n">
        <v>480</v>
      </c>
      <c r="I2245" s="21" t="inlineStr">
        <is>
          <t>ID постачальника збігся, але назви різні</t>
        </is>
      </c>
    </row>
    <row r="2246">
      <c r="A2246" s="22" t="n">
        <v>25</v>
      </c>
      <c r="B2246" s="22" t="inlineStr">
        <is>
          <t>Клуб Рослин</t>
        </is>
      </c>
      <c r="C2246" s="22" t="inlineStr">
        <is>
          <t>2134</t>
        </is>
      </c>
      <c r="D2246" s="22" t="inlineStr">
        <is>
          <t>2134</t>
        </is>
      </c>
      <c r="E2246" s="21" t="inlineStr">
        <is>
          <t>Інсектицид Антигусінь КС 1 л Ukravit Укравіт Україна</t>
        </is>
      </c>
      <c r="F2246" s="21" t="inlineStr">
        <is>
          <t>Гортензія великолисткова Льойхтфоєр C5 / H30-40</t>
        </is>
      </c>
      <c r="G2246" s="23" t="n">
        <v>360</v>
      </c>
      <c r="H2246" s="23" t="n">
        <v>325</v>
      </c>
      <c r="I2246" s="21" t="inlineStr">
        <is>
          <t>ID постачальника збігся, але назви різні</t>
        </is>
      </c>
    </row>
    <row r="2247">
      <c r="A2247" s="22" t="n">
        <v>25</v>
      </c>
      <c r="B2247" s="22" t="inlineStr">
        <is>
          <t>Клуб Рослин</t>
        </is>
      </c>
      <c r="C2247" s="22" t="inlineStr">
        <is>
          <t>1112</t>
        </is>
      </c>
      <c r="D2247" s="22" t="inlineStr">
        <is>
          <t>1112</t>
        </is>
      </c>
      <c r="E2247" s="21" t="inlineStr">
        <is>
          <t>Гербіцид Гефест 1 л Нопосон</t>
        </is>
      </c>
      <c r="F2247" s="21" t="inlineStr">
        <is>
          <t>Самшит вічнозенений Конус C100 / H80-100</t>
        </is>
      </c>
      <c r="G2247" s="23" t="n">
        <v>286</v>
      </c>
      <c r="H2247" s="23" t="n">
        <v>3600</v>
      </c>
      <c r="I2247" s="21" t="inlineStr">
        <is>
          <t>ID постачальника збігся, але назви різні</t>
        </is>
      </c>
    </row>
    <row r="2248">
      <c r="A2248" s="22" t="n">
        <v>25</v>
      </c>
      <c r="B2248" s="22" t="inlineStr">
        <is>
          <t>Клуб Рослин</t>
        </is>
      </c>
      <c r="C2248" s="22" t="inlineStr">
        <is>
          <t>9103</t>
        </is>
      </c>
      <c r="D2248" s="22" t="inlineStr">
        <is>
          <t>9103</t>
        </is>
      </c>
      <c r="E2248" s="21" t="inlineStr">
        <is>
          <t>Регулятор кислотності Аквастаб / AquaStab 1 л Кіссон Україна</t>
        </is>
      </c>
      <c r="F2248" s="21" t="inlineStr">
        <is>
          <t>Добриво Ekote Agriculture N+B 35-00-00+18SO3+0,4B (3 місяці), 20 кг</t>
        </is>
      </c>
      <c r="G2248" s="23" t="n">
        <v>268</v>
      </c>
      <c r="H2248" s="23" t="n">
        <v>2684</v>
      </c>
      <c r="I2248" s="21" t="inlineStr">
        <is>
          <t>ID постачальника збігся, але різні об'єми або розміри</t>
        </is>
      </c>
    </row>
    <row r="2249">
      <c r="A2249" s="22" t="n">
        <v>25</v>
      </c>
      <c r="B2249" s="22" t="inlineStr">
        <is>
          <t>Клуб Рослин</t>
        </is>
      </c>
      <c r="C2249" s="22" t="inlineStr">
        <is>
          <t>1099</t>
        </is>
      </c>
      <c r="D2249" s="22" t="inlineStr">
        <is>
          <t>1099</t>
        </is>
      </c>
      <c r="E2249" s="21" t="inlineStr">
        <is>
          <t>Гербіцид Трифлурекс 1 л Аdama Адама Ізраїль</t>
        </is>
      </c>
      <c r="F2249" s="21" t="inlineStr">
        <is>
          <t>Самшит вічнозенений Куля Extra Woodenbox 1000 / L100-120</t>
        </is>
      </c>
      <c r="G2249" s="23" t="n"/>
      <c r="H2249" s="23" t="n">
        <v>23460</v>
      </c>
      <c r="I2249" s="21" t="inlineStr">
        <is>
          <t>ID постачальника збігся, але різні бренди</t>
        </is>
      </c>
    </row>
    <row r="2250">
      <c r="A2250" s="22" t="n">
        <v>24.8</v>
      </c>
      <c r="B2250" s="22" t="inlineStr">
        <is>
          <t>Клуб Рослин</t>
        </is>
      </c>
      <c r="C2250" s="22" t="inlineStr">
        <is>
          <t>7152</t>
        </is>
      </c>
      <c r="D2250" s="22" t="inlineStr">
        <is>
          <t>7152</t>
        </is>
      </c>
      <c r="E2250" s="21" t="inlineStr">
        <is>
          <t>Стимулятор росту Райкат Старт (Raykat Start) 5 л Вітера Atlantica Agricola Іспанія</t>
        </is>
      </c>
      <c r="F2250" s="21" t="inlineStr">
        <is>
          <t>Троянда гібридний(а) Блек Меджік G</t>
        </is>
      </c>
      <c r="G2250" s="23" t="n">
        <v>6906</v>
      </c>
      <c r="H2250" s="23" t="n">
        <v>60</v>
      </c>
      <c r="I2250" s="21" t="inlineStr">
        <is>
          <t>ID постачальника збігся, але назви різні</t>
        </is>
      </c>
    </row>
    <row r="2251">
      <c r="A2251" s="22" t="n">
        <v>24.8</v>
      </c>
      <c r="B2251" s="22" t="inlineStr">
        <is>
          <t>Клуб Рослин</t>
        </is>
      </c>
      <c r="C2251" s="22" t="inlineStr">
        <is>
          <t>7307</t>
        </is>
      </c>
      <c r="D2251" s="22" t="inlineStr">
        <is>
          <t>7307</t>
        </is>
      </c>
      <c r="E2251" s="21" t="inlineStr">
        <is>
          <t>Добриво ЦTA Стимулянт-4 (CTA Stymulant-4) 5 л Meristem Мерістем Іспанія</t>
        </is>
      </c>
      <c r="F2251" s="21" t="inlineStr">
        <is>
          <t>Верба цільнолиста Хакуро Нішікі PC17 C10 / Pa100</t>
        </is>
      </c>
      <c r="G2251" s="23" t="n">
        <v>5948</v>
      </c>
      <c r="H2251" s="23" t="n">
        <v>300</v>
      </c>
      <c r="I2251" s="21" t="inlineStr">
        <is>
          <t>ID постачальника збігся, але назви різні</t>
        </is>
      </c>
    </row>
    <row r="2252">
      <c r="A2252" s="22" t="n">
        <v>24.8</v>
      </c>
      <c r="B2252" s="22" t="inlineStr">
        <is>
          <t>Клуб Рослин</t>
        </is>
      </c>
      <c r="C2252" s="22" t="inlineStr">
        <is>
          <t>7032</t>
        </is>
      </c>
      <c r="D2252" s="22" t="inlineStr">
        <is>
          <t>7032</t>
        </is>
      </c>
      <c r="E2252" s="21" t="inlineStr">
        <is>
          <t>Добриво Брексіл Кальцій Brexil Ca 5 кг Syngenta (Valagro) Італія</t>
        </is>
      </c>
      <c r="F2252" s="21" t="inlineStr">
        <is>
          <t>Рододендрон понтійскій Граціелла лілароуз C15 / H40-50</t>
        </is>
      </c>
      <c r="G2252" s="23" t="n">
        <v>3155</v>
      </c>
      <c r="H2252" s="23" t="n">
        <v>865</v>
      </c>
      <c r="I2252" s="21" t="inlineStr">
        <is>
          <t>ID постачальника збігся, але назви різні</t>
        </is>
      </c>
    </row>
    <row r="2253">
      <c r="A2253" s="22" t="n">
        <v>24.8</v>
      </c>
      <c r="B2253" s="22" t="inlineStr">
        <is>
          <t>Клуб Рослин</t>
        </is>
      </c>
      <c r="C2253" s="22" t="inlineStr">
        <is>
          <t>7005</t>
        </is>
      </c>
      <c r="D2253" s="22" t="inlineStr">
        <is>
          <t>7005</t>
        </is>
      </c>
      <c r="E2253" s="21" t="inlineStr">
        <is>
          <t>Добриво Plantafol Плантафол 5+15+45 1 кг Syngenta (Valagro) Італія</t>
        </is>
      </c>
      <c r="F2253" s="21" t="inlineStr">
        <is>
          <t>Рододендрон гібридний Нова Зембла PC21 C7,5 / H70-90</t>
        </is>
      </c>
      <c r="G2253" s="23" t="n">
        <v>375</v>
      </c>
      <c r="H2253" s="23" t="n">
        <v>581</v>
      </c>
      <c r="I2253" s="21" t="inlineStr">
        <is>
          <t>ID постачальника збігся, але назви різні</t>
        </is>
      </c>
    </row>
    <row r="2254">
      <c r="A2254" s="22" t="n">
        <v>24.7</v>
      </c>
      <c r="B2254" s="22" t="inlineStr">
        <is>
          <t>Клуб Рослин</t>
        </is>
      </c>
      <c r="C2254" s="22" t="inlineStr">
        <is>
          <t>7631</t>
        </is>
      </c>
      <c r="D2254" s="22" t="inlineStr">
        <is>
          <t>7631</t>
        </is>
      </c>
      <c r="E2254" s="21" t="inlineStr">
        <is>
          <t>Укорінювач Ризопон Powder AA 2 % 500 г Rhizopon B.V. Нідерланди</t>
        </is>
      </c>
      <c r="F2254" s="21" t="inlineStr">
        <is>
          <t>Тис середній Хілліі C15 / H60-80</t>
        </is>
      </c>
      <c r="G2254" s="23" t="n">
        <v>6998</v>
      </c>
      <c r="H2254" s="23" t="n">
        <v>1243</v>
      </c>
      <c r="I2254" s="21" t="inlineStr">
        <is>
          <t>ID постачальника збігся, але назви різні</t>
        </is>
      </c>
    </row>
    <row r="2255">
      <c r="A2255" s="22" t="n">
        <v>24.7</v>
      </c>
      <c r="B2255" s="22" t="inlineStr">
        <is>
          <t>Клуб Рослин</t>
        </is>
      </c>
      <c r="C2255" s="22" t="inlineStr">
        <is>
          <t>1278</t>
        </is>
      </c>
      <c r="D2255" s="22" t="inlineStr">
        <is>
          <t>1278</t>
        </is>
      </c>
      <c r="E2255" s="21" t="inlineStr">
        <is>
          <t>Десикант Мега Дикват 20 л Хімагромаркетинг Україна</t>
        </is>
      </c>
      <c r="F2255" s="21" t="inlineStr">
        <is>
          <t>Кедр гімалайський Пендула Woodenbox 600 / H300-400</t>
        </is>
      </c>
      <c r="G2255" s="23" t="n">
        <v>5298</v>
      </c>
      <c r="H2255" s="23" t="n">
        <v>28797</v>
      </c>
      <c r="I2255" s="21" t="inlineStr">
        <is>
          <t>ID постачальника збігся, але назви різні</t>
        </is>
      </c>
    </row>
    <row r="2256">
      <c r="A2256" s="22" t="n">
        <v>24.7</v>
      </c>
      <c r="B2256" s="22" t="inlineStr">
        <is>
          <t>Клуб Рослин</t>
        </is>
      </c>
      <c r="C2256" s="22" t="inlineStr">
        <is>
          <t>7505</t>
        </is>
      </c>
      <c r="D2256" s="22" t="inlineStr">
        <is>
          <t>7505</t>
        </is>
      </c>
      <c r="E2256" s="21" t="inlineStr">
        <is>
          <t>Добриво YaraTera Kristalon ЯраТера Кристалон 6-12-36 25 кг Норвегія</t>
        </is>
      </c>
      <c r="F2256" s="21" t="inlineStr">
        <is>
          <t>Тис ягідний (а) Куб 100*100 C150</t>
        </is>
      </c>
      <c r="G2256" s="23" t="n">
        <v>4398</v>
      </c>
      <c r="H2256" s="23" t="n">
        <v>36000</v>
      </c>
      <c r="I2256" s="21" t="inlineStr">
        <is>
          <t>ID постачальника збігся, але назви різні</t>
        </is>
      </c>
    </row>
    <row r="2257">
      <c r="A2257" s="22" t="n">
        <v>24.7</v>
      </c>
      <c r="B2257" s="22" t="inlineStr">
        <is>
          <t>Клуб Рослин</t>
        </is>
      </c>
      <c r="C2257" s="22" t="inlineStr">
        <is>
          <t>8146</t>
        </is>
      </c>
      <c r="D2257" s="22" t="inlineStr">
        <is>
          <t>8146</t>
        </is>
      </c>
      <c r="E2257" s="21" t="inlineStr">
        <is>
          <t>Добриво Фрукто / Frukto 5 л Bioera Іспанія</t>
        </is>
      </c>
      <c r="F2257" s="21" t="inlineStr">
        <is>
          <t>Виноград культурний Конкорд NN GK</t>
        </is>
      </c>
      <c r="G2257" s="23" t="n">
        <v>4160</v>
      </c>
      <c r="H2257" s="23" t="n">
        <v>40</v>
      </c>
      <c r="I2257" s="21" t="inlineStr">
        <is>
          <t>ID постачальника збігся, але різні бренди</t>
        </is>
      </c>
    </row>
    <row r="2258">
      <c r="A2258" s="22" t="n">
        <v>24.7</v>
      </c>
      <c r="B2258" s="22" t="inlineStr">
        <is>
          <t>Клуб Рослин</t>
        </is>
      </c>
      <c r="C2258" s="22" t="inlineStr">
        <is>
          <t>2073</t>
        </is>
      </c>
      <c r="D2258" s="22" t="inlineStr">
        <is>
          <t>2073</t>
        </is>
      </c>
      <c r="E2258" s="21" t="inlineStr">
        <is>
          <t>Інсектицид Бі-58 Топ 5 л Basf Басф Німеччина</t>
        </is>
      </c>
      <c r="F2258" s="21" t="inlineStr">
        <is>
          <t>Гібіскус сірійський Штамб Multicolor C10 / Pa100</t>
        </is>
      </c>
      <c r="G2258" s="23" t="n">
        <v>2000</v>
      </c>
      <c r="H2258" s="23" t="n">
        <v>1805</v>
      </c>
      <c r="I2258" s="21" t="inlineStr">
        <is>
          <t>ID постачальника збігся, але різні бренди</t>
        </is>
      </c>
    </row>
    <row r="2259">
      <c r="A2259" s="22" t="n">
        <v>24.7</v>
      </c>
      <c r="B2259" s="22" t="inlineStr">
        <is>
          <t>Клуб Рослин</t>
        </is>
      </c>
      <c r="C2259" s="22" t="inlineStr">
        <is>
          <t>7630</t>
        </is>
      </c>
      <c r="D2259" s="22" t="inlineStr">
        <is>
          <t>7630</t>
        </is>
      </c>
      <c r="E2259" s="21" t="inlineStr">
        <is>
          <t>Укорінювач Ризопон Powder AA 2 % 100 г Rhizopon B.V. Нідерланди</t>
        </is>
      </c>
      <c r="F2259" s="21" t="inlineStr">
        <is>
          <t>Тис середній Хілліі C15 / H60-70</t>
        </is>
      </c>
      <c r="G2259" s="23" t="n">
        <v>1510</v>
      </c>
      <c r="H2259" s="23" t="n">
        <v>1490</v>
      </c>
      <c r="I2259" s="21" t="inlineStr">
        <is>
          <t>ID постачальника збігся, але назви різні</t>
        </is>
      </c>
    </row>
    <row r="2260">
      <c r="A2260" s="22" t="n">
        <v>24.7</v>
      </c>
      <c r="B2260" s="22" t="inlineStr">
        <is>
          <t>Клуб Рослин</t>
        </is>
      </c>
      <c r="C2260" s="22" t="inlineStr">
        <is>
          <t>7973</t>
        </is>
      </c>
      <c r="D2260" s="22" t="inlineStr">
        <is>
          <t>7973</t>
        </is>
      </c>
      <c r="E2260" s="21" t="inlineStr">
        <is>
          <t>Добриво Зерива / Zeryva Зернобобові 5 л Україна</t>
        </is>
      </c>
      <c r="F2260" s="21" t="inlineStr">
        <is>
          <t>Туя складчата Віпкорд Штамб K19 G / L30-40 / Pa60</t>
        </is>
      </c>
      <c r="G2260" s="23" t="n">
        <v>1250</v>
      </c>
      <c r="H2260" s="23" t="n">
        <v>1205</v>
      </c>
      <c r="I2260" s="21" t="inlineStr">
        <is>
          <t>ID постачальника збігся, але різні об'єми або розміри</t>
        </is>
      </c>
    </row>
    <row r="2261">
      <c r="A2261" s="22" t="n">
        <v>24.7</v>
      </c>
      <c r="B2261" s="22" t="inlineStr">
        <is>
          <t>Клуб Рослин</t>
        </is>
      </c>
      <c r="C2261" s="22" t="inlineStr">
        <is>
          <t>5027</t>
        </is>
      </c>
      <c r="D2261" s="22" t="inlineStr">
        <is>
          <t>5027</t>
        </is>
      </c>
      <c r="E2261" s="21" t="inlineStr">
        <is>
          <t>Протруйник Шедевр 500 мл ProtectON / ПротектОн Україна</t>
        </is>
      </c>
      <c r="F2261" s="21" t="inlineStr">
        <is>
          <t>Сосна гнучка Пігмея C10 / H40-45</t>
        </is>
      </c>
      <c r="G2261" s="23" t="n">
        <v>832</v>
      </c>
      <c r="H2261" s="23" t="n">
        <v>2153</v>
      </c>
      <c r="I2261" s="21" t="inlineStr">
        <is>
          <t>ID постачальника збігся, але назви різні</t>
        </is>
      </c>
    </row>
    <row r="2262">
      <c r="A2262" s="22" t="n">
        <v>24.7</v>
      </c>
      <c r="B2262" s="22" t="inlineStr">
        <is>
          <t>Клуб Рослин</t>
        </is>
      </c>
      <c r="C2262" s="22" t="inlineStr">
        <is>
          <t>2244</t>
        </is>
      </c>
      <c r="D2262" s="22" t="inlineStr">
        <is>
          <t>2244</t>
        </is>
      </c>
      <c r="E2262" s="21" t="inlineStr">
        <is>
          <t>Інсектицид Престо 1 л Дефенда / Defenda</t>
        </is>
      </c>
      <c r="F2262" s="21" t="inlineStr">
        <is>
          <t>Гортензія волотиста Лаймлайт Штамб C7,5 / L80-100 / Pa100</t>
        </is>
      </c>
      <c r="G2262" s="23" t="n">
        <v>750</v>
      </c>
      <c r="H2262" s="23" t="n">
        <v>1810</v>
      </c>
      <c r="I2262" s="21" t="inlineStr">
        <is>
          <t>ID постачальника збігся, але назви різні</t>
        </is>
      </c>
    </row>
    <row r="2263">
      <c r="A2263" s="22" t="n">
        <v>24.7</v>
      </c>
      <c r="B2263" s="22" t="inlineStr">
        <is>
          <t>Клуб Рослин</t>
        </is>
      </c>
      <c r="C2263" s="22" t="inlineStr">
        <is>
          <t>3047</t>
        </is>
      </c>
      <c r="D2263" s="22" t="inlineStr">
        <is>
          <t>3047</t>
        </is>
      </c>
      <c r="E2263" s="21" t="inlineStr">
        <is>
          <t>Фунгіцид Фузарин КС 1 л Хімагромаркетинг Україна</t>
        </is>
      </c>
      <c r="F2263" s="21" t="inlineStr">
        <is>
          <t>Ялівець середній Олд Голд PC20 C7,5 / L35-40</t>
        </is>
      </c>
      <c r="G2263" s="23" t="n">
        <v>675</v>
      </c>
      <c r="H2263" s="23" t="n">
        <v>384</v>
      </c>
      <c r="I2263" s="21" t="inlineStr">
        <is>
          <t>ID постачальника збігся, але назви різні</t>
        </is>
      </c>
    </row>
    <row r="2264">
      <c r="A2264" s="22" t="n">
        <v>24.7</v>
      </c>
      <c r="B2264" s="22" t="inlineStr">
        <is>
          <t>Клуб Рослин</t>
        </is>
      </c>
      <c r="C2264" s="22" t="inlineStr">
        <is>
          <t>4021</t>
        </is>
      </c>
      <c r="D2264" s="22" t="inlineStr">
        <is>
          <t>4021</t>
        </is>
      </c>
      <c r="E2264" s="21" t="inlineStr">
        <is>
          <t>Родентицид Антимиша 2 кг Хімагромаркетинг Україна</t>
        </is>
      </c>
      <c r="F2264" s="21" t="inlineStr">
        <is>
          <t>Ялина звичайна Віллс Цверг K20 C45 / H60-80</t>
        </is>
      </c>
      <c r="G2264" s="23" t="n">
        <v>442</v>
      </c>
      <c r="H2264" s="23" t="n">
        <v>3000</v>
      </c>
      <c r="I2264" s="21" t="inlineStr">
        <is>
          <t>ID постачальника збігся, але назви різні</t>
        </is>
      </c>
    </row>
    <row r="2265">
      <c r="A2265" s="22" t="n">
        <v>24.7</v>
      </c>
      <c r="B2265" s="22" t="inlineStr">
        <is>
          <t>Клуб Рослин</t>
        </is>
      </c>
      <c r="C2265" s="22" t="inlineStr">
        <is>
          <t>7605</t>
        </is>
      </c>
      <c r="D2265" s="22" t="inlineStr">
        <is>
          <t>7605</t>
        </is>
      </c>
      <c r="E2265" s="21" t="inlineStr">
        <is>
          <t>Добриво GroGreen Гель Про-Алгін 200 г Lima Бельгія</t>
        </is>
      </c>
      <c r="F2265" s="21" t="inlineStr">
        <is>
          <t>Тис середній Хіксіі Бонсай C180 / H180-200</t>
        </is>
      </c>
      <c r="G2265" s="23" t="n">
        <v>394</v>
      </c>
      <c r="H2265" s="23" t="n">
        <v>49680</v>
      </c>
      <c r="I2265" s="21" t="inlineStr">
        <is>
          <t>ID постачальника збігся, але назви різні</t>
        </is>
      </c>
    </row>
    <row r="2266">
      <c r="A2266" s="22" t="n">
        <v>24.7</v>
      </c>
      <c r="B2266" s="22" t="inlineStr">
        <is>
          <t>Клуб Рослин</t>
        </is>
      </c>
      <c r="C2266" s="22" t="inlineStr">
        <is>
          <t>3282</t>
        </is>
      </c>
      <c r="D2266" s="22" t="inlineStr">
        <is>
          <t>3282</t>
        </is>
      </c>
      <c r="E2266" s="21" t="inlineStr">
        <is>
          <t>Фунгіцид Манзат ВДГ 500 г Sumi Agro Сумі Агро Японія</t>
        </is>
      </c>
      <c r="F2266" s="21" t="inlineStr">
        <is>
          <t>Жимолость східна Балалайка C2</t>
        </is>
      </c>
      <c r="G2266" s="23" t="n">
        <v>348</v>
      </c>
      <c r="H2266" s="23" t="n">
        <v>100</v>
      </c>
      <c r="I2266" s="21" t="inlineStr">
        <is>
          <t>ID постачальника збігся, але назви різні</t>
        </is>
      </c>
    </row>
    <row r="2267">
      <c r="A2267" s="22" t="n">
        <v>24.7</v>
      </c>
      <c r="B2267" s="22" t="inlineStr">
        <is>
          <t>Клуб Рослин</t>
        </is>
      </c>
      <c r="C2267" s="22" t="inlineStr">
        <is>
          <t>9998</t>
        </is>
      </c>
      <c r="D2267" s="22" t="inlineStr">
        <is>
          <t>9998</t>
        </is>
      </c>
      <c r="E2267" s="21" t="inlineStr">
        <is>
          <t>Прилипач ад’ювант Інгрес 4 мл Ukravit Укравіт Україна</t>
        </is>
      </c>
      <c r="F2267" s="21" t="inlineStr">
        <is>
          <t>Клапанний бокс серії VBA17186</t>
        </is>
      </c>
      <c r="G2267" s="23" t="n">
        <v>8</v>
      </c>
      <c r="H2267" s="23" t="n">
        <v>288</v>
      </c>
      <c r="I2267" s="21" t="inlineStr">
        <is>
          <t>ID постачальника збігся, але назви різні</t>
        </is>
      </c>
    </row>
    <row r="2268">
      <c r="A2268" s="22" t="n">
        <v>24.6</v>
      </c>
      <c r="B2268" s="22" t="inlineStr">
        <is>
          <t>Клуб Рослин</t>
        </is>
      </c>
      <c r="C2268" s="22" t="inlineStr">
        <is>
          <t>7969</t>
        </is>
      </c>
      <c r="D2268" s="22" t="inlineStr">
        <is>
          <t>7969</t>
        </is>
      </c>
      <c r="E2268" s="21" t="inlineStr">
        <is>
          <t>Добриво Текнокель Аміно Молібден / Tecnokel Amino Mo 5 л AgriTecno Іспанія</t>
        </is>
      </c>
      <c r="F2268" s="21" t="inlineStr">
        <is>
          <t>Туя складчата Віпкорд Штамб C10 / L25-30 / Pa90</t>
        </is>
      </c>
      <c r="G2268" s="23" t="n">
        <v>7248</v>
      </c>
      <c r="H2268" s="23" t="n">
        <v>2898</v>
      </c>
      <c r="I2268" s="21" t="inlineStr">
        <is>
          <t>ID постачальника збігся, але назви різні</t>
        </is>
      </c>
    </row>
    <row r="2269">
      <c r="A2269" s="22" t="n">
        <v>24.6</v>
      </c>
      <c r="B2269" s="22" t="inlineStr">
        <is>
          <t>Клуб Рослин</t>
        </is>
      </c>
      <c r="C2269" s="22" t="inlineStr">
        <is>
          <t>7944</t>
        </is>
      </c>
      <c r="D2269" s="22" t="inlineStr">
        <is>
          <t>7944</t>
        </is>
      </c>
      <c r="E2269" s="21" t="inlineStr">
        <is>
          <t>Добриво Brandt Manni-Plex for Vegetables / Брендт Менні-Плекс для Овочевих 10 л США</t>
        </is>
      </c>
      <c r="F2269" s="21" t="inlineStr">
        <is>
          <t>Туя західна (ий) Тіні Тім PC21 C10 / H35-40 / L30</t>
        </is>
      </c>
      <c r="G2269" s="23" t="n">
        <v>5264</v>
      </c>
      <c r="H2269" s="23" t="n">
        <v>435</v>
      </c>
      <c r="I2269" s="21" t="inlineStr">
        <is>
          <t>ID постачальника збігся, але назви різні</t>
        </is>
      </c>
    </row>
    <row r="2270">
      <c r="A2270" s="22" t="n">
        <v>24.6</v>
      </c>
      <c r="B2270" s="22" t="inlineStr">
        <is>
          <t>Клуб Рослин</t>
        </is>
      </c>
      <c r="C2270" s="22" t="inlineStr">
        <is>
          <t>8061</t>
        </is>
      </c>
      <c r="D2270" s="22" t="inlineStr">
        <is>
          <t>8061</t>
        </is>
      </c>
      <c r="E2270" s="21" t="inlineStr">
        <is>
          <t>Добриво Сайкін Преміум / Saikin Premium 16-8-22+3MgO+МЕ+ЕАV 15 кг Туреччина</t>
        </is>
      </c>
      <c r="F2270" s="21" t="inlineStr">
        <is>
          <t>Тюльпан махровий пізній Оранж Прінцесс11\12</t>
        </is>
      </c>
      <c r="G2270" s="23" t="n">
        <v>3098</v>
      </c>
      <c r="H2270" s="23" t="n">
        <v>10</v>
      </c>
      <c r="I2270" s="21" t="inlineStr">
        <is>
          <t>ID постачальника збігся, але назви різні</t>
        </is>
      </c>
    </row>
    <row r="2271">
      <c r="A2271" s="22" t="n">
        <v>24.6</v>
      </c>
      <c r="B2271" s="22" t="inlineStr">
        <is>
          <t>Клуб Рослин</t>
        </is>
      </c>
      <c r="C2271" s="22" t="inlineStr">
        <is>
          <t>2083</t>
        </is>
      </c>
      <c r="D2271" s="22" t="inlineStr">
        <is>
          <t>2083</t>
        </is>
      </c>
      <c r="E2271" s="21" t="inlineStr">
        <is>
          <t>Біоінсектицид Актарофіт К1.8 1 л Enzim Biotech Agro / Ензим Біотех Агро Україна</t>
        </is>
      </c>
      <c r="F2271" s="21" t="inlineStr">
        <is>
          <t>Гібіскус сірійський Вудбрідж C4 / H40-60</t>
        </is>
      </c>
      <c r="G2271" s="23" t="n">
        <v>1827</v>
      </c>
      <c r="H2271" s="23" t="n">
        <v>195</v>
      </c>
      <c r="I2271" s="21" t="inlineStr">
        <is>
          <t>ID постачальника збігся, але назви різні</t>
        </is>
      </c>
    </row>
    <row r="2272">
      <c r="A2272" s="22" t="n">
        <v>24.6</v>
      </c>
      <c r="B2272" s="22" t="inlineStr">
        <is>
          <t>Клуб Рослин</t>
        </is>
      </c>
      <c r="C2272" s="22" t="inlineStr">
        <is>
          <t>7621</t>
        </is>
      </c>
      <c r="D2272" s="22" t="inlineStr">
        <is>
          <t>7621</t>
        </is>
      </c>
      <c r="E2272" s="21" t="inlineStr">
        <is>
          <t>Стимулятор росту Райкат Ріст (Raykat Growth) 250 мл Вітера Atlantica Agricola Іспанія</t>
        </is>
      </c>
      <c r="F2272" s="21" t="inlineStr">
        <is>
          <t>Тис середній Хіксіі C65 / H120-140</t>
        </is>
      </c>
      <c r="G2272" s="23" t="n">
        <v>404</v>
      </c>
      <c r="H2272" s="23" t="n">
        <v>24840</v>
      </c>
      <c r="I2272" s="21" t="inlineStr">
        <is>
          <t>ID постачальника збігся, але назви різні</t>
        </is>
      </c>
    </row>
    <row r="2273">
      <c r="A2273" s="22" t="n">
        <v>24.6</v>
      </c>
      <c r="B2273" s="22" t="inlineStr">
        <is>
          <t>Клуб Рослин</t>
        </is>
      </c>
      <c r="C2273" s="22" t="inlineStr">
        <is>
          <t>7711</t>
        </is>
      </c>
      <c r="D2273" s="22" t="inlineStr">
        <is>
          <t>7711</t>
        </is>
      </c>
      <c r="E2273" s="21" t="inlineStr">
        <is>
          <t>Добриво CaFIT 1 л Smart Grow Україна</t>
        </is>
      </c>
      <c r="F2273" s="21" t="inlineStr">
        <is>
          <t>Туя західна (ий) Даніка PC18 C5</t>
        </is>
      </c>
      <c r="G2273" s="23" t="n">
        <v>228</v>
      </c>
      <c r="H2273" s="23" t="n">
        <v>215</v>
      </c>
      <c r="I2273" s="21" t="inlineStr">
        <is>
          <t>ID постачальника збігся, але назви різні</t>
        </is>
      </c>
    </row>
    <row r="2274">
      <c r="A2274" s="22" t="n">
        <v>24.5</v>
      </c>
      <c r="B2274" s="22" t="inlineStr">
        <is>
          <t>Клуб Рослин</t>
        </is>
      </c>
      <c r="C2274" s="22" t="inlineStr">
        <is>
          <t>2066</t>
        </is>
      </c>
      <c r="D2274" s="22" t="inlineStr">
        <is>
          <t>2066</t>
        </is>
      </c>
      <c r="E2274" s="21" t="inlineStr">
        <is>
          <t>Інсектицид Ампліго 150 ZC 5 л Syngenta Сингента Швейцарія</t>
        </is>
      </c>
      <c r="F2274" s="21" t="inlineStr">
        <is>
          <t>Гібіскус сірійський Ред Хат Штамб C3 / Pa50</t>
        </is>
      </c>
      <c r="G2274" s="23" t="n">
        <v>19998</v>
      </c>
      <c r="H2274" s="23" t="n">
        <v>600</v>
      </c>
      <c r="I2274" s="21" t="inlineStr">
        <is>
          <t>ID постачальника збігся, але назви різні</t>
        </is>
      </c>
    </row>
    <row r="2275">
      <c r="A2275" s="22" t="n">
        <v>24.5</v>
      </c>
      <c r="B2275" s="22" t="inlineStr">
        <is>
          <t>Клуб Рослин</t>
        </is>
      </c>
      <c r="C2275" s="22" t="inlineStr">
        <is>
          <t>1103</t>
        </is>
      </c>
      <c r="D2275" s="22" t="inlineStr">
        <is>
          <t>1103</t>
        </is>
      </c>
      <c r="E2275" s="21" t="inlineStr">
        <is>
          <t>Гербіцид Гліфовіт Екстра 10 л Ukravit Укравіт Україна</t>
        </is>
      </c>
      <c r="F2275" s="21" t="inlineStr">
        <is>
          <t>Самшит вічнозенений Куля PC19 C27,5 / H35-40 / L45</t>
        </is>
      </c>
      <c r="G2275" s="23" t="n">
        <v>2648</v>
      </c>
      <c r="H2275" s="23" t="n">
        <v>1805</v>
      </c>
      <c r="I2275" s="21" t="inlineStr">
        <is>
          <t>ID постачальника збігся, але назви різні</t>
        </is>
      </c>
    </row>
    <row r="2276">
      <c r="A2276" s="22" t="n">
        <v>24.5</v>
      </c>
      <c r="B2276" s="22" t="inlineStr">
        <is>
          <t>Клуб Рослин</t>
        </is>
      </c>
      <c r="C2276" s="22" t="inlineStr">
        <is>
          <t>3672</t>
        </is>
      </c>
      <c r="D2276" s="22" t="inlineStr">
        <is>
          <t>3672</t>
        </is>
      </c>
      <c r="E2276" s="21" t="inlineStr">
        <is>
          <t>Фунгіцид Феномен Прайм 5 кг Ukravit Укравіт Україна</t>
        </is>
      </c>
      <c r="F2276" s="21" t="inlineStr">
        <is>
          <t>Шовковиця білий(а) Пендула Штамб C80 / o14-16 / Pa200</t>
        </is>
      </c>
      <c r="G2276" s="23" t="n">
        <v>2598</v>
      </c>
      <c r="H2276" s="23" t="n">
        <v>6955</v>
      </c>
      <c r="I2276" s="21" t="inlineStr">
        <is>
          <t>ID постачальника збігся, але назви різні</t>
        </is>
      </c>
    </row>
    <row r="2277">
      <c r="A2277" s="22" t="n">
        <v>24.5</v>
      </c>
      <c r="B2277" s="22" t="inlineStr">
        <is>
          <t>Клуб Рослин</t>
        </is>
      </c>
      <c r="C2277" s="22" t="inlineStr">
        <is>
          <t>7284</t>
        </is>
      </c>
      <c r="D2277" s="22" t="inlineStr">
        <is>
          <t>7284</t>
        </is>
      </c>
      <c r="E2277" s="21" t="inlineStr">
        <is>
          <t>Добриво Келькат Бор / Kelkat Boron 1 кг Вітера Atlantica Agricola Іспанія</t>
        </is>
      </c>
      <c r="F2277" s="21" t="inlineStr">
        <is>
          <t>Троянда поліантова Румба DP PC18 C2</t>
        </is>
      </c>
      <c r="G2277" s="23" t="n">
        <v>453</v>
      </c>
      <c r="H2277" s="23" t="n">
        <v>85</v>
      </c>
      <c r="I2277" s="21" t="inlineStr">
        <is>
          <t>ID постачальника збігся, але різні бренди</t>
        </is>
      </c>
    </row>
    <row r="2278">
      <c r="A2278" s="22" t="n">
        <v>24.4</v>
      </c>
      <c r="B2278" s="22" t="inlineStr">
        <is>
          <t>Клуб Рослин</t>
        </is>
      </c>
      <c r="C2278" s="22" t="inlineStr">
        <is>
          <t>2343</t>
        </is>
      </c>
      <c r="D2278" s="22" t="inlineStr">
        <is>
          <t>2343</t>
        </is>
      </c>
      <c r="E2278" s="21" t="inlineStr">
        <is>
          <t>Інсектицид Kanemite / Канемайт 1л Agri Sciences Туреччина</t>
        </is>
      </c>
      <c r="F2278" s="21" t="inlineStr">
        <is>
          <t>Гортензія волотиста Фантом PC21 C3</t>
        </is>
      </c>
      <c r="G2278" s="23" t="n">
        <v>5648</v>
      </c>
      <c r="H2278" s="23" t="n">
        <v>240</v>
      </c>
      <c r="I2278" s="21" t="inlineStr">
        <is>
          <t>ID постачальника збігся, але назви різні</t>
        </is>
      </c>
    </row>
    <row r="2279">
      <c r="A2279" s="22" t="n">
        <v>24.4</v>
      </c>
      <c r="B2279" s="22" t="inlineStr">
        <is>
          <t>Клуб Рослин</t>
        </is>
      </c>
      <c r="C2279" s="22" t="inlineStr">
        <is>
          <t>2096</t>
        </is>
      </c>
      <c r="D2279" s="22" t="inlineStr">
        <is>
          <t>2096</t>
        </is>
      </c>
      <c r="E2279" s="21" t="inlineStr">
        <is>
          <t>Інсектоакарицид Антикліщ Макс 5 л Ukravit Укравіт Україна</t>
        </is>
      </c>
      <c r="F2279" s="21" t="inlineStr">
        <is>
          <t>Гортензія черешкова PC14 C3 / H30-40</t>
        </is>
      </c>
      <c r="G2279" s="23" t="n">
        <v>4998</v>
      </c>
      <c r="H2279" s="23" t="n">
        <v>300</v>
      </c>
      <c r="I2279" s="21" t="inlineStr">
        <is>
          <t>ID постачальника збігся, але назви різні</t>
        </is>
      </c>
    </row>
    <row r="2280">
      <c r="A2280" s="22" t="n">
        <v>24.4</v>
      </c>
      <c r="B2280" s="22" t="inlineStr">
        <is>
          <t>Клуб Рослин</t>
        </is>
      </c>
      <c r="C2280" s="22" t="inlineStr">
        <is>
          <t>2234</t>
        </is>
      </c>
      <c r="D2280" s="22" t="inlineStr">
        <is>
          <t>2234</t>
        </is>
      </c>
      <c r="E2280" s="21" t="inlineStr">
        <is>
          <t>Інсектоакарицид Інверт 1 л Adama Адама Ізраїль</t>
        </is>
      </c>
      <c r="F2280" s="21" t="inlineStr">
        <is>
          <t>Гортензія волотиста Лаймлайт PC17 C5</t>
        </is>
      </c>
      <c r="G2280" s="23" t="n">
        <v>2125</v>
      </c>
      <c r="H2280" s="23" t="n">
        <v>300</v>
      </c>
      <c r="I2280" s="21" t="inlineStr">
        <is>
          <t>ID постачальника збігся, але назви різні</t>
        </is>
      </c>
    </row>
    <row r="2281">
      <c r="A2281" s="22" t="n">
        <v>24.4</v>
      </c>
      <c r="B2281" s="22" t="inlineStr">
        <is>
          <t>Клуб Рослин</t>
        </is>
      </c>
      <c r="C2281" s="22" t="inlineStr">
        <is>
          <t>3018</t>
        </is>
      </c>
      <c r="D2281" s="22" t="inlineStr">
        <is>
          <t>3018</t>
        </is>
      </c>
      <c r="E2281" s="21" t="inlineStr">
        <is>
          <t>Фунгіцид Альєтт 1 кг Bayer Байєр Німеччина</t>
        </is>
      </c>
      <c r="F2281" s="21" t="inlineStr">
        <is>
          <t>Ялівець середній Мінт Джулеп PC20 C5 / H25-30 / L20-25</t>
        </is>
      </c>
      <c r="G2281" s="23" t="n">
        <v>1048</v>
      </c>
      <c r="H2281" s="23" t="n">
        <v>300</v>
      </c>
      <c r="I2281" s="21" t="inlineStr">
        <is>
          <t>ID постачальника збігся, але назви різні</t>
        </is>
      </c>
    </row>
    <row r="2282">
      <c r="A2282" s="22" t="n">
        <v>24.4</v>
      </c>
      <c r="B2282" s="22" t="inlineStr">
        <is>
          <t>Клуб Рослин</t>
        </is>
      </c>
      <c r="C2282" s="22" t="inlineStr">
        <is>
          <t>7587</t>
        </is>
      </c>
      <c r="D2282" s="22" t="inlineStr">
        <is>
          <t>7587</t>
        </is>
      </c>
      <c r="E2282" s="21" t="inlineStr">
        <is>
          <t>Добриво Мікрокат Цинк - Марганець ( Zinc-Manganese) 1 л Вітера Atlantica Agricola Іспанія</t>
        </is>
      </c>
      <c r="F2282" s="21" t="inlineStr">
        <is>
          <t>Тис ягідний (а) Потрійна Куля C130 / H200-250</t>
        </is>
      </c>
      <c r="G2282" s="23" t="n">
        <v>831</v>
      </c>
      <c r="H2282" s="23" t="n">
        <v>17997</v>
      </c>
      <c r="I2282" s="21" t="inlineStr">
        <is>
          <t>ID постачальника збігся, але назви різні</t>
        </is>
      </c>
    </row>
    <row r="2283">
      <c r="A2283" s="22" t="n">
        <v>24.3</v>
      </c>
      <c r="B2283" s="22" t="inlineStr">
        <is>
          <t>Клуб Рослин</t>
        </is>
      </c>
      <c r="C2283" s="22" t="inlineStr">
        <is>
          <t>7308</t>
        </is>
      </c>
      <c r="D2283" s="22" t="inlineStr">
        <is>
          <t>7308</t>
        </is>
      </c>
      <c r="E2283" s="21" t="inlineStr">
        <is>
          <t>Добриво ЦTA Стимулянт-4 (CTA Stymulant-4) 10 л Meristem Мерістем Іспанія</t>
        </is>
      </c>
      <c r="F2283" s="21" t="inlineStr">
        <is>
          <t>Верба цільнолиста Хакуро Нішікі Штамб C20 / Pa120</t>
        </is>
      </c>
      <c r="G2283" s="23" t="n">
        <v>11748</v>
      </c>
      <c r="H2283" s="23" t="n">
        <v>245</v>
      </c>
      <c r="I2283" s="21" t="inlineStr">
        <is>
          <t>ID постачальника збігся, але назви різні</t>
        </is>
      </c>
    </row>
    <row r="2284">
      <c r="A2284" s="22" t="n">
        <v>24.3</v>
      </c>
      <c r="B2284" s="22" t="inlineStr">
        <is>
          <t>Клуб Рослин</t>
        </is>
      </c>
      <c r="C2284" s="22" t="inlineStr">
        <is>
          <t>8038</t>
        </is>
      </c>
      <c r="D2284" s="22" t="inlineStr">
        <is>
          <t>8038</t>
        </is>
      </c>
      <c r="E2284" s="21" t="inlineStr">
        <is>
          <t>Добриво Brandt InVigo / Брендт ІнВіго 4 л США</t>
        </is>
      </c>
      <c r="F2284" s="21" t="inlineStr">
        <is>
          <t>Тсуга канадська K20 C65 / H100-120</t>
        </is>
      </c>
      <c r="G2284" s="23" t="n">
        <v>6998</v>
      </c>
      <c r="H2284" s="23" t="n">
        <v>1987</v>
      </c>
      <c r="I2284" s="21" t="inlineStr">
        <is>
          <t>ID постачальника збігся, але назви різні</t>
        </is>
      </c>
    </row>
    <row r="2285">
      <c r="A2285" s="22" t="n">
        <v>24.3</v>
      </c>
      <c r="B2285" s="22" t="inlineStr">
        <is>
          <t>Клуб Рослин</t>
        </is>
      </c>
      <c r="C2285" s="22" t="inlineStr">
        <is>
          <t>7045</t>
        </is>
      </c>
      <c r="D2285" s="22" t="inlineStr">
        <is>
          <t>7045</t>
        </is>
      </c>
      <c r="E2285" s="21" t="inlineStr">
        <is>
          <t>Добриво Феррілен Тріум Ferrilene Trium 5 кг Syngenta (Valagro) Італія</t>
        </is>
      </c>
      <c r="F2285" s="21" t="inlineStr">
        <is>
          <t>Рододендрон якушиманський Поларіс Штамб D20 / Pa70</t>
        </is>
      </c>
      <c r="G2285" s="23" t="n">
        <v>4798</v>
      </c>
      <c r="H2285" s="23" t="n">
        <v>1735</v>
      </c>
      <c r="I2285" s="21" t="inlineStr">
        <is>
          <t>ID постачальника збігся, але назви різні</t>
        </is>
      </c>
    </row>
    <row r="2286">
      <c r="A2286" s="22" t="n">
        <v>24.3</v>
      </c>
      <c r="B2286" s="22" t="inlineStr">
        <is>
          <t>Клуб Рослин</t>
        </is>
      </c>
      <c r="C2286" s="22" t="inlineStr">
        <is>
          <t>7031</t>
        </is>
      </c>
      <c r="D2286" s="22" t="inlineStr">
        <is>
          <t>7031</t>
        </is>
      </c>
      <c r="E2286" s="21" t="inlineStr">
        <is>
          <t>Добриво Брексіл Мульти Brexil Multi 5 кг Валагро Valagro Італія</t>
        </is>
      </c>
      <c r="F2286" s="21" t="inlineStr">
        <is>
          <t>Рододендрон понтійскій Гольдфліммер C5 / H40-50</t>
        </is>
      </c>
      <c r="G2286" s="23" t="n">
        <v>3248</v>
      </c>
      <c r="H2286" s="23" t="n">
        <v>485</v>
      </c>
      <c r="I2286" s="21" t="inlineStr">
        <is>
          <t>ID постачальника збігся, але назви різні</t>
        </is>
      </c>
    </row>
    <row r="2287">
      <c r="A2287" s="22" t="n">
        <v>24.3</v>
      </c>
      <c r="B2287" s="22" t="inlineStr">
        <is>
          <t>Клуб Рослин</t>
        </is>
      </c>
      <c r="C2287" s="22" t="inlineStr">
        <is>
          <t>7962</t>
        </is>
      </c>
      <c r="D2287" s="22" t="inlineStr">
        <is>
          <t>7962</t>
        </is>
      </c>
      <c r="E2287" s="21" t="inlineStr">
        <is>
          <t>Добриво Текнокель Аміно Кальцій / Tecnokel Amino Ca 5 л AgriTecno Іспанія</t>
        </is>
      </c>
      <c r="F2287" s="21" t="inlineStr">
        <is>
          <t>Туя складчата Корнік PC12 C7,5 / H40-50</t>
        </is>
      </c>
      <c r="G2287" s="23" t="n">
        <v>2525</v>
      </c>
      <c r="H2287" s="23" t="n">
        <v>210</v>
      </c>
      <c r="I2287" s="21" t="inlineStr">
        <is>
          <t>ID постачальника збігся, але назви різні</t>
        </is>
      </c>
    </row>
    <row r="2288">
      <c r="A2288" s="22" t="n">
        <v>24.3</v>
      </c>
      <c r="B2288" s="22" t="inlineStr">
        <is>
          <t>Клуб Рослин</t>
        </is>
      </c>
      <c r="C2288" s="22" t="inlineStr">
        <is>
          <t>7662</t>
        </is>
      </c>
      <c r="D2288" s="22" t="inlineStr">
        <is>
          <t>7662</t>
        </is>
      </c>
      <c r="E2288" s="21" t="inlineStr">
        <is>
          <t>Добриво BRANDT Reaction / Брендт Реакшн Калій ДС 5-0-48+8S 1 кг Vitera Україна</t>
        </is>
      </c>
      <c r="F2288" s="21" t="inlineStr">
        <is>
          <t>Туя (Платікладус) східна Ауреа Нана PC16 C3</t>
        </is>
      </c>
      <c r="G2288" s="23" t="n">
        <v>762</v>
      </c>
      <c r="H2288" s="23" t="n">
        <v>105</v>
      </c>
      <c r="I2288" s="21" t="inlineStr">
        <is>
          <t>ID постачальника збігся, але назви різні</t>
        </is>
      </c>
    </row>
    <row r="2289">
      <c r="A2289" s="22" t="n">
        <v>24.3</v>
      </c>
      <c r="B2289" s="22" t="inlineStr">
        <is>
          <t>Клуб Рослин</t>
        </is>
      </c>
      <c r="C2289" s="22" t="inlineStr">
        <is>
          <t>7305</t>
        </is>
      </c>
      <c r="D2289" s="22" t="inlineStr">
        <is>
          <t>7305</t>
        </is>
      </c>
      <c r="E2289" s="21" t="inlineStr">
        <is>
          <t>Добриво ЦTA Стимулянт-4 (CTA Stymulant-4) 0.5 л Meristem Мерістем Іспанія</t>
        </is>
      </c>
      <c r="F2289" s="21" t="inlineStr">
        <is>
          <t>Верба сіра вузьколиста Штамб C12 / Pa120</t>
        </is>
      </c>
      <c r="G2289" s="23" t="n">
        <v>748</v>
      </c>
      <c r="H2289" s="23" t="n">
        <v>175</v>
      </c>
      <c r="I2289" s="21" t="inlineStr">
        <is>
          <t>ID постачальника збігся, але назви різні</t>
        </is>
      </c>
    </row>
    <row r="2290">
      <c r="A2290" s="22" t="n">
        <v>24.3</v>
      </c>
      <c r="B2290" s="22" t="inlineStr">
        <is>
          <t>Клуб Рослин</t>
        </is>
      </c>
      <c r="C2290" s="22" t="inlineStr">
        <is>
          <t>9023</t>
        </is>
      </c>
      <c r="D2290" s="22" t="inlineStr">
        <is>
          <t>9023</t>
        </is>
      </c>
      <c r="E2290" s="21" t="inlineStr">
        <is>
          <t>Регулятор кислотності (рН-коректор) Айворі Плюс 5 л Ukravit Укравіт Україна</t>
        </is>
      </c>
      <c r="F2290" s="21" t="inlineStr">
        <is>
          <t>Дерев'яний контейнер 100см * 100см * 60см</t>
        </is>
      </c>
      <c r="G2290" s="23" t="n">
        <v>698</v>
      </c>
      <c r="H2290" s="23" t="n">
        <v>2613.6</v>
      </c>
      <c r="I2290" s="21" t="inlineStr">
        <is>
          <t>ID постачальника збігся, але різні об'єми або розміри</t>
        </is>
      </c>
    </row>
    <row r="2291">
      <c r="A2291" s="22" t="n">
        <v>24.2</v>
      </c>
      <c r="B2291" s="22" t="inlineStr">
        <is>
          <t>Клуб Рослин</t>
        </is>
      </c>
      <c r="C2291" s="22" t="inlineStr">
        <is>
          <t>7632</t>
        </is>
      </c>
      <c r="D2291" s="22" t="inlineStr">
        <is>
          <t>7632</t>
        </is>
      </c>
      <c r="E2291" s="21" t="inlineStr">
        <is>
          <t>Укорінювач Ризопон Powder AA 2% 10 кг Rhizopon B.V. Нідерланди</t>
        </is>
      </c>
      <c r="F2291" s="21" t="inlineStr">
        <is>
          <t>Тис середній Хілліі C20 / H120-140</t>
        </is>
      </c>
      <c r="G2291" s="23" t="n">
        <v>105735</v>
      </c>
      <c r="H2291" s="23" t="n">
        <v>1440</v>
      </c>
      <c r="I2291" s="21" t="inlineStr">
        <is>
          <t>ID постачальника збігся, але назви різні</t>
        </is>
      </c>
    </row>
    <row r="2292">
      <c r="A2292" s="22" t="n">
        <v>24.2</v>
      </c>
      <c r="B2292" s="22" t="inlineStr">
        <is>
          <t>Клуб Рослин</t>
        </is>
      </c>
      <c r="C2292" s="22" t="inlineStr">
        <is>
          <t>7808</t>
        </is>
      </c>
      <c r="D2292" s="22" t="inlineStr">
        <is>
          <t>7808</t>
        </is>
      </c>
      <c r="E2292" s="21" t="inlineStr">
        <is>
          <t>Інокулянт Біорадіс Сол / Bioradis Sol 1 кг Bioera Іспанія</t>
        </is>
      </c>
      <c r="F2292" s="21" t="inlineStr">
        <is>
          <t>Туя західна (ий) Смарагд K C65 / H100-120</t>
        </is>
      </c>
      <c r="G2292" s="23" t="n">
        <v>9100</v>
      </c>
      <c r="H2292" s="23" t="n">
        <v>435</v>
      </c>
      <c r="I2292" s="21" t="inlineStr">
        <is>
          <t>ID постачальника збігся, але назви різні</t>
        </is>
      </c>
    </row>
    <row r="2293">
      <c r="A2293" s="22" t="n">
        <v>24.2</v>
      </c>
      <c r="B2293" s="22" t="inlineStr">
        <is>
          <t>Клуб Рослин</t>
        </is>
      </c>
      <c r="C2293" s="22" t="inlineStr">
        <is>
          <t>3184</t>
        </is>
      </c>
      <c r="D2293" s="22" t="inlineStr">
        <is>
          <t>3184</t>
        </is>
      </c>
      <c r="E2293" s="21" t="inlineStr">
        <is>
          <t>Фунгіцид Банджо 1 л Adama Адама Ізраїль</t>
        </is>
      </c>
      <c r="F2293" s="21" t="inlineStr">
        <is>
          <t>Лілія тигрова Хайвата 12\14</t>
        </is>
      </c>
      <c r="G2293" s="23" t="n">
        <v>3998</v>
      </c>
      <c r="H2293" s="23" t="n">
        <v>50</v>
      </c>
      <c r="I2293" s="21" t="inlineStr">
        <is>
          <t>ID постачальника збігся, але назви різні</t>
        </is>
      </c>
    </row>
    <row r="2294">
      <c r="A2294" s="22" t="n">
        <v>24.2</v>
      </c>
      <c r="B2294" s="22" t="inlineStr">
        <is>
          <t>Клуб Рослин</t>
        </is>
      </c>
      <c r="C2294" s="22" t="inlineStr">
        <is>
          <t>3179</t>
        </is>
      </c>
      <c r="D2294" s="22" t="inlineStr">
        <is>
          <t>3179</t>
        </is>
      </c>
      <c r="E2294" s="21" t="inlineStr">
        <is>
          <t>Фунгіцид Бонафайт 5 кг Нертус Угорщина</t>
        </is>
      </c>
      <c r="F2294" s="21" t="inlineStr">
        <is>
          <t>Лілія OT-гібридна Нардо 14\16</t>
        </is>
      </c>
      <c r="G2294" s="23" t="n">
        <v>2080</v>
      </c>
      <c r="H2294" s="23" t="n">
        <v>50</v>
      </c>
      <c r="I2294" s="21" t="inlineStr">
        <is>
          <t>ID постачальника збігся, але назви різні</t>
        </is>
      </c>
    </row>
    <row r="2295">
      <c r="A2295" s="22" t="n">
        <v>24.2</v>
      </c>
      <c r="B2295" s="22" t="inlineStr">
        <is>
          <t>Клуб Рослин</t>
        </is>
      </c>
      <c r="C2295" s="22" t="inlineStr">
        <is>
          <t>7826</t>
        </is>
      </c>
      <c r="D2295" s="22" t="inlineStr">
        <is>
          <t>7826</t>
        </is>
      </c>
      <c r="E2295" s="21" t="inlineStr">
        <is>
          <t>Добриво Савіахумік С / Saviahumic S 1 кг Bioera Іспанія</t>
        </is>
      </c>
      <c r="F2295" s="21" t="inlineStr">
        <is>
          <t>Туя західна (ий) Смарагд K19 C20 / H160-180</t>
        </is>
      </c>
      <c r="G2295" s="23" t="n">
        <v>1560</v>
      </c>
      <c r="H2295" s="23" t="n">
        <v>1087</v>
      </c>
      <c r="I2295" s="21" t="inlineStr">
        <is>
          <t>ID постачальника збігся, але назви різні</t>
        </is>
      </c>
    </row>
    <row r="2296">
      <c r="A2296" s="22" t="n">
        <v>24.2</v>
      </c>
      <c r="B2296" s="22" t="inlineStr">
        <is>
          <t>Клуб Рослин</t>
        </is>
      </c>
      <c r="C2296" s="22" t="inlineStr">
        <is>
          <t>6057</t>
        </is>
      </c>
      <c r="D2296" s="22" t="inlineStr">
        <is>
          <t>6057</t>
        </is>
      </c>
      <c r="E2296" s="21" t="inlineStr">
        <is>
          <t>Фільтр (пара) 3М 6057 (ABE1)</t>
        </is>
      </c>
      <c r="F2296" s="21" t="inlineStr">
        <is>
          <t>Сосна дрібноквіткова Темпельгоф C12 / H80-90</t>
        </is>
      </c>
      <c r="G2296" s="23" t="n">
        <v>785</v>
      </c>
      <c r="H2296" s="23" t="n">
        <v>2981</v>
      </c>
      <c r="I2296" s="21" t="inlineStr">
        <is>
          <t>ID постачальника збігся, але назви різні</t>
        </is>
      </c>
    </row>
    <row r="2297">
      <c r="A2297" s="22" t="n">
        <v>24.2</v>
      </c>
      <c r="B2297" s="22" t="inlineStr">
        <is>
          <t>Клуб Рослин</t>
        </is>
      </c>
      <c r="C2297" s="22" t="inlineStr">
        <is>
          <t>7839</t>
        </is>
      </c>
      <c r="D2297" s="22" t="inlineStr">
        <is>
          <t>7839</t>
        </is>
      </c>
      <c r="E2297" s="21" t="inlineStr">
        <is>
          <t>Добриво Неовіт Ферті-К (Калій) / Neovit Ferti-K 1 л Bioera Іспанія</t>
        </is>
      </c>
      <c r="F2297" s="21" t="inlineStr">
        <is>
          <t>Туя західна (ий) Смарагд K19 C35 / H140-160</t>
        </is>
      </c>
      <c r="G2297" s="23" t="n">
        <v>780</v>
      </c>
      <c r="H2297" s="23" t="n">
        <v>1015</v>
      </c>
      <c r="I2297" s="21" t="inlineStr">
        <is>
          <t>ID постачальника збігся, але назви різні</t>
        </is>
      </c>
    </row>
    <row r="2298">
      <c r="A2298" s="22" t="n">
        <v>24.2</v>
      </c>
      <c r="B2298" s="22" t="inlineStr">
        <is>
          <t>Клуб Рослин</t>
        </is>
      </c>
      <c r="C2298" s="22" t="inlineStr">
        <is>
          <t>7598</t>
        </is>
      </c>
      <c r="D2298" s="22" t="inlineStr">
        <is>
          <t>7598</t>
        </is>
      </c>
      <c r="E2298" s="21" t="inlineStr">
        <is>
          <t>Добриво GroGreen Gel / ГроГрін Гель P-K-S NPK 7-47-44+3.2CaO+13.7SO3+TE 200 г Lima Бельгія</t>
        </is>
      </c>
      <c r="F2298" s="21" t="inlineStr">
        <is>
          <t>Тис середній Денсіформіс PC21 C3 / H30-35</t>
        </is>
      </c>
      <c r="G2298" s="23" t="n">
        <v>302</v>
      </c>
      <c r="H2298" s="23" t="n">
        <v>250</v>
      </c>
      <c r="I2298" s="21" t="inlineStr">
        <is>
          <t>ID постачальника збігся, але назви різні</t>
        </is>
      </c>
    </row>
    <row r="2299">
      <c r="A2299" s="22" t="n">
        <v>24.1</v>
      </c>
      <c r="B2299" s="22" t="inlineStr">
        <is>
          <t>Клуб Рослин</t>
        </is>
      </c>
      <c r="C2299" s="22" t="inlineStr">
        <is>
          <t>3277</t>
        </is>
      </c>
      <c r="D2299" s="22" t="inlineStr">
        <is>
          <t>3277</t>
        </is>
      </c>
      <c r="E2299" s="21" t="inlineStr">
        <is>
          <t>Фунгіцид Рекванс Флекс 430 WG ВРГ 5 кг Syngenta Сингента Швейцарія</t>
        </is>
      </c>
      <c r="F2299" s="21" t="inlineStr">
        <is>
          <t>Жимолость блискуча Майгрюн PC19 C7,5 / H30-40</t>
        </is>
      </c>
      <c r="G2299" s="23" t="n">
        <v>12998</v>
      </c>
      <c r="H2299" s="23" t="n">
        <v>264</v>
      </c>
      <c r="I2299" s="21" t="inlineStr">
        <is>
          <t>ID постачальника збігся, але назви різні</t>
        </is>
      </c>
    </row>
    <row r="2300">
      <c r="A2300" s="22" t="n">
        <v>24.1</v>
      </c>
      <c r="B2300" s="22" t="inlineStr">
        <is>
          <t>Клуб Рослин</t>
        </is>
      </c>
      <c r="C2300" s="22" t="inlineStr">
        <is>
          <t>15-911</t>
        </is>
      </c>
      <c r="D2300" s="22" t="inlineStr">
        <is>
          <t>15911</t>
        </is>
      </c>
      <c r="E2300" s="21" t="inlineStr">
        <is>
          <t>Парник складаний 195х143х143 см ПЕ плівка 4 полиці Neo Tools (15-911)</t>
        </is>
      </c>
      <c r="F2300" s="21" t="inlineStr">
        <is>
          <t>рН-метр польовий Agrario ZD-06 з зондом для ґрунту і субстратів 2 в 1: рН-кислотність + вологість</t>
        </is>
      </c>
      <c r="G2300" s="23" t="n">
        <v>4645</v>
      </c>
      <c r="H2300" s="23" t="n">
        <v>962</v>
      </c>
      <c r="I2300" s="21" t="inlineStr">
        <is>
          <t>ID постачальника збігся, але різні бренди</t>
        </is>
      </c>
    </row>
    <row r="2301">
      <c r="A2301" s="22" t="n">
        <v>24.1</v>
      </c>
      <c r="B2301" s="22" t="inlineStr">
        <is>
          <t>Клуб Рослин</t>
        </is>
      </c>
      <c r="C2301" s="22" t="inlineStr">
        <is>
          <t>1115</t>
        </is>
      </c>
      <c r="D2301" s="22" t="inlineStr">
        <is>
          <t>1115</t>
        </is>
      </c>
      <c r="E2301" s="21" t="inlineStr">
        <is>
          <t>Гербіцид Лаплас 500 г Ukravit Укравіт Україна</t>
        </is>
      </c>
      <c r="F2301" s="21" t="inlineStr">
        <is>
          <t>Самшит вічнозенений Конус C180 / H100-120</t>
        </is>
      </c>
      <c r="G2301" s="23" t="n">
        <v>1998</v>
      </c>
      <c r="H2301" s="23" t="n">
        <v>4830</v>
      </c>
      <c r="I2301" s="21" t="inlineStr">
        <is>
          <t>ID постачальника збігся, але назви різні</t>
        </is>
      </c>
    </row>
    <row r="2302">
      <c r="A2302" s="22" t="n">
        <v>24.1</v>
      </c>
      <c r="B2302" s="22" t="inlineStr">
        <is>
          <t>Клуб Рослин</t>
        </is>
      </c>
      <c r="C2302" s="22" t="inlineStr">
        <is>
          <t>7676</t>
        </is>
      </c>
      <c r="D2302" s="22" t="inlineStr">
        <is>
          <t>7676</t>
        </is>
      </c>
      <c r="E2302" s="21" t="inlineStr">
        <is>
          <t>Біонематоцид Мікрокат Голд (Microcat Gold) 1 л Вітера Atlantica Agricola Іспанія</t>
        </is>
      </c>
      <c r="F2302" s="21" t="inlineStr">
        <is>
          <t>Туя західна (ий) Брабант K19 C45 / H180-200</t>
        </is>
      </c>
      <c r="G2302" s="23" t="n">
        <v>1882</v>
      </c>
      <c r="H2302" s="23" t="n">
        <v>653</v>
      </c>
      <c r="I2302" s="21" t="inlineStr">
        <is>
          <t>ID постачальника збігся, але назви різні</t>
        </is>
      </c>
    </row>
    <row r="2303">
      <c r="A2303" s="22" t="n">
        <v>24.1</v>
      </c>
      <c r="B2303" s="22" t="inlineStr">
        <is>
          <t>Клуб Рослин</t>
        </is>
      </c>
      <c r="C2303" s="22" t="inlineStr">
        <is>
          <t>8145</t>
        </is>
      </c>
      <c r="D2303" s="22" t="inlineStr">
        <is>
          <t>8145</t>
        </is>
      </c>
      <c r="E2303" s="21" t="inlineStr">
        <is>
          <t>Добриво Фрукто / Frukto 1 л Bioera Іспанія</t>
        </is>
      </c>
      <c r="F2303" s="21" t="inlineStr">
        <is>
          <t>Виноград культурний Кодрянка (столовий) NN GK</t>
        </is>
      </c>
      <c r="G2303" s="23" t="n">
        <v>998</v>
      </c>
      <c r="H2303" s="23" t="n">
        <v>60</v>
      </c>
      <c r="I2303" s="21" t="inlineStr">
        <is>
          <t>ID постачальника збігся, але різні бренди</t>
        </is>
      </c>
    </row>
    <row r="2304">
      <c r="A2304" s="22" t="n">
        <v>24.1</v>
      </c>
      <c r="B2304" s="22" t="inlineStr">
        <is>
          <t>Клуб Рослин</t>
        </is>
      </c>
      <c r="C2304" s="22" t="inlineStr">
        <is>
          <t>7668</t>
        </is>
      </c>
      <c r="D2304" s="22" t="inlineStr">
        <is>
          <t>7668</t>
        </is>
      </c>
      <c r="E2304" s="21" t="inlineStr">
        <is>
          <t>Добриво Кристафос Cristaphos NPK 11-30-11+ 2% Fulvic acids+ Bacillus subtilis 1 кг Meristem Іспанія</t>
        </is>
      </c>
      <c r="F2304" s="21" t="inlineStr">
        <is>
          <t>Туя (Платікладус) східна Ауреа Нана PC21 C5 / H30-35</t>
        </is>
      </c>
      <c r="G2304" s="23" t="n">
        <v>448</v>
      </c>
      <c r="H2304" s="23" t="n">
        <v>324</v>
      </c>
      <c r="I2304" s="21" t="inlineStr">
        <is>
          <t>ID постачальника збігся, але назви різні</t>
        </is>
      </c>
    </row>
    <row r="2305">
      <c r="A2305" s="22" t="n">
        <v>24</v>
      </c>
      <c r="B2305" s="22" t="inlineStr">
        <is>
          <t>Клуб Рослин</t>
        </is>
      </c>
      <c r="C2305" s="22" t="inlineStr">
        <is>
          <t>7427</t>
        </is>
      </c>
      <c r="D2305" s="22" t="inlineStr">
        <is>
          <t>7427</t>
        </is>
      </c>
      <c r="E2305" s="21" t="inlineStr">
        <is>
          <t>Добриво GroGreen Gel Ca-B-Sul (Кальцій-Бор-Сірка) 5 кг Lima Бельгія</t>
        </is>
      </c>
      <c r="F2305" s="21" t="inlineStr">
        <is>
          <t>Бузок звичайний Сенсейшн K15 G / H80-100</t>
        </is>
      </c>
      <c r="G2305" s="23" t="n">
        <v>4173</v>
      </c>
      <c r="H2305" s="23" t="n">
        <v>335</v>
      </c>
      <c r="I2305" s="21" t="inlineStr">
        <is>
          <t>ID постачальника збігся, але різні об'єми або розміри</t>
        </is>
      </c>
    </row>
    <row r="2306">
      <c r="A2306" s="22" t="n">
        <v>24</v>
      </c>
      <c r="B2306" s="22" t="inlineStr">
        <is>
          <t>Клуб Рослин</t>
        </is>
      </c>
      <c r="C2306" s="22" t="inlineStr">
        <is>
          <t>8148</t>
        </is>
      </c>
      <c r="D2306" s="22" t="inlineStr">
        <is>
          <t>8148</t>
        </is>
      </c>
      <c r="E2306" s="21" t="inlineStr">
        <is>
          <t>Добриво Неовіт Мікромікс / Neovit Micromix 5 л Bioerа Іспанія</t>
        </is>
      </c>
      <c r="F2306" s="21" t="inlineStr">
        <is>
          <t>Виноград культурний Кубань (столовий) NN GK</t>
        </is>
      </c>
      <c r="G2306" s="23" t="n">
        <v>3900</v>
      </c>
      <c r="H2306" s="23" t="n">
        <v>80</v>
      </c>
      <c r="I2306" s="21" t="inlineStr">
        <is>
          <t>ID постачальника збігся, але різні бренди</t>
        </is>
      </c>
    </row>
    <row r="2307">
      <c r="A2307" s="22" t="n">
        <v>24</v>
      </c>
      <c r="B2307" s="22" t="inlineStr">
        <is>
          <t>Клуб Рослин</t>
        </is>
      </c>
      <c r="C2307" s="22" t="inlineStr">
        <is>
          <t>3283</t>
        </is>
      </c>
      <c r="D2307" s="22" t="inlineStr">
        <is>
          <t>3283</t>
        </is>
      </c>
      <c r="E2307" s="21" t="inlineStr">
        <is>
          <t>Фунгіцид Церкоштеф 5 л Stefes / Штефес Ліхтенштейн</t>
        </is>
      </c>
      <c r="F2307" s="21" t="inlineStr">
        <is>
          <t>Жимолость східна Калінка C2</t>
        </is>
      </c>
      <c r="G2307" s="23" t="n">
        <v>3498</v>
      </c>
      <c r="H2307" s="23" t="n">
        <v>120</v>
      </c>
      <c r="I2307" s="21" t="inlineStr">
        <is>
          <t>ID постачальника збігся, але назви різні</t>
        </is>
      </c>
    </row>
    <row r="2308">
      <c r="A2308" s="22" t="n">
        <v>24</v>
      </c>
      <c r="B2308" s="22" t="inlineStr">
        <is>
          <t>Клуб Рослин</t>
        </is>
      </c>
      <c r="C2308" s="22" t="inlineStr">
        <is>
          <t>5028</t>
        </is>
      </c>
      <c r="D2308" s="22" t="inlineStr">
        <is>
          <t>5028</t>
        </is>
      </c>
      <c r="E2308" s="21" t="inlineStr">
        <is>
          <t>Протруйник Авіценна 1 л (розлив) Alfa Smart Agro Альфа Смарт Агро Україна</t>
        </is>
      </c>
      <c r="F2308" s="21" t="inlineStr">
        <is>
          <t>Сосна гнучка Пігмея C10 / H40-50</t>
        </is>
      </c>
      <c r="G2308" s="23" t="n">
        <v>1525</v>
      </c>
      <c r="H2308" s="23" t="n">
        <v>1440</v>
      </c>
      <c r="I2308" s="21" t="inlineStr">
        <is>
          <t>ID постачальника збігся, але назви різні</t>
        </is>
      </c>
    </row>
    <row r="2309">
      <c r="A2309" s="22" t="n">
        <v>24</v>
      </c>
      <c r="B2309" s="22" t="inlineStr">
        <is>
          <t>Клуб Рослин</t>
        </is>
      </c>
      <c r="C2309" s="22" t="inlineStr">
        <is>
          <t>7542</t>
        </is>
      </c>
      <c r="D2309" s="22" t="inlineStr">
        <is>
          <t>7542</t>
        </is>
      </c>
      <c r="E2309" s="21" t="inlineStr">
        <is>
          <t>Добриво Сульфат магнію / Magnesium Sulphate 25 кг Intersac Туреччина</t>
        </is>
      </c>
      <c r="F2309" s="21" t="inlineStr">
        <is>
          <t>Тис ягідний (а) Піраміда C60 / H160-180</t>
        </is>
      </c>
      <c r="G2309" s="23" t="n">
        <v>625</v>
      </c>
      <c r="H2309" s="23" t="n">
        <v>4652</v>
      </c>
      <c r="I2309" s="21" t="inlineStr">
        <is>
          <t>ID постачальника збігся, але назви різні</t>
        </is>
      </c>
    </row>
    <row r="2310">
      <c r="A2310" s="22" t="n">
        <v>24</v>
      </c>
      <c r="B2310" s="22" t="inlineStr">
        <is>
          <t>Клуб Рослин</t>
        </is>
      </c>
      <c r="C2310" s="22" t="inlineStr">
        <is>
          <t>1109</t>
        </is>
      </c>
      <c r="D2310" s="22" t="inlineStr">
        <is>
          <t>1109</t>
        </is>
      </c>
      <c r="E2310" s="21" t="inlineStr">
        <is>
          <t>Гербіцид Голд Стар 50 г Ukravit Укравіт Україна</t>
        </is>
      </c>
      <c r="F2310" s="21" t="inlineStr">
        <is>
          <t>Самшит вічнозенений C5 / H20-25</t>
        </is>
      </c>
      <c r="G2310" s="23" t="n">
        <v>75</v>
      </c>
      <c r="H2310" s="23" t="n">
        <v>180</v>
      </c>
      <c r="I2310" s="21" t="inlineStr">
        <is>
          <t>ID постачальника збігся, але назви різні</t>
        </is>
      </c>
    </row>
    <row r="2311">
      <c r="A2311" s="22" t="n">
        <v>23.9</v>
      </c>
      <c r="B2311" s="22" t="inlineStr">
        <is>
          <t>Клуб Рослин</t>
        </is>
      </c>
      <c r="C2311" s="22" t="inlineStr">
        <is>
          <t>8077</t>
        </is>
      </c>
      <c r="D2311" s="22" t="inlineStr">
        <is>
          <t>8077</t>
        </is>
      </c>
      <c r="E2311" s="21" t="inlineStr">
        <is>
          <t>Добриво Осмокот / Osmocote Exact Tablet 14-8-11 (5-6 М) 7.5 кг ICL Нідерланди</t>
        </is>
      </c>
      <c r="F2311" s="21" t="inlineStr">
        <is>
          <t>Тюльпан багатоквітковий Уоллфлауер 11/12</t>
        </is>
      </c>
      <c r="G2311" s="23" t="n">
        <v>7022</v>
      </c>
      <c r="H2311" s="23" t="n">
        <v>15</v>
      </c>
      <c r="I2311" s="21" t="inlineStr">
        <is>
          <t>ID постачальника збігся, але назви різні</t>
        </is>
      </c>
    </row>
    <row r="2312">
      <c r="A2312" s="22" t="n">
        <v>23.9</v>
      </c>
      <c r="B2312" s="22" t="inlineStr">
        <is>
          <t>Клуб Рослин</t>
        </is>
      </c>
      <c r="C2312" s="22" t="inlineStr">
        <is>
          <t>7509</t>
        </is>
      </c>
      <c r="D2312" s="22" t="inlineStr">
        <is>
          <t>7509</t>
        </is>
      </c>
      <c r="E2312" s="21" t="inlineStr">
        <is>
          <t>Добриво YaraTera Krista MAP ЯраТера Криста MAP Моноамоній фосфат 25 кг Норвегія</t>
        </is>
      </c>
      <c r="F2312" s="21" t="inlineStr">
        <is>
          <t>Тис ягідний (а) Циліндр+Конус C290 / H200-250</t>
        </is>
      </c>
      <c r="G2312" s="23" t="n">
        <v>3698</v>
      </c>
      <c r="H2312" s="23" t="n">
        <v>36000</v>
      </c>
      <c r="I2312" s="21" t="inlineStr">
        <is>
          <t>ID постачальника збігся, але назви різні</t>
        </is>
      </c>
    </row>
    <row r="2313">
      <c r="A2313" s="22" t="n">
        <v>23.9</v>
      </c>
      <c r="B2313" s="22" t="inlineStr">
        <is>
          <t>Клуб Рослин</t>
        </is>
      </c>
      <c r="C2313" s="22" t="inlineStr">
        <is>
          <t>1124</t>
        </is>
      </c>
      <c r="D2313" s="22" t="inlineStr">
        <is>
          <t>1124</t>
        </is>
      </c>
      <c r="E2313" s="21" t="inlineStr">
        <is>
          <t>Гербіцид Реглон Форте 200 SL РК 10 л Syngenta Сингента Швейцарія</t>
        </is>
      </c>
      <c r="F2313" s="21" t="inlineStr">
        <is>
          <t>Самшит вічнозенений GK / H20-25</t>
        </is>
      </c>
      <c r="G2313" s="23" t="n">
        <v>3098</v>
      </c>
      <c r="H2313" s="23" t="n">
        <v>180</v>
      </c>
      <c r="I2313" s="21" t="inlineStr">
        <is>
          <t>ID постачальника збігся, але різні бренди</t>
        </is>
      </c>
    </row>
    <row r="2314">
      <c r="A2314" s="22" t="n">
        <v>23.9</v>
      </c>
      <c r="B2314" s="22" t="inlineStr">
        <is>
          <t>Клуб Рослин</t>
        </is>
      </c>
      <c r="C2314" s="22" t="inlineStr">
        <is>
          <t>7413</t>
        </is>
      </c>
      <c r="D2314" s="22" t="inlineStr">
        <is>
          <t>7413</t>
        </is>
      </c>
      <c r="E2314" s="21" t="inlineStr">
        <is>
          <t>Добриво GroGreen Гель Вегетатив NPK 27-27-27+3MgO+TE 5 кг Lima Бельгія</t>
        </is>
      </c>
      <c r="F2314" s="21" t="inlineStr">
        <is>
          <t>Бузок звичайний Катерін Хавемаєр PC17 C10 / Pa80-100</t>
        </is>
      </c>
      <c r="G2314" s="23" t="n">
        <v>2535</v>
      </c>
      <c r="H2314" s="23" t="n">
        <v>549</v>
      </c>
      <c r="I2314" s="21" t="inlineStr">
        <is>
          <t>ID постачальника збігся, але різні коди виробника</t>
        </is>
      </c>
    </row>
    <row r="2315">
      <c r="A2315" s="22" t="n">
        <v>23.9</v>
      </c>
      <c r="B2315" s="22" t="inlineStr">
        <is>
          <t>Клуб Рослин</t>
        </is>
      </c>
      <c r="C2315" s="22" t="inlineStr">
        <is>
          <t>7415</t>
        </is>
      </c>
      <c r="D2315" s="22" t="inlineStr">
        <is>
          <t>7415</t>
        </is>
      </c>
      <c r="E2315" s="21" t="inlineStr">
        <is>
          <t>Добриво GroGreen Гель Фрут NPK 18-11-59+2MgO+TE 5 кг Lima Бельгія</t>
        </is>
      </c>
      <c r="F2315" s="21" t="inlineStr">
        <is>
          <t>Бузок звичайний Катерін Хавемаєр Штамб GK / Pa80</t>
        </is>
      </c>
      <c r="G2315" s="23" t="n">
        <v>2418</v>
      </c>
      <c r="H2315" s="23" t="n">
        <v>455</v>
      </c>
      <c r="I2315" s="21" t="inlineStr">
        <is>
          <t>ID постачальника збігся, але різні бренди</t>
        </is>
      </c>
    </row>
    <row r="2316">
      <c r="A2316" s="22" t="n">
        <v>23.9</v>
      </c>
      <c r="B2316" s="22" t="inlineStr">
        <is>
          <t>Клуб Рослин</t>
        </is>
      </c>
      <c r="C2316" s="22" t="inlineStr">
        <is>
          <t>7822</t>
        </is>
      </c>
      <c r="D2316" s="22" t="inlineStr">
        <is>
          <t>7822</t>
        </is>
      </c>
      <c r="E2316" s="21" t="inlineStr">
        <is>
          <t>Біостимулятор Екісітімакс / Equisetomax 1 л Bioera Іспанія</t>
        </is>
      </c>
      <c r="F2316" s="21" t="inlineStr">
        <is>
          <t>Туя західна (ий) Смарагд K18 G / H140-160</t>
        </is>
      </c>
      <c r="G2316" s="23" t="n">
        <v>1300</v>
      </c>
      <c r="H2316" s="23" t="n">
        <v>665</v>
      </c>
      <c r="I2316" s="21" t="inlineStr">
        <is>
          <t>ID постачальника збігся, але різні об'єми або розміри</t>
        </is>
      </c>
    </row>
    <row r="2317">
      <c r="A2317" s="22" t="n">
        <v>23.9</v>
      </c>
      <c r="B2317" s="22" t="inlineStr">
        <is>
          <t>Клуб Рослин</t>
        </is>
      </c>
      <c r="C2317" s="22" t="inlineStr">
        <is>
          <t>7155</t>
        </is>
      </c>
      <c r="D2317" s="22" t="inlineStr">
        <is>
          <t>7155</t>
        </is>
      </c>
      <c r="E2317" s="21" t="inlineStr">
        <is>
          <t>Стимулятор росту плодів Райкат Фінал (Raykat Final) 1 л Вітера Atlantica Agricola Іспанія</t>
        </is>
      </c>
      <c r="F2317" s="21" t="inlineStr">
        <is>
          <t>Троянда гібридний(а) C4</t>
        </is>
      </c>
      <c r="G2317" s="23" t="n">
        <v>1218</v>
      </c>
      <c r="H2317" s="23" t="n">
        <v>85</v>
      </c>
      <c r="I2317" s="21" t="inlineStr">
        <is>
          <t>ID постачальника збігся, але назви різні</t>
        </is>
      </c>
    </row>
    <row r="2318">
      <c r="A2318" s="22" t="n">
        <v>23.9</v>
      </c>
      <c r="B2318" s="22" t="inlineStr">
        <is>
          <t>Клуб Рослин</t>
        </is>
      </c>
      <c r="C2318" s="22" t="inlineStr">
        <is>
          <t>4018</t>
        </is>
      </c>
      <c r="D2318" s="22" t="inlineStr">
        <is>
          <t>4018</t>
        </is>
      </c>
      <c r="E2318" s="21" t="inlineStr">
        <is>
          <t>Фумігант Фостер 1 кг Best</t>
        </is>
      </c>
      <c r="F2318" s="21" t="inlineStr">
        <is>
          <t>Ялина звичайна Віллс Цверг K19 C45 / H100-120</t>
        </is>
      </c>
      <c r="G2318" s="23" t="n">
        <v>800</v>
      </c>
      <c r="H2318" s="23" t="n">
        <v>1656</v>
      </c>
      <c r="I2318" s="21" t="inlineStr">
        <is>
          <t>ID постачальника збігся, але назви різні</t>
        </is>
      </c>
    </row>
    <row r="2319">
      <c r="A2319" s="22" t="n">
        <v>23.9</v>
      </c>
      <c r="B2319" s="22" t="inlineStr">
        <is>
          <t>Клуб Рослин</t>
        </is>
      </c>
      <c r="C2319" s="22" t="inlineStr">
        <is>
          <t>7422</t>
        </is>
      </c>
      <c r="D2319" s="22" t="inlineStr">
        <is>
          <t>7422</t>
        </is>
      </c>
      <c r="E2319" s="21" t="inlineStr">
        <is>
          <t>Добриво GroGreen Гель Кальцифос NPK 9-64-0+11СаО+1MgO+В+Zn 1 кг Lima Бельгія</t>
        </is>
      </c>
      <c r="F2319" s="21" t="inlineStr">
        <is>
          <t>Бузок звичайний Мадам Лемуан Штамб GK / Pa100</t>
        </is>
      </c>
      <c r="G2319" s="23" t="n">
        <v>767</v>
      </c>
      <c r="H2319" s="23" t="n">
        <v>455</v>
      </c>
      <c r="I2319" s="21" t="inlineStr">
        <is>
          <t>ID постачальника збігся, але різні бренди</t>
        </is>
      </c>
    </row>
    <row r="2320">
      <c r="A2320" s="22" t="n">
        <v>23.9</v>
      </c>
      <c r="B2320" s="22" t="inlineStr">
        <is>
          <t>Клуб Рослин</t>
        </is>
      </c>
      <c r="C2320" s="22" t="inlineStr">
        <is>
          <t>7767</t>
        </is>
      </c>
      <c r="D2320" s="22" t="inlineStr">
        <is>
          <t>7767</t>
        </is>
      </c>
      <c r="E2320" s="21" t="inlineStr">
        <is>
          <t>Добриво Ікар Калісі (Калій-Фосфор-Кремній) / Ikar Kalisi 1 л Литва</t>
        </is>
      </c>
      <c r="F2320" s="21" t="inlineStr">
        <is>
          <t>Туя західна (ий) Мірьям ® C2 / H20-25</t>
        </is>
      </c>
      <c r="G2320" s="23" t="n">
        <v>612</v>
      </c>
      <c r="H2320" s="23" t="n">
        <v>205</v>
      </c>
      <c r="I2320" s="21" t="inlineStr">
        <is>
          <t>ID постачальника збігся, але назви різні</t>
        </is>
      </c>
    </row>
    <row r="2321">
      <c r="A2321" s="22" t="n">
        <v>23.9</v>
      </c>
      <c r="B2321" s="22" t="inlineStr">
        <is>
          <t>Клуб Рослин</t>
        </is>
      </c>
      <c r="C2321" s="22" t="inlineStr">
        <is>
          <t>7712</t>
        </is>
      </c>
      <c r="D2321" s="22" t="inlineStr">
        <is>
          <t>7712</t>
        </is>
      </c>
      <c r="E2321" s="21" t="inlineStr">
        <is>
          <t>Регулятор росту Ферті Сет / Ferti Set 1 л Кіссон Україна</t>
        </is>
      </c>
      <c r="F2321" s="21" t="inlineStr">
        <is>
          <t>Туя західна (ий) Даніка PC20 C10 / H30 / L30</t>
        </is>
      </c>
      <c r="G2321" s="23" t="n">
        <v>293</v>
      </c>
      <c r="H2321" s="23" t="n">
        <v>300</v>
      </c>
      <c r="I2321" s="21" t="inlineStr">
        <is>
          <t>ID постачальника збігся, але назви різні</t>
        </is>
      </c>
    </row>
    <row r="2322">
      <c r="A2322" s="22" t="n">
        <v>23.8</v>
      </c>
      <c r="B2322" s="22" t="inlineStr">
        <is>
          <t>Клуб Рослин</t>
        </is>
      </c>
      <c r="C2322" s="22" t="inlineStr">
        <is>
          <t>7471</t>
        </is>
      </c>
      <c r="D2322" s="22" t="inlineStr">
        <is>
          <t>7471</t>
        </is>
      </c>
      <c r="E2322" s="21" t="inlineStr">
        <is>
          <t>Стимулятор урожайності Фрутліпс / Frutlips 5 л Україна</t>
        </is>
      </c>
      <c r="F2322" s="21" t="inlineStr">
        <is>
          <t>Тис ягідний (а) Бонсай C20 / H100-140</t>
        </is>
      </c>
      <c r="G2322" s="23" t="n">
        <v>10175</v>
      </c>
      <c r="H2322" s="23" t="n">
        <v>19872</v>
      </c>
      <c r="I2322" s="21" t="inlineStr">
        <is>
          <t>ID постачальника збігся, але назви різні</t>
        </is>
      </c>
    </row>
    <row r="2323">
      <c r="A2323" s="22" t="n">
        <v>23.8</v>
      </c>
      <c r="B2323" s="22" t="inlineStr">
        <is>
          <t>Клуб Рослин</t>
        </is>
      </c>
      <c r="C2323" s="22" t="inlineStr">
        <is>
          <t>7429</t>
        </is>
      </c>
      <c r="D2323" s="22" t="inlineStr">
        <is>
          <t>7429</t>
        </is>
      </c>
      <c r="E2323" s="21" t="inlineStr">
        <is>
          <t>Добриво GroGreen Гель Меджик 5 кг Lima Бельгія</t>
        </is>
      </c>
      <c r="F2323" s="21" t="inlineStr">
        <is>
          <t>Бузок звичайний Сенсейшн Штамб GK / Pa80</t>
        </is>
      </c>
      <c r="G2323" s="23" t="n">
        <v>2561</v>
      </c>
      <c r="H2323" s="23" t="n">
        <v>455</v>
      </c>
      <c r="I2323" s="21" t="inlineStr">
        <is>
          <t>ID постачальника збігся, але різні бренди</t>
        </is>
      </c>
    </row>
    <row r="2324">
      <c r="A2324" s="22" t="n">
        <v>23.8</v>
      </c>
      <c r="B2324" s="22" t="inlineStr">
        <is>
          <t>Клуб Рослин</t>
        </is>
      </c>
      <c r="C2324" s="22" t="inlineStr">
        <is>
          <t>7611</t>
        </is>
      </c>
      <c r="D2324" s="22" t="inlineStr">
        <is>
          <t>7611</t>
        </is>
      </c>
      <c r="E2324" s="21" t="inlineStr">
        <is>
          <t>Добриво Сульфат Калію Solucros 25 кг Tessenderlo kerley Бельгія</t>
        </is>
      </c>
      <c r="F2324" s="21" t="inlineStr">
        <is>
          <t>Тис середній Хіксіі Бонсай C80 / H120-140</t>
        </is>
      </c>
      <c r="G2324" s="23" t="n">
        <v>2248</v>
      </c>
      <c r="H2324" s="23" t="n">
        <v>24840</v>
      </c>
      <c r="I2324" s="21" t="inlineStr">
        <is>
          <t>ID постачальника збігся, але назви різні</t>
        </is>
      </c>
    </row>
    <row r="2325">
      <c r="A2325" s="22" t="n">
        <v>23.8</v>
      </c>
      <c r="B2325" s="22" t="inlineStr">
        <is>
          <t>Клуб Рослин</t>
        </is>
      </c>
      <c r="C2325" s="22" t="inlineStr">
        <is>
          <t>7622</t>
        </is>
      </c>
      <c r="D2325" s="22" t="inlineStr">
        <is>
          <t>7622</t>
        </is>
      </c>
      <c r="E2325" s="21" t="inlineStr">
        <is>
          <t>Біостимулятор Фітомаре (Fitomare) 250 мл Atlantica Agricola Вітера Іспанія</t>
        </is>
      </c>
      <c r="F2325" s="21" t="inlineStr">
        <is>
          <t>Тис середній Хіксіі G / H100-120</t>
        </is>
      </c>
      <c r="G2325" s="23" t="n">
        <v>378</v>
      </c>
      <c r="H2325" s="23" t="n">
        <v>1620</v>
      </c>
      <c r="I2325" s="21" t="inlineStr">
        <is>
          <t>ID постачальника збігся, але назви різні</t>
        </is>
      </c>
    </row>
    <row r="2326">
      <c r="A2326" s="22" t="n">
        <v>23.7</v>
      </c>
      <c r="B2326" s="22" t="inlineStr">
        <is>
          <t>Клуб Рослин</t>
        </is>
      </c>
      <c r="C2326" s="22" t="inlineStr">
        <is>
          <t>3684</t>
        </is>
      </c>
      <c r="D2326" s="22" t="inlineStr">
        <is>
          <t>3684</t>
        </is>
      </c>
      <c r="E2326" s="21" t="inlineStr">
        <is>
          <t>Фунгіцид Ширлан 500 SC КС 5 л Syngenta Сингента Швейцарія</t>
        </is>
      </c>
      <c r="F2326" s="21" t="inlineStr">
        <is>
          <t>Нарцис Репліт 14\16</t>
        </is>
      </c>
      <c r="G2326" s="23" t="n">
        <v>22998</v>
      </c>
      <c r="H2326" s="23" t="n">
        <v>20</v>
      </c>
      <c r="I2326" s="21" t="inlineStr">
        <is>
          <t>ID постачальника збігся, але назви різні</t>
        </is>
      </c>
    </row>
    <row r="2327">
      <c r="A2327" s="22" t="n">
        <v>23.7</v>
      </c>
      <c r="B2327" s="22" t="inlineStr">
        <is>
          <t>Клуб Рослин</t>
        </is>
      </c>
      <c r="C2327" s="22" t="inlineStr">
        <is>
          <t>7043</t>
        </is>
      </c>
      <c r="D2327" s="22" t="inlineStr">
        <is>
          <t>7043</t>
        </is>
      </c>
      <c r="E2327" s="21" t="inlineStr">
        <is>
          <t>Біостимулятор укорінювач Радіфарм Radifarm 10 л Syngenta (Valagro) Італія</t>
        </is>
      </c>
      <c r="F2327" s="21" t="inlineStr">
        <is>
          <t>Рододендрон якушиманський Персі Вісман C5 / H30-40</t>
        </is>
      </c>
      <c r="G2327" s="23" t="n">
        <v>16175</v>
      </c>
      <c r="H2327" s="23" t="n">
        <v>1140</v>
      </c>
      <c r="I2327" s="21" t="inlineStr">
        <is>
          <t>ID постачальника збігся, але назви різні</t>
        </is>
      </c>
    </row>
    <row r="2328">
      <c r="A2328" s="22" t="n">
        <v>23.7</v>
      </c>
      <c r="B2328" s="22" t="inlineStr">
        <is>
          <t>Клуб Рослин</t>
        </is>
      </c>
      <c r="C2328" s="22" t="inlineStr">
        <is>
          <t>8156</t>
        </is>
      </c>
      <c r="D2328" s="22" t="inlineStr">
        <is>
          <t>8156</t>
        </is>
      </c>
      <c r="E2328" s="21" t="inlineStr">
        <is>
          <t>Біостимулятор росту НеоФлора / NeoFlora 20 л Neova Фінляндія</t>
        </is>
      </c>
      <c r="F2328" s="21" t="inlineStr">
        <is>
          <t>Вейгела квітуча Александра C5 / H30-40</t>
        </is>
      </c>
      <c r="G2328" s="23" t="n">
        <v>10567</v>
      </c>
      <c r="H2328" s="23" t="n">
        <v>125</v>
      </c>
      <c r="I2328" s="21" t="inlineStr">
        <is>
          <t>ID постачальника збігся, але назви різні</t>
        </is>
      </c>
    </row>
    <row r="2329">
      <c r="A2329" s="22" t="n">
        <v>23.7</v>
      </c>
      <c r="B2329" s="22" t="inlineStr">
        <is>
          <t>Клуб Рослин</t>
        </is>
      </c>
      <c r="C2329" s="22" t="inlineStr">
        <is>
          <t>3074</t>
        </is>
      </c>
      <c r="D2329" s="22" t="inlineStr">
        <is>
          <t>3074</t>
        </is>
      </c>
      <c r="E2329" s="21" t="inlineStr">
        <is>
          <t>Фунгіцид Дітан М-45 80% 25 кг Dow AgroScienses США</t>
        </is>
      </c>
      <c r="F2329" s="21" t="inlineStr">
        <is>
          <t>Келерія голуба Куліо PC21 C3</t>
        </is>
      </c>
      <c r="G2329" s="23" t="n">
        <v>6500</v>
      </c>
      <c r="H2329" s="23" t="n">
        <v>145</v>
      </c>
      <c r="I2329" s="21" t="inlineStr">
        <is>
          <t>ID постачальника збігся, але назви різні</t>
        </is>
      </c>
    </row>
    <row r="2330">
      <c r="A2330" s="22" t="n">
        <v>23.7</v>
      </c>
      <c r="B2330" s="22" t="inlineStr">
        <is>
          <t>Клуб Рослин</t>
        </is>
      </c>
      <c r="C2330" s="22" t="inlineStr">
        <is>
          <t>7793</t>
        </is>
      </c>
      <c r="D2330" s="22" t="inlineStr">
        <is>
          <t>7793</t>
        </is>
      </c>
      <c r="E2330" s="21" t="inlineStr">
        <is>
          <t>Добриво Ікар Біго Лівз З (Зимовий) / Ikar Bigo Leaves W 5 л Литва</t>
        </is>
      </c>
      <c r="F2330" s="21" t="inlineStr">
        <is>
          <t>Туя західна (ий) Смарагд C5 / H90-100</t>
        </is>
      </c>
      <c r="G2330" s="23" t="n">
        <v>4307</v>
      </c>
      <c r="H2330" s="23" t="n">
        <v>250</v>
      </c>
      <c r="I2330" s="21" t="inlineStr">
        <is>
          <t>ID постачальника збігся, але назви різні</t>
        </is>
      </c>
    </row>
    <row r="2331">
      <c r="A2331" s="22" t="n">
        <v>23.7</v>
      </c>
      <c r="B2331" s="22" t="inlineStr">
        <is>
          <t>Клуб Рослин</t>
        </is>
      </c>
      <c r="C2331" s="22" t="inlineStr">
        <is>
          <t>9054</t>
        </is>
      </c>
      <c r="D2331" s="22" t="inlineStr">
        <is>
          <t>9054</t>
        </is>
      </c>
      <c r="E2331" s="21" t="inlineStr">
        <is>
          <t>Регулятор кислотності Ікар Корект / Ikar Korekt 5 л Литва</t>
        </is>
      </c>
      <c r="F2331" s="21" t="inlineStr">
        <is>
          <t>Дизайн саду і ділянки</t>
        </is>
      </c>
      <c r="G2331" s="23" t="n">
        <v>2601</v>
      </c>
      <c r="H2331" s="23" t="n">
        <v>100</v>
      </c>
      <c r="I2331" s="21" t="inlineStr">
        <is>
          <t>ID постачальника збігся, але назви різні</t>
        </is>
      </c>
    </row>
    <row r="2332">
      <c r="A2332" s="22" t="n">
        <v>23.7</v>
      </c>
      <c r="B2332" s="22" t="inlineStr">
        <is>
          <t>Клуб Рослин</t>
        </is>
      </c>
      <c r="C2332" s="22" t="inlineStr">
        <is>
          <t>7818</t>
        </is>
      </c>
      <c r="D2332" s="22" t="inlineStr">
        <is>
          <t>7818</t>
        </is>
      </c>
      <c r="E2332" s="21" t="inlineStr">
        <is>
          <t>Біостимулятор-антистресант Новамін Н (Азот) Плюс / Novamine N Plus 1 кг Bioera Іспанія</t>
        </is>
      </c>
      <c r="F2332" s="21" t="inlineStr">
        <is>
          <t>Туя західна (ий) Смарагд K17 G / H100-120</t>
        </is>
      </c>
      <c r="G2332" s="23" t="n">
        <v>2444</v>
      </c>
      <c r="H2332" s="23" t="n">
        <v>332</v>
      </c>
      <c r="I2332" s="21" t="inlineStr">
        <is>
          <t>ID постачальника збігся, але різні об'єми або розміри</t>
        </is>
      </c>
    </row>
    <row r="2333">
      <c r="A2333" s="22" t="n">
        <v>23.7</v>
      </c>
      <c r="B2333" s="22" t="inlineStr">
        <is>
          <t>Клуб Рослин</t>
        </is>
      </c>
      <c r="C2333" s="22" t="inlineStr">
        <is>
          <t>7981</t>
        </is>
      </c>
      <c r="D2333" s="22" t="inlineStr">
        <is>
          <t>7981</t>
        </is>
      </c>
      <c r="E2333" s="21" t="inlineStr">
        <is>
          <t>Біостимулятор росту НеоФлора / NeoFlora 1 л Neova Фінляндія</t>
        </is>
      </c>
      <c r="F2333" s="21" t="inlineStr">
        <is>
          <t>Туйовик долотовидний PC14 C7,5 / H10-15</t>
        </is>
      </c>
      <c r="G2333" s="23" t="n">
        <v>600</v>
      </c>
      <c r="H2333" s="23" t="n">
        <v>170</v>
      </c>
      <c r="I2333" s="21" t="inlineStr">
        <is>
          <t>ID постачальника збігся, але назви різні</t>
        </is>
      </c>
    </row>
    <row r="2334">
      <c r="A2334" s="22" t="n">
        <v>23.7</v>
      </c>
      <c r="B2334" s="22" t="inlineStr">
        <is>
          <t>Клуб Рослин</t>
        </is>
      </c>
      <c r="C2334" s="22" t="inlineStr">
        <is>
          <t>4007</t>
        </is>
      </c>
      <c r="D2334" s="22" t="inlineStr">
        <is>
          <t>4007</t>
        </is>
      </c>
      <c r="E2334" s="21" t="inlineStr">
        <is>
          <t>Фумігант Токсігрейн (Токсифос) Toxigrain 560 ТВ 1 кг Деметра</t>
        </is>
      </c>
      <c r="F2334" s="21" t="inlineStr">
        <is>
          <t>Ялина звичайна Віллс Цверг C5 / H30-40</t>
        </is>
      </c>
      <c r="G2334" s="23" t="n">
        <v>498</v>
      </c>
      <c r="H2334" s="23" t="n">
        <v>960</v>
      </c>
      <c r="I2334" s="21" t="inlineStr">
        <is>
          <t>ID постачальника збігся, але назви різні</t>
        </is>
      </c>
    </row>
    <row r="2335">
      <c r="A2335" s="22" t="n">
        <v>23.7</v>
      </c>
      <c r="B2335" s="22" t="inlineStr">
        <is>
          <t>Клуб Рослин</t>
        </is>
      </c>
      <c r="C2335" s="22" t="inlineStr">
        <is>
          <t>2078</t>
        </is>
      </c>
      <c r="D2335" s="22" t="inlineStr">
        <is>
          <t>2078</t>
        </is>
      </c>
      <c r="E2335" s="21" t="inlineStr">
        <is>
          <t>Інсектицид Ампліго 150 ZC 100 мл Syngenta Сингента Швейцарія</t>
        </is>
      </c>
      <c r="F2335" s="21" t="inlineStr">
        <is>
          <t>Гібіскус сірійський Уайт Шифон ® C3</t>
        </is>
      </c>
      <c r="G2335" s="23" t="n">
        <v>498</v>
      </c>
      <c r="H2335" s="23" t="n">
        <v>195</v>
      </c>
      <c r="I2335" s="21" t="inlineStr">
        <is>
          <t>ID постачальника збігся, але назви різні</t>
        </is>
      </c>
    </row>
    <row r="2336">
      <c r="A2336" s="22" t="n">
        <v>23.7</v>
      </c>
      <c r="B2336" s="22" t="inlineStr">
        <is>
          <t>Клуб Рослин</t>
        </is>
      </c>
      <c r="C2336" s="22" t="inlineStr">
        <is>
          <t>3280</t>
        </is>
      </c>
      <c r="D2336" s="22" t="inlineStr">
        <is>
          <t>3280</t>
        </is>
      </c>
      <c r="E2336" s="21" t="inlineStr">
        <is>
          <t>Біофунгіцид Біодок / Biodoc 1 л SmartGrow Украина</t>
        </is>
      </c>
      <c r="F2336" s="21" t="inlineStr">
        <is>
          <t>Жимолость блискуча Майгрюн PC21 C5 / H20-25 / L40-50</t>
        </is>
      </c>
      <c r="G2336" s="23" t="n">
        <v>274</v>
      </c>
      <c r="H2336" s="23" t="n">
        <v>300</v>
      </c>
      <c r="I2336" s="21" t="inlineStr">
        <is>
          <t>ID постачальника збігся, але назви різні</t>
        </is>
      </c>
    </row>
    <row r="2337">
      <c r="A2337" s="22" t="n">
        <v>23.6</v>
      </c>
      <c r="B2337" s="22" t="inlineStr">
        <is>
          <t>Клуб Рослин</t>
        </is>
      </c>
      <c r="C2337" s="22" t="inlineStr">
        <is>
          <t>7514</t>
        </is>
      </c>
      <c r="D2337" s="22" t="inlineStr">
        <is>
          <t>7514</t>
        </is>
      </c>
      <c r="E2337" s="21" t="inlineStr">
        <is>
          <t>Добриво Агромастер Agromaster 6-13-24+9.5CaO+1.5MgO+14SO3 25 кг ICL Ізраїль</t>
        </is>
      </c>
      <c r="F2337" s="21" t="inlineStr">
        <is>
          <t>Тис ягідний (а) Девід Extra G / H100-120</t>
        </is>
      </c>
      <c r="G2337" s="23" t="n">
        <v>1670</v>
      </c>
      <c r="H2337" s="23" t="n">
        <v>3360</v>
      </c>
      <c r="I2337" s="21" t="inlineStr">
        <is>
          <t>ID постачальника збігся, але різні бренди</t>
        </is>
      </c>
    </row>
    <row r="2338">
      <c r="A2338" s="22" t="n">
        <v>23.6</v>
      </c>
      <c r="B2338" s="22" t="inlineStr">
        <is>
          <t>Клуб Рослин</t>
        </is>
      </c>
      <c r="C2338" s="22" t="inlineStr">
        <is>
          <t>7418</t>
        </is>
      </c>
      <c r="D2338" s="22" t="inlineStr">
        <is>
          <t>7418</t>
        </is>
      </c>
      <c r="E2338" s="21" t="inlineStr">
        <is>
          <t>Добриво Grogreen Гель Стартер NPK 16-69-16+TE 1 кг Lima Бельгія</t>
        </is>
      </c>
      <c r="F2338" s="21" t="inlineStr">
        <is>
          <t>Бузок звичайний Красавіца Москви PC17 C10 / Pa80-100</t>
        </is>
      </c>
      <c r="G2338" s="23" t="n">
        <v>715</v>
      </c>
      <c r="H2338" s="23" t="n">
        <v>549</v>
      </c>
      <c r="I2338" s="21" t="inlineStr">
        <is>
          <t>ID постачальника збігся, але різні коди виробника</t>
        </is>
      </c>
    </row>
    <row r="2339">
      <c r="A2339" s="22" t="n">
        <v>23.5</v>
      </c>
      <c r="B2339" s="22" t="inlineStr">
        <is>
          <t>Клуб Рослин</t>
        </is>
      </c>
      <c r="C2339" s="22" t="inlineStr">
        <is>
          <t>5056</t>
        </is>
      </c>
      <c r="D2339" s="22" t="inlineStr">
        <is>
          <t>5056</t>
        </is>
      </c>
      <c r="E2339" s="21" t="inlineStr">
        <is>
          <t>Протруйник Авіценна Плюс 5 л Alfa Smart Agro Альфа Смарт Агро Україна</t>
        </is>
      </c>
      <c r="F2339" s="21" t="inlineStr">
        <is>
          <t>Сосна корейська Шібамічі D6 / H30-40</t>
        </is>
      </c>
      <c r="G2339" s="23" t="n">
        <v>6448</v>
      </c>
      <c r="H2339" s="23" t="n">
        <v>1284</v>
      </c>
      <c r="I2339" s="21" t="inlineStr">
        <is>
          <t>ID постачальника збігся, але назви різні</t>
        </is>
      </c>
    </row>
    <row r="2340">
      <c r="A2340" s="22" t="n">
        <v>23.5</v>
      </c>
      <c r="B2340" s="22" t="inlineStr">
        <is>
          <t>Клуб Рослин</t>
        </is>
      </c>
      <c r="C2340" s="22" t="inlineStr">
        <is>
          <t>7835</t>
        </is>
      </c>
      <c r="D2340" s="22" t="inlineStr">
        <is>
          <t>7835</t>
        </is>
      </c>
      <c r="E2340" s="21" t="inlineStr">
        <is>
          <t>Добриво Кальційглюк / Calcigluc 5 л Bioera Іспанія</t>
        </is>
      </c>
      <c r="F2340" s="21" t="inlineStr">
        <is>
          <t>Туя західна (ий) Смарагд K19 C30 / H80-100</t>
        </is>
      </c>
      <c r="G2340" s="23" t="n">
        <v>3120</v>
      </c>
      <c r="H2340" s="23" t="n">
        <v>508</v>
      </c>
      <c r="I2340" s="21" t="inlineStr">
        <is>
          <t>ID постачальника збігся, але назви різні</t>
        </is>
      </c>
    </row>
    <row r="2341">
      <c r="A2341" s="22" t="n">
        <v>23.5</v>
      </c>
      <c r="B2341" s="22" t="inlineStr">
        <is>
          <t>Клуб Рослин</t>
        </is>
      </c>
      <c r="C2341" s="22" t="inlineStr">
        <is>
          <t>7980</t>
        </is>
      </c>
      <c r="D2341" s="22" t="inlineStr">
        <is>
          <t>7980</t>
        </is>
      </c>
      <c r="E2341" s="21" t="inlineStr">
        <is>
          <t>Регулятор росту НеоВіво / NeoVivo 1 л Neova Фінляндія</t>
        </is>
      </c>
      <c r="F2341" s="21" t="inlineStr">
        <is>
          <t>Туйовик долотовидний PC12 C5 / H10-15</t>
        </is>
      </c>
      <c r="G2341" s="23" t="n">
        <v>755</v>
      </c>
      <c r="H2341" s="23" t="n">
        <v>170</v>
      </c>
      <c r="I2341" s="21" t="inlineStr">
        <is>
          <t>ID постачальника збігся, але назви різні</t>
        </is>
      </c>
    </row>
    <row r="2342">
      <c r="A2342" s="22" t="n">
        <v>23.5</v>
      </c>
      <c r="B2342" s="22" t="inlineStr">
        <is>
          <t>Клуб Рослин</t>
        </is>
      </c>
      <c r="C2342" s="22" t="inlineStr">
        <is>
          <t>7837</t>
        </is>
      </c>
      <c r="D2342" s="22" t="inlineStr">
        <is>
          <t>7837</t>
        </is>
      </c>
      <c r="E2342" s="21" t="inlineStr">
        <is>
          <t>Добриво Неовіт фотоактив / Neovit Fotoactive 250 мл Bioera Іспанія</t>
        </is>
      </c>
      <c r="F2342" s="21" t="inlineStr">
        <is>
          <t>Туя західна (ий) Смарагд K19 C35 / H100-120</t>
        </is>
      </c>
      <c r="G2342" s="23" t="n">
        <v>468</v>
      </c>
      <c r="H2342" s="23" t="n">
        <v>435</v>
      </c>
      <c r="I2342" s="21" t="inlineStr">
        <is>
          <t>ID постачальника збігся, але назви різні</t>
        </is>
      </c>
    </row>
    <row r="2343">
      <c r="A2343" s="22" t="n">
        <v>23.5</v>
      </c>
      <c r="B2343" s="22" t="inlineStr">
        <is>
          <t>Клуб Рослин</t>
        </is>
      </c>
      <c r="C2343" s="22" t="inlineStr">
        <is>
          <t>7021</t>
        </is>
      </c>
      <c r="D2343" s="22" t="inlineStr">
        <is>
          <t>7021</t>
        </is>
      </c>
      <c r="E2343" s="21" t="inlineStr">
        <is>
          <t>Добриво Мастер Master 15+5+30 1 кг Valagro Валагро Італія</t>
        </is>
      </c>
      <c r="F2343" s="21" t="inlineStr">
        <is>
          <t>Рододендрон Прінцесс Анне C3</t>
        </is>
      </c>
      <c r="G2343" s="23" t="n">
        <v>350</v>
      </c>
      <c r="H2343" s="23" t="n">
        <v>245</v>
      </c>
      <c r="I2343" s="21" t="inlineStr">
        <is>
          <t>ID постачальника збігся, але назви різні</t>
        </is>
      </c>
    </row>
    <row r="2344">
      <c r="A2344" s="22" t="n">
        <v>23.5</v>
      </c>
      <c r="B2344" s="22" t="inlineStr">
        <is>
          <t>Клуб Рослин</t>
        </is>
      </c>
      <c r="C2344" s="22" t="inlineStr">
        <is>
          <t>4009</t>
        </is>
      </c>
      <c r="D2344" s="22" t="inlineStr">
        <is>
          <t>4009</t>
        </is>
      </c>
      <c r="E2344" s="21" t="inlineStr">
        <is>
          <t>Фумігант Токсіфос Toxiphos 560 ТАВ 300 г Деметра</t>
        </is>
      </c>
      <c r="F2344" s="21" t="inlineStr">
        <is>
          <t>Ялина звичайна Віллс Цверг C7,5 / H40-50</t>
        </is>
      </c>
      <c r="G2344" s="23" t="n">
        <v>275</v>
      </c>
      <c r="H2344" s="23" t="n">
        <v>1320</v>
      </c>
      <c r="I2344" s="21" t="inlineStr">
        <is>
          <t>ID постачальника збігся, але назви різні</t>
        </is>
      </c>
    </row>
    <row r="2345">
      <c r="A2345" s="22" t="n">
        <v>23.4</v>
      </c>
      <c r="B2345" s="22" t="inlineStr">
        <is>
          <t>Клуб Рослин</t>
        </is>
      </c>
      <c r="C2345" s="22" t="inlineStr">
        <is>
          <t>8036</t>
        </is>
      </c>
      <c r="D2345" s="22" t="inlineStr">
        <is>
          <t>8036</t>
        </is>
      </c>
      <c r="E2345" s="21" t="inlineStr">
        <is>
          <t>Добриво Азуро / Azuro 19:19:19 25 кг ICL Бельгія</t>
        </is>
      </c>
      <c r="F2345" s="21" t="inlineStr">
        <is>
          <t>Тсуга канадська K14 G+C27,5 / H80-100</t>
        </is>
      </c>
      <c r="G2345" s="23" t="n">
        <v>3875</v>
      </c>
      <c r="H2345" s="23" t="n">
        <v>525</v>
      </c>
      <c r="I2345" s="21" t="inlineStr">
        <is>
          <t>ID постачальника збігся, але різні об'єми або розміри</t>
        </is>
      </c>
    </row>
    <row r="2346">
      <c r="A2346" s="22" t="n">
        <v>23.4</v>
      </c>
      <c r="B2346" s="22" t="inlineStr">
        <is>
          <t>Клуб Рослин</t>
        </is>
      </c>
      <c r="C2346" s="22" t="inlineStr">
        <is>
          <t>1106</t>
        </is>
      </c>
      <c r="D2346" s="22" t="inlineStr">
        <is>
          <t>1106</t>
        </is>
      </c>
      <c r="E2346" s="21" t="inlineStr">
        <is>
          <t>Гербіцид Командир 5 л Ukravit Укравіт Україна</t>
        </is>
      </c>
      <c r="F2346" s="21" t="inlineStr">
        <is>
          <t>Самшит вічнозенений C100 / H125-150</t>
        </is>
      </c>
      <c r="G2346" s="23" t="n">
        <v>2848</v>
      </c>
      <c r="H2346" s="23" t="n">
        <v>6210</v>
      </c>
      <c r="I2346" s="21" t="inlineStr">
        <is>
          <t>ID постачальника збігся, але назви різні</t>
        </is>
      </c>
    </row>
    <row r="2347">
      <c r="A2347" s="22" t="n">
        <v>23.4</v>
      </c>
      <c r="B2347" s="22" t="inlineStr">
        <is>
          <t>Клуб Рослин</t>
        </is>
      </c>
      <c r="C2347" s="22" t="inlineStr">
        <is>
          <t>11.107</t>
        </is>
      </c>
      <c r="D2347" s="22" t="inlineStr">
        <is>
          <t>11107</t>
        </is>
      </c>
      <c r="E2347" s="21" t="inlineStr">
        <is>
          <t>Садовий секатор LOWE Original 11.107 Німеччина</t>
        </is>
      </c>
      <c r="F2347" s="21" t="inlineStr">
        <is>
          <t>Обрізка декоративних дерев та кущів рік за роком.</t>
        </is>
      </c>
      <c r="G2347" s="23" t="n">
        <v>2490</v>
      </c>
      <c r="H2347" s="23" t="n">
        <v>220</v>
      </c>
      <c r="I2347" s="21" t="inlineStr">
        <is>
          <t>ID постачальника збігся, але назви різні</t>
        </is>
      </c>
    </row>
    <row r="2348">
      <c r="A2348" s="22" t="n">
        <v>23.4</v>
      </c>
      <c r="B2348" s="22" t="inlineStr">
        <is>
          <t>Клуб Рослин</t>
        </is>
      </c>
      <c r="C2348" s="22" t="inlineStr">
        <is>
          <t>1173</t>
        </is>
      </c>
      <c r="D2348" s="22" t="inlineStr">
        <is>
          <t>1173</t>
        </is>
      </c>
      <c r="E2348" s="21" t="inlineStr">
        <is>
          <t>Гербіцид Штефам Новий 5 л Stefes / Штефес Ліхтенштейн</t>
        </is>
      </c>
      <c r="F2348" s="21" t="inlineStr">
        <is>
          <t>Кампсіс укорінливий Голдтрам C12 / o8-10 / Pa100</t>
        </is>
      </c>
      <c r="G2348" s="23" t="n">
        <v>1875</v>
      </c>
      <c r="H2348" s="23" t="n">
        <v>1215</v>
      </c>
      <c r="I2348" s="21" t="inlineStr">
        <is>
          <t>ID постачальника збігся, але назви різні</t>
        </is>
      </c>
    </row>
    <row r="2349">
      <c r="A2349" s="22" t="n">
        <v>23.4</v>
      </c>
      <c r="B2349" s="22" t="inlineStr">
        <is>
          <t>Клуб Рослин</t>
        </is>
      </c>
      <c r="C2349" s="22" t="inlineStr">
        <is>
          <t>7076</t>
        </is>
      </c>
      <c r="D2349" s="22" t="inlineStr">
        <is>
          <t>7076</t>
        </is>
      </c>
      <c r="E2349" s="21" t="inlineStr">
        <is>
          <t>Біостимулятор укорінювач Радіфарм Radifarm 1 л Syngenta (Valagro) Італія</t>
        </is>
      </c>
      <c r="F2349" s="21" t="inlineStr">
        <is>
          <t>Троянда Арка 180*200 C50</t>
        </is>
      </c>
      <c r="G2349" s="23" t="n">
        <v>1748</v>
      </c>
      <c r="H2349" s="23" t="n">
        <v>10854</v>
      </c>
      <c r="I2349" s="21" t="inlineStr">
        <is>
          <t>ID постачальника збігся, але назви різні</t>
        </is>
      </c>
    </row>
    <row r="2350">
      <c r="A2350" s="22" t="n">
        <v>23.4</v>
      </c>
      <c r="B2350" s="22" t="inlineStr">
        <is>
          <t>Клуб Рослин</t>
        </is>
      </c>
      <c r="C2350" s="22" t="inlineStr">
        <is>
          <t>2091</t>
        </is>
      </c>
      <c r="D2350" s="22" t="inlineStr">
        <is>
          <t>2091</t>
        </is>
      </c>
      <c r="E2350" s="21" t="inlineStr">
        <is>
          <t>Інсектицид Нупрід 200 500 мл Nufarm Нуфарм Австралія</t>
        </is>
      </c>
      <c r="F2350" s="21" t="inlineStr">
        <is>
          <t>Гіацинт Джипсі Кyін 15\16</t>
        </is>
      </c>
      <c r="G2350" s="23" t="n">
        <v>500</v>
      </c>
      <c r="H2350" s="23" t="n">
        <v>25</v>
      </c>
      <c r="I2350" s="21" t="inlineStr">
        <is>
          <t>ID постачальника збігся, але різні бренди</t>
        </is>
      </c>
    </row>
    <row r="2351">
      <c r="A2351" s="22" t="n">
        <v>23.4</v>
      </c>
      <c r="B2351" s="22" t="inlineStr">
        <is>
          <t>Клуб Рослин</t>
        </is>
      </c>
      <c r="C2351" s="22" t="inlineStr">
        <is>
          <t>3446</t>
        </is>
      </c>
      <c r="D2351" s="22" t="inlineStr">
        <is>
          <t>3446</t>
        </is>
      </c>
      <c r="E2351" s="21" t="inlineStr">
        <is>
          <t>Фунгіцид Вітоксид-Нітро 1 л Оrganiks-Group Україна</t>
        </is>
      </c>
      <c r="F2351" s="21" t="inlineStr">
        <is>
          <t>Магнолія зіркова C30 / H125-150</t>
        </is>
      </c>
      <c r="G2351" s="23" t="n">
        <v>298</v>
      </c>
      <c r="H2351" s="23" t="n">
        <v>2225</v>
      </c>
      <c r="I2351" s="21" t="inlineStr">
        <is>
          <t>ID постачальника збігся, але назви різні</t>
        </is>
      </c>
    </row>
    <row r="2352">
      <c r="A2352" s="22" t="n">
        <v>23.3</v>
      </c>
      <c r="B2352" s="22" t="inlineStr">
        <is>
          <t>Клуб Рослин</t>
        </is>
      </c>
      <c r="C2352" s="22" t="inlineStr">
        <is>
          <t>2287</t>
        </is>
      </c>
      <c r="D2352" s="22" t="inlineStr">
        <is>
          <t>2287</t>
        </is>
      </c>
      <c r="E2352" s="21" t="inlineStr">
        <is>
          <t>Інсектицид Галіл 5 л Аdama Адама Ізраїль</t>
        </is>
      </c>
      <c r="F2352" s="21" t="inlineStr">
        <is>
          <t>Гортензія волотиста Меджикал Фаєр ® PC21 C20 / H80</t>
        </is>
      </c>
      <c r="G2352" s="23" t="n">
        <v>5998</v>
      </c>
      <c r="H2352" s="23" t="n">
        <v>492</v>
      </c>
      <c r="I2352" s="21" t="inlineStr">
        <is>
          <t>ID постачальника збігся, але назви різні</t>
        </is>
      </c>
    </row>
    <row r="2353">
      <c r="A2353" s="22" t="n">
        <v>23.3</v>
      </c>
      <c r="B2353" s="22" t="inlineStr">
        <is>
          <t>Клуб Рослин</t>
        </is>
      </c>
      <c r="C2353" s="22" t="inlineStr">
        <is>
          <t>7297</t>
        </is>
      </c>
      <c r="D2353" s="22" t="inlineStr">
        <is>
          <t>7297</t>
        </is>
      </c>
      <c r="E2353" s="21" t="inlineStr">
        <is>
          <t>Біостимулятор Стімакс Флавер / Stimax Flower 5 л Meristem Мерістем Іспанія</t>
        </is>
      </c>
      <c r="F2353" s="21" t="inlineStr">
        <is>
          <t>Малина звичайна Хімбо-Топ BS GK</t>
        </is>
      </c>
      <c r="G2353" s="23" t="n">
        <v>5448</v>
      </c>
      <c r="H2353" s="23" t="n">
        <v>20</v>
      </c>
      <c r="I2353" s="21" t="inlineStr">
        <is>
          <t>ID постачальника збігся, але різні бренди</t>
        </is>
      </c>
    </row>
    <row r="2354">
      <c r="A2354" s="22" t="n">
        <v>23.3</v>
      </c>
      <c r="B2354" s="22" t="inlineStr">
        <is>
          <t>Клуб Рослин</t>
        </is>
      </c>
      <c r="C2354" s="22" t="inlineStr">
        <is>
          <t>7368</t>
        </is>
      </c>
      <c r="D2354" s="22" t="inlineStr">
        <is>
          <t>7368</t>
        </is>
      </c>
      <c r="E2354" s="21" t="inlineStr">
        <is>
          <t>Добриво YaraTera Kristalon Scarlet ЯраТера Кристалон 7.5-12-36 + 4.5MgO + micro 25 кг Нідерланди</t>
        </is>
      </c>
      <c r="F2354" s="21" t="inlineStr">
        <is>
          <t>Спірея японська Голдмунд PC14 C3 / L20-30</t>
        </is>
      </c>
      <c r="G2354" s="23" t="n">
        <v>3998</v>
      </c>
      <c r="H2354" s="23" t="n">
        <v>90</v>
      </c>
      <c r="I2354" s="21" t="inlineStr">
        <is>
          <t>ID постачальника збігся, але назви різні</t>
        </is>
      </c>
    </row>
    <row r="2355">
      <c r="A2355" s="22" t="n">
        <v>23.3</v>
      </c>
      <c r="B2355" s="22" t="inlineStr">
        <is>
          <t>Клуб Рослин</t>
        </is>
      </c>
      <c r="C2355" s="22" t="inlineStr">
        <is>
          <t>8155</t>
        </is>
      </c>
      <c r="D2355" s="22" t="inlineStr">
        <is>
          <t>8155</t>
        </is>
      </c>
      <c r="E2355" s="21" t="inlineStr">
        <is>
          <t>Біостимулятор росту НеоФлора / NeoFlora 5 л Neova Фінляндія</t>
        </is>
      </c>
      <c r="F2355" s="21" t="inlineStr">
        <is>
          <t>Вейгела квітуча Александра C2</t>
        </is>
      </c>
      <c r="G2355" s="23" t="n">
        <v>2820</v>
      </c>
      <c r="H2355" s="23" t="n">
        <v>174</v>
      </c>
      <c r="I2355" s="21" t="inlineStr">
        <is>
          <t>ID постачальника збігся, але назви різні</t>
        </is>
      </c>
    </row>
    <row r="2356">
      <c r="A2356" s="22" t="n">
        <v>23.3</v>
      </c>
      <c r="B2356" s="22" t="inlineStr">
        <is>
          <t>Клуб Рослин</t>
        </is>
      </c>
      <c r="C2356" s="22" t="inlineStr">
        <is>
          <t>8147</t>
        </is>
      </c>
      <c r="D2356" s="22" t="inlineStr">
        <is>
          <t>8147</t>
        </is>
      </c>
      <c r="E2356" s="21" t="inlineStr">
        <is>
          <t>Біостимулятор Лесітімакс / Lecitimax 1 л Bioera Іспанія</t>
        </is>
      </c>
      <c r="F2356" s="21" t="inlineStr">
        <is>
          <t>Виноград культурний Красень NN GK</t>
        </is>
      </c>
      <c r="G2356" s="23" t="n">
        <v>1820</v>
      </c>
      <c r="H2356" s="23" t="n">
        <v>50</v>
      </c>
      <c r="I2356" s="21" t="inlineStr">
        <is>
          <t>ID постачальника збігся, але різні бренди</t>
        </is>
      </c>
    </row>
    <row r="2357">
      <c r="A2357" s="22" t="n">
        <v>23.3</v>
      </c>
      <c r="B2357" s="22" t="inlineStr">
        <is>
          <t>Клуб Рослин</t>
        </is>
      </c>
      <c r="C2357" s="22" t="inlineStr">
        <is>
          <t>7434</t>
        </is>
      </c>
      <c r="D2357" s="22" t="inlineStr">
        <is>
          <t>7434</t>
        </is>
      </c>
      <c r="E2357" s="21" t="inlineStr">
        <is>
          <t>Добриво GroGreen Гель Про-Форте 1 кг Lima Бельгія</t>
        </is>
      </c>
      <c r="F2357" s="21" t="inlineStr">
        <is>
          <t>Бузок звичайний Штамб K20 C45 / Pa80-100</t>
        </is>
      </c>
      <c r="G2357" s="23" t="n">
        <v>1170</v>
      </c>
      <c r="H2357" s="23" t="n">
        <v>1330</v>
      </c>
      <c r="I2357" s="21" t="inlineStr">
        <is>
          <t>ID постачальника збігся, але назви різні</t>
        </is>
      </c>
    </row>
    <row r="2358">
      <c r="A2358" s="22" t="n">
        <v>23.3</v>
      </c>
      <c r="B2358" s="22" t="inlineStr">
        <is>
          <t>Клуб Рослин</t>
        </is>
      </c>
      <c r="C2358" s="22" t="inlineStr">
        <is>
          <t>7834</t>
        </is>
      </c>
      <c r="D2358" s="22" t="inlineStr">
        <is>
          <t>7834</t>
        </is>
      </c>
      <c r="E2358" s="21" t="inlineStr">
        <is>
          <t>Добриво Кальційглюк / Calcigluc 1 л Bioera Іспанія</t>
        </is>
      </c>
      <c r="F2358" s="21" t="inlineStr">
        <is>
          <t>Туя західна (ий) Смарагд K19 C30 / H100-120</t>
        </is>
      </c>
      <c r="G2358" s="23" t="n">
        <v>728</v>
      </c>
      <c r="H2358" s="23" t="n">
        <v>359</v>
      </c>
      <c r="I2358" s="21" t="inlineStr">
        <is>
          <t>ID постачальника збігся, але назви різні</t>
        </is>
      </c>
    </row>
    <row r="2359">
      <c r="A2359" s="22" t="n">
        <v>23.3</v>
      </c>
      <c r="B2359" s="22" t="inlineStr">
        <is>
          <t>Клуб Рослин</t>
        </is>
      </c>
      <c r="C2359" s="22" t="inlineStr">
        <is>
          <t>7618</t>
        </is>
      </c>
      <c r="D2359" s="22" t="inlineStr">
        <is>
          <t>7618</t>
        </is>
      </c>
      <c r="E2359" s="21" t="inlineStr">
        <is>
          <t>Добриво Мікрокат Кальцій-Бор (Microcat Са-В) 250 мл Vitera Вітера Atlantica Agricola Іспания</t>
        </is>
      </c>
      <c r="F2359" s="21" t="inlineStr">
        <is>
          <t>Тис середній Хіксіі C15 / H80-100</t>
        </is>
      </c>
      <c r="G2359" s="23" t="n">
        <v>294</v>
      </c>
      <c r="H2359" s="23" t="n">
        <v>1409</v>
      </c>
      <c r="I2359" s="21" t="inlineStr">
        <is>
          <t>ID постачальника збігся, але назви різні</t>
        </is>
      </c>
    </row>
    <row r="2360">
      <c r="A2360" s="22" t="n">
        <v>23.3</v>
      </c>
      <c r="B2360" s="22" t="inlineStr">
        <is>
          <t>Клуб Рослин</t>
        </is>
      </c>
      <c r="C2360" s="22" t="inlineStr">
        <is>
          <t>3112</t>
        </is>
      </c>
      <c r="D2360" s="22" t="inlineStr">
        <is>
          <t>3112</t>
        </is>
      </c>
      <c r="E2360" s="21" t="inlineStr">
        <is>
          <t>Фунгіцид Гаубсин Форте 1 л Enzim Biotech Agro / Ензим Біотех Агро Україна</t>
        </is>
      </c>
      <c r="F2360" s="21" t="inlineStr">
        <is>
          <t>Лаванда вузьколиста Дварф Блю P9</t>
        </is>
      </c>
      <c r="G2360" s="23" t="n">
        <v>156</v>
      </c>
      <c r="H2360" s="23" t="n">
        <v>40</v>
      </c>
      <c r="I2360" s="21" t="inlineStr">
        <is>
          <t>ID постачальника збігся, але назви різні</t>
        </is>
      </c>
    </row>
    <row r="2361">
      <c r="A2361" s="22" t="n">
        <v>23.2</v>
      </c>
      <c r="B2361" s="22" t="inlineStr">
        <is>
          <t>Клуб Рослин</t>
        </is>
      </c>
      <c r="C2361" s="22" t="inlineStr">
        <is>
          <t>1193</t>
        </is>
      </c>
      <c r="D2361" s="22" t="inlineStr">
        <is>
          <t>1193</t>
        </is>
      </c>
      <c r="E2361" s="21" t="inlineStr">
        <is>
          <t>Гербіцид Клодекс Про 5 л Агрохімічні технології Україна</t>
        </is>
      </c>
      <c r="F2361" s="21" t="inlineStr">
        <is>
          <t>Граб звичайний Бонсай Extra C400 / H350-400</t>
        </is>
      </c>
      <c r="G2361" s="23" t="n">
        <v>2548</v>
      </c>
      <c r="H2361" s="23" t="n">
        <v>69150</v>
      </c>
      <c r="I2361" s="21" t="inlineStr">
        <is>
          <t>ID постачальника збігся, але назви різні</t>
        </is>
      </c>
    </row>
    <row r="2362">
      <c r="A2362" s="22" t="n">
        <v>23.2</v>
      </c>
      <c r="B2362" s="22" t="inlineStr">
        <is>
          <t>Клуб Рослин</t>
        </is>
      </c>
      <c r="C2362" s="22" t="inlineStr">
        <is>
          <t>7007</t>
        </is>
      </c>
      <c r="D2362" s="22" t="inlineStr">
        <is>
          <t>7007</t>
        </is>
      </c>
      <c r="E2362" s="21" t="inlineStr">
        <is>
          <t>Добриво Plantafol Плантафол 10+54+10 5 кг Syngenta (Valagro) Італія</t>
        </is>
      </c>
      <c r="F2362" s="21" t="inlineStr">
        <is>
          <t>Рододендрон гібридний Пінк Леді C5 / H30-40</t>
        </is>
      </c>
      <c r="G2362" s="23" t="n">
        <v>2225</v>
      </c>
      <c r="H2362" s="23" t="n">
        <v>746</v>
      </c>
      <c r="I2362" s="21" t="inlineStr">
        <is>
          <t>ID постачальника збігся, але назви різні</t>
        </is>
      </c>
    </row>
    <row r="2363">
      <c r="A2363" s="22" t="n">
        <v>23.2</v>
      </c>
      <c r="B2363" s="22" t="inlineStr">
        <is>
          <t>Клуб Рослин</t>
        </is>
      </c>
      <c r="C2363" s="22" t="inlineStr">
        <is>
          <t>1071</t>
        </is>
      </c>
      <c r="D2363" s="22" t="inlineStr">
        <is>
          <t>1071</t>
        </is>
      </c>
      <c r="E2363" s="21" t="inlineStr">
        <is>
          <t>Гербіцид Олімп 5 л Вассма-Кемікал</t>
        </is>
      </c>
      <c r="F2363" s="21" t="inlineStr">
        <is>
          <t>Береза звичайна Доренбос C20 / H200-250</t>
        </is>
      </c>
      <c r="G2363" s="23" t="n">
        <v>1550</v>
      </c>
      <c r="H2363" s="23" t="n">
        <v>5400</v>
      </c>
      <c r="I2363" s="21" t="inlineStr">
        <is>
          <t>ID постачальника збігся, але назви різні</t>
        </is>
      </c>
    </row>
    <row r="2364">
      <c r="A2364" s="22" t="n">
        <v>23.2</v>
      </c>
      <c r="B2364" s="22" t="inlineStr">
        <is>
          <t>Клуб Рослин</t>
        </is>
      </c>
      <c r="C2364" s="22" t="inlineStr">
        <is>
          <t>7832</t>
        </is>
      </c>
      <c r="D2364" s="22" t="inlineStr">
        <is>
          <t>7832</t>
        </is>
      </c>
      <c r="E2364" s="21" t="inlineStr">
        <is>
          <t>Добриво Неовіт Мікромікс / Neovit Micromix 1 л Bioerа Іспанія</t>
        </is>
      </c>
      <c r="F2364" s="21" t="inlineStr">
        <is>
          <t>Туя західна (ий) Смарагд K19 C25 / H60-80</t>
        </is>
      </c>
      <c r="G2364" s="23" t="n">
        <v>885</v>
      </c>
      <c r="H2364" s="23" t="n">
        <v>363</v>
      </c>
      <c r="I2364" s="21" t="inlineStr">
        <is>
          <t>ID постачальника збігся, але назви різні</t>
        </is>
      </c>
    </row>
    <row r="2365">
      <c r="A2365" s="22" t="n">
        <v>23.2</v>
      </c>
      <c r="B2365" s="22" t="inlineStr">
        <is>
          <t>Клуб Рослин</t>
        </is>
      </c>
      <c r="C2365" s="22" t="inlineStr">
        <is>
          <t>7623</t>
        </is>
      </c>
      <c r="D2365" s="22" t="inlineStr">
        <is>
          <t>7623</t>
        </is>
      </c>
      <c r="E2365" s="21" t="inlineStr">
        <is>
          <t>Біостимулянт Флорон (Florone) 250 мл Вітера Atlantica Agricola Іспанія</t>
        </is>
      </c>
      <c r="F2365" s="21" t="inlineStr">
        <is>
          <t>Тис середній Хіксіі G / H60-80</t>
        </is>
      </c>
      <c r="G2365" s="23" t="n">
        <v>499</v>
      </c>
      <c r="H2365" s="23" t="n">
        <v>660</v>
      </c>
      <c r="I2365" s="21" t="inlineStr">
        <is>
          <t>ID постачальника збігся, але назви різні</t>
        </is>
      </c>
    </row>
    <row r="2366">
      <c r="A2366" s="22" t="n">
        <v>23.2</v>
      </c>
      <c r="B2366" s="22" t="inlineStr">
        <is>
          <t>Клуб Рослин</t>
        </is>
      </c>
      <c r="C2366" s="22" t="inlineStr">
        <is>
          <t>7484</t>
        </is>
      </c>
      <c r="D2366" s="22" t="inlineStr">
        <is>
          <t>7484</t>
        </is>
      </c>
      <c r="E2366" s="21" t="inlineStr">
        <is>
          <t>Мікродобриво Оракул Колофермін Заліза 1 л Долина Україна</t>
        </is>
      </c>
      <c r="F2366" s="21" t="inlineStr">
        <is>
          <t>Тис ягідний (а) Бонсай S-форма C80 / H200-225</t>
        </is>
      </c>
      <c r="G2366" s="23" t="n">
        <v>298</v>
      </c>
      <c r="H2366" s="23" t="n">
        <v>99360</v>
      </c>
      <c r="I2366" s="21" t="inlineStr">
        <is>
          <t>ID постачальника збігся, але назви різні</t>
        </is>
      </c>
    </row>
    <row r="2367">
      <c r="A2367" s="22" t="n">
        <v>23.1</v>
      </c>
      <c r="B2367" s="22" t="inlineStr">
        <is>
          <t>Клуб Рослин</t>
        </is>
      </c>
      <c r="C2367" s="22" t="inlineStr">
        <is>
          <t>8071</t>
        </is>
      </c>
      <c r="D2367" s="22" t="inlineStr">
        <is>
          <t>8071</t>
        </is>
      </c>
      <c r="E2367" s="21" t="inlineStr">
        <is>
          <t>Добриво Осмокот / Osmocote S-Curved 16+8+12 (8-9 M) 25 кг ICL Нідерланди</t>
        </is>
      </c>
      <c r="F2367" s="21" t="inlineStr">
        <is>
          <t>Тюльпан лілієквітний Прітті Вумен 11/12</t>
        </is>
      </c>
      <c r="G2367" s="23" t="n">
        <v>9205</v>
      </c>
      <c r="H2367" s="23" t="n">
        <v>10</v>
      </c>
      <c r="I2367" s="21" t="inlineStr">
        <is>
          <t>ID постачальника збігся, але назви різні</t>
        </is>
      </c>
    </row>
    <row r="2368">
      <c r="A2368" s="22" t="n">
        <v>23.1</v>
      </c>
      <c r="B2368" s="22" t="inlineStr">
        <is>
          <t>Клуб Рослин</t>
        </is>
      </c>
      <c r="C2368" s="22" t="inlineStr">
        <is>
          <t>7295</t>
        </is>
      </c>
      <c r="D2368" s="22" t="inlineStr">
        <is>
          <t>7295</t>
        </is>
      </c>
      <c r="E2368" s="21" t="inlineStr">
        <is>
          <t>Біостимулятор для обробки насіння Стімакс Сідс / Stimax Seeds 5 л Meristem Мерістем Іспанія</t>
        </is>
      </c>
      <c r="F2368" s="21" t="inlineStr">
        <is>
          <t>Розмарин лікарська Штамб C3 / Pa50</t>
        </is>
      </c>
      <c r="G2368" s="23" t="n">
        <v>5398</v>
      </c>
      <c r="H2368" s="23" t="n">
        <v>425</v>
      </c>
      <c r="I2368" s="21" t="inlineStr">
        <is>
          <t>ID постачальника збігся, але назви різні</t>
        </is>
      </c>
    </row>
    <row r="2369">
      <c r="A2369" s="22" t="n">
        <v>23.1</v>
      </c>
      <c r="B2369" s="22" t="inlineStr">
        <is>
          <t>Клуб Рослин</t>
        </is>
      </c>
      <c r="C2369" s="22" t="inlineStr">
        <is>
          <t>7530</t>
        </is>
      </c>
      <c r="D2369" s="22" t="inlineStr">
        <is>
          <t>7530</t>
        </is>
      </c>
      <c r="E2369" s="21" t="inlineStr">
        <is>
          <t>Добриво Нітрат калію Multi-K GG 13.5-0-46.2 25 кг Хайфа / Haifa Ізраїль</t>
        </is>
      </c>
      <c r="F2369" s="21" t="inlineStr">
        <is>
          <t>Тис ягідний (а) Мультиштамб C230 / H180-200</t>
        </is>
      </c>
      <c r="G2369" s="23" t="n">
        <v>2298</v>
      </c>
      <c r="H2369" s="23" t="n">
        <v>23999</v>
      </c>
      <c r="I2369" s="21" t="inlineStr">
        <is>
          <t>ID постачальника збігся, але різні коди виробника</t>
        </is>
      </c>
    </row>
    <row r="2370">
      <c r="A2370" s="22" t="n">
        <v>23.1</v>
      </c>
      <c r="B2370" s="22" t="inlineStr">
        <is>
          <t>Клуб Рослин</t>
        </is>
      </c>
      <c r="C2370" s="22" t="inlineStr">
        <is>
          <t>7945</t>
        </is>
      </c>
      <c r="D2370" s="22" t="inlineStr">
        <is>
          <t>7945</t>
        </is>
      </c>
      <c r="E2370" s="21" t="inlineStr">
        <is>
          <t>Добриво Brandt Manni-Plex for Vegetables / Брендт Менні-Плекс для Овочевих 1 л США</t>
        </is>
      </c>
      <c r="F2370" s="21" t="inlineStr">
        <is>
          <t>Туя західна (ий) Тіні Тім PC21 C12 / H30-35 / L30</t>
        </is>
      </c>
      <c r="G2370" s="23" t="n">
        <v>650</v>
      </c>
      <c r="H2370" s="23" t="n">
        <v>435</v>
      </c>
      <c r="I2370" s="21" t="inlineStr">
        <is>
          <t>ID постачальника збігся, але назви різні</t>
        </is>
      </c>
    </row>
    <row r="2371">
      <c r="A2371" s="22" t="n">
        <v>23.1</v>
      </c>
      <c r="B2371" s="22" t="inlineStr">
        <is>
          <t>Клуб Рослин</t>
        </is>
      </c>
      <c r="C2371" s="22" t="inlineStr">
        <is>
          <t>8034</t>
        </is>
      </c>
      <c r="D2371" s="22" t="inlineStr">
        <is>
          <t>8034</t>
        </is>
      </c>
      <c r="E2371" s="21" t="inlineStr">
        <is>
          <t>Добриво ТекноГель Аміно / TecnoGel Amino Development 8-4-28 1 л AgriTecno Іспанія</t>
        </is>
      </c>
      <c r="F2371" s="21" t="inlineStr">
        <is>
          <t>Тсуга канадська K G / H180-200</t>
        </is>
      </c>
      <c r="G2371" s="23" t="n">
        <v>498</v>
      </c>
      <c r="H2371" s="23" t="n">
        <v>1500</v>
      </c>
      <c r="I2371" s="21" t="inlineStr">
        <is>
          <t>ID постачальника збігся, але назви різні</t>
        </is>
      </c>
    </row>
    <row r="2372">
      <c r="A2372" s="22" t="n">
        <v>23.1</v>
      </c>
      <c r="B2372" s="22" t="inlineStr">
        <is>
          <t>Клуб Рослин</t>
        </is>
      </c>
      <c r="C2372" s="22" t="inlineStr">
        <is>
          <t>7908</t>
        </is>
      </c>
      <c r="D2372" s="22" t="inlineStr">
        <is>
          <t>7908</t>
        </is>
      </c>
      <c r="E2372" s="21" t="inlineStr">
        <is>
          <t>Добриво Леда / Leda NPK 14-5-28 +2.5MgO+4CaO+TE+GS + Amino 1 кг Нідерланди</t>
        </is>
      </c>
      <c r="F2372" s="21" t="inlineStr">
        <is>
          <t>Туя західна (ий) Смарагд Пон-Пон C55 / H120-130</t>
        </is>
      </c>
      <c r="G2372" s="23" t="n">
        <v>198</v>
      </c>
      <c r="H2372" s="23" t="n">
        <v>5796</v>
      </c>
      <c r="I2372" s="21" t="inlineStr">
        <is>
          <t>ID постачальника збігся, але назви різні</t>
        </is>
      </c>
    </row>
    <row r="2373">
      <c r="A2373" s="22" t="n">
        <v>23</v>
      </c>
      <c r="B2373" s="22" t="inlineStr">
        <is>
          <t>Клуб Рослин</t>
        </is>
      </c>
      <c r="C2373" s="22" t="inlineStr">
        <is>
          <t>3255</t>
        </is>
      </c>
      <c r="D2373" s="22" t="inlineStr">
        <is>
          <t>3255</t>
        </is>
      </c>
      <c r="E2373" s="21" t="inlineStr">
        <is>
          <t>Фунгіцид Абакус 10 л Basf Басф Німеччина</t>
        </is>
      </c>
      <c r="F2373" s="21" t="inlineStr">
        <is>
          <t>Ліріодендрон (Тюльпанове дерево) тюльпановий Фастігіатум Woodenbox 500 / H450-500 / o20-25</t>
        </is>
      </c>
      <c r="G2373" s="23" t="n">
        <v>6198</v>
      </c>
      <c r="H2373" s="23" t="n">
        <v>10199</v>
      </c>
      <c r="I2373" s="21" t="inlineStr">
        <is>
          <t>ID постачальника збігся, але різні бренди</t>
        </is>
      </c>
    </row>
    <row r="2374">
      <c r="A2374" s="22" t="n">
        <v>23</v>
      </c>
      <c r="B2374" s="22" t="inlineStr">
        <is>
          <t>Клуб Рослин</t>
        </is>
      </c>
      <c r="C2374" s="22" t="inlineStr">
        <is>
          <t>7527</t>
        </is>
      </c>
      <c r="D2374" s="22" t="inlineStr">
        <is>
          <t>7527</t>
        </is>
      </c>
      <c r="E2374" s="21" t="inlineStr">
        <is>
          <t>Добриво GroGreen Grinta Cubri / ГроГрін Грінта Курбі NPK 17-8-22 + 3MgO + TE 25 кг Lima Бельгія</t>
        </is>
      </c>
      <c r="F2374" s="21" t="inlineStr">
        <is>
          <t>Тис ягідний (а) Мультиштамб C100 / H150+</t>
        </is>
      </c>
      <c r="G2374" s="23" t="n">
        <v>4525</v>
      </c>
      <c r="H2374" s="23" t="n">
        <v>41400</v>
      </c>
      <c r="I2374" s="21" t="inlineStr">
        <is>
          <t>ID постачальника збігся, але назви різні</t>
        </is>
      </c>
    </row>
    <row r="2375">
      <c r="A2375" s="22" t="n">
        <v>23</v>
      </c>
      <c r="B2375" s="22" t="inlineStr">
        <is>
          <t>Клуб Рослин</t>
        </is>
      </c>
      <c r="C2375" s="22" t="inlineStr">
        <is>
          <t>7428</t>
        </is>
      </c>
      <c r="D2375" s="22" t="inlineStr">
        <is>
          <t>7428</t>
        </is>
      </c>
      <c r="E2375" s="21" t="inlineStr">
        <is>
          <t>Добриво GroGreen Гель Меджик 1 кг Lima Бельгія</t>
        </is>
      </c>
      <c r="F2375" s="21" t="inlineStr">
        <is>
          <t>Бузок звичайний Сенсейшн PC17 C10 / Pa80-100</t>
        </is>
      </c>
      <c r="G2375" s="23" t="n">
        <v>676</v>
      </c>
      <c r="H2375" s="23" t="n">
        <v>549</v>
      </c>
      <c r="I2375" s="21" t="inlineStr">
        <is>
          <t>ID постачальника збігся, але назви різні</t>
        </is>
      </c>
    </row>
    <row r="2376">
      <c r="A2376" s="22" t="n">
        <v>22.9</v>
      </c>
      <c r="B2376" s="22" t="inlineStr">
        <is>
          <t>Клуб Рослин</t>
        </is>
      </c>
      <c r="C2376" s="22" t="inlineStr">
        <is>
          <t>7907</t>
        </is>
      </c>
      <c r="D2376" s="22" t="inlineStr">
        <is>
          <t>7907</t>
        </is>
      </c>
      <c r="E2376" s="21" t="inlineStr">
        <is>
          <t>Добриво Леда / Leda NPK 14-5-28 +2.5MgO+4CaO+TE+GS + Amino 25 кг Нідерланди</t>
        </is>
      </c>
      <c r="F2376" s="21" t="inlineStr">
        <is>
          <t>Туя західна (ий) Смарагд Пон-Пон C35 / H100-150</t>
        </is>
      </c>
      <c r="G2376" s="23" t="n">
        <v>4447</v>
      </c>
      <c r="H2376" s="23" t="n">
        <v>6601</v>
      </c>
      <c r="I2376" s="21" t="inlineStr">
        <is>
          <t>ID постачальника збігся, але назви різні</t>
        </is>
      </c>
    </row>
    <row r="2377">
      <c r="A2377" s="22" t="n">
        <v>22.9</v>
      </c>
      <c r="B2377" s="22" t="inlineStr">
        <is>
          <t>Клуб Рослин</t>
        </is>
      </c>
      <c r="C2377" s="22" t="inlineStr">
        <is>
          <t>8033</t>
        </is>
      </c>
      <c r="D2377" s="22" t="inlineStr">
        <is>
          <t>8033</t>
        </is>
      </c>
      <c r="E2377" s="21" t="inlineStr">
        <is>
          <t>Добриво ТекноГель Аміно / TecnoGel Amino Development 8-4-28 10 л AgriTecno Іспанія</t>
        </is>
      </c>
      <c r="F2377" s="21" t="inlineStr">
        <is>
          <t>Тсуга канадська K G / H160-180</t>
        </is>
      </c>
      <c r="G2377" s="23" t="n">
        <v>4108</v>
      </c>
      <c r="H2377" s="23" t="n">
        <v>1125.59</v>
      </c>
      <c r="I2377" s="21" t="inlineStr">
        <is>
          <t>ID постачальника збігся, але назви різні</t>
        </is>
      </c>
    </row>
    <row r="2378">
      <c r="A2378" s="22" t="n">
        <v>22.9</v>
      </c>
      <c r="B2378" s="22" t="inlineStr">
        <is>
          <t>Клуб Рослин</t>
        </is>
      </c>
      <c r="C2378" s="22" t="inlineStr">
        <is>
          <t>9809</t>
        </is>
      </c>
      <c r="D2378" s="22" t="inlineStr">
        <is>
          <t>9809</t>
        </is>
      </c>
      <c r="E2378" s="21" t="inlineStr">
        <is>
          <t>Чохол шкіряний Lowe (9809) Льове Німеччина</t>
        </is>
      </c>
      <c r="F2378" s="21" t="inlineStr">
        <is>
          <t>Зрошувач звичайний Daye, DY3011</t>
        </is>
      </c>
      <c r="G2378" s="23" t="n">
        <v>2090</v>
      </c>
      <c r="H2378" s="23" t="n">
        <v>45</v>
      </c>
      <c r="I2378" s="21" t="inlineStr">
        <is>
          <t>ID постачальника збігся, але різні бренди</t>
        </is>
      </c>
    </row>
    <row r="2379">
      <c r="A2379" s="22" t="n">
        <v>22.8</v>
      </c>
      <c r="B2379" s="22" t="inlineStr">
        <is>
          <t>Клуб Рослин</t>
        </is>
      </c>
      <c r="C2379" s="22" t="inlineStr">
        <is>
          <t>6.107</t>
        </is>
      </c>
      <c r="D2379" s="22" t="inlineStr">
        <is>
          <t>6107</t>
        </is>
      </c>
      <c r="E2379" s="21" t="inlineStr">
        <is>
          <t>LOWE Original 6.107 Cекатор з ковадлом Німеччина</t>
        </is>
      </c>
      <c r="F2379" s="21" t="inlineStr">
        <is>
          <t>Сосна румелійська PC21 C3 / H20-25</t>
        </is>
      </c>
      <c r="G2379" s="23" t="n">
        <v>2950</v>
      </c>
      <c r="H2379" s="23" t="n">
        <v>415</v>
      </c>
      <c r="I2379" s="21" t="inlineStr">
        <is>
          <t>ID постачальника збігся, але назви різні</t>
        </is>
      </c>
    </row>
    <row r="2380">
      <c r="A2380" s="22" t="n">
        <v>22.7</v>
      </c>
      <c r="B2380" s="22" t="inlineStr">
        <is>
          <t>Клуб Рослин</t>
        </is>
      </c>
      <c r="C2380" s="22" t="inlineStr">
        <is>
          <t>8068</t>
        </is>
      </c>
      <c r="D2380" s="22" t="inlineStr">
        <is>
          <t>8068</t>
        </is>
      </c>
      <c r="E2380" s="21" t="inlineStr">
        <is>
          <t>Добриво GroGreen Гель Блек Меджик 5 л Lima Бельгія</t>
        </is>
      </c>
      <c r="F2380" s="21" t="inlineStr">
        <is>
          <t>Тюльпан бахромчастий Кріспі Голд 11\12</t>
        </is>
      </c>
      <c r="G2380" s="23" t="n">
        <v>5300</v>
      </c>
      <c r="H2380" s="23" t="n">
        <v>10</v>
      </c>
      <c r="I2380" s="21" t="inlineStr">
        <is>
          <t>ID постачальника збігся, але назви різні</t>
        </is>
      </c>
    </row>
    <row r="2381">
      <c r="A2381" s="22" t="n">
        <v>22.7</v>
      </c>
      <c r="B2381" s="22" t="inlineStr">
        <is>
          <t>Клуб Рослин</t>
        </is>
      </c>
      <c r="C2381" s="22" t="inlineStr">
        <is>
          <t>7030</t>
        </is>
      </c>
      <c r="D2381" s="22" t="inlineStr">
        <is>
          <t>7030</t>
        </is>
      </c>
      <c r="E2381" s="21" t="inlineStr">
        <is>
          <t>Добриво Брексіл Мікс Brexil Mix 5 кг Valagro Валагро Італія</t>
        </is>
      </c>
      <c r="F2381" s="21" t="inlineStr">
        <is>
          <t>Рододендрон понтійскій Гольдфліммер C3</t>
        </is>
      </c>
      <c r="G2381" s="23" t="n">
        <v>2800</v>
      </c>
      <c r="H2381" s="23" t="n">
        <v>315</v>
      </c>
      <c r="I2381" s="21" t="inlineStr">
        <is>
          <t>ID постачальника збігся, але назви різні</t>
        </is>
      </c>
    </row>
    <row r="2382">
      <c r="A2382" s="22" t="n">
        <v>22.7</v>
      </c>
      <c r="B2382" s="22" t="inlineStr">
        <is>
          <t>Клуб Рослин</t>
        </is>
      </c>
      <c r="C2382" s="22" t="inlineStr">
        <is>
          <t>7410</t>
        </is>
      </c>
      <c r="D2382" s="22" t="inlineStr">
        <is>
          <t>7410</t>
        </is>
      </c>
      <c r="E2382" s="21" t="inlineStr">
        <is>
          <t>Добриво GroGreen Гроліф NPK 0-40-40 + TE + QPS45 5 кг Lima Бельгія</t>
        </is>
      </c>
      <c r="F2382" s="21" t="inlineStr">
        <is>
          <t>Бузок звичайний K20 C55 / Pa80</t>
        </is>
      </c>
      <c r="G2382" s="23" t="n">
        <v>2153</v>
      </c>
      <c r="H2382" s="23" t="n">
        <v>666</v>
      </c>
      <c r="I2382" s="21" t="inlineStr">
        <is>
          <t>ID постачальника збігся, але назви різні</t>
        </is>
      </c>
    </row>
    <row r="2383">
      <c r="A2383" s="22" t="n">
        <v>22.5</v>
      </c>
      <c r="B2383" s="22" t="inlineStr">
        <is>
          <t>Клуб Рослин</t>
        </is>
      </c>
      <c r="C2383" s="22" t="inlineStr">
        <is>
          <t>7813</t>
        </is>
      </c>
      <c r="D2383" s="22" t="inlineStr">
        <is>
          <t>7813</t>
        </is>
      </c>
      <c r="E2383" s="21" t="inlineStr">
        <is>
          <t>Добриво Неовіт Кальціо / Neovit Calcio 1 л Bioera Іспанія</t>
        </is>
      </c>
      <c r="F2383" s="21" t="inlineStr">
        <is>
          <t>Туя західна (ий) Смарагд K G / H140-160</t>
        </is>
      </c>
      <c r="G2383" s="23" t="n">
        <v>884</v>
      </c>
      <c r="H2383" s="23" t="n">
        <v>768</v>
      </c>
      <c r="I2383" s="21" t="inlineStr">
        <is>
          <t>ID постачальника збігся, але назви різні</t>
        </is>
      </c>
    </row>
    <row r="2384">
      <c r="A2384" s="22" t="n">
        <v>22.5</v>
      </c>
      <c r="B2384" s="22" t="inlineStr">
        <is>
          <t>Клуб Рослин</t>
        </is>
      </c>
      <c r="C2384" s="22" t="inlineStr">
        <is>
          <t>8017</t>
        </is>
      </c>
      <c r="D2384" s="22" t="inlineStr">
        <is>
          <t>8017</t>
        </is>
      </c>
      <c r="E2384" s="21" t="inlineStr">
        <is>
          <t>Добриво Неовіт Боро / Neovit Boro 1 л Bioera Іспанія</t>
        </is>
      </c>
      <c r="F2384" s="21" t="inlineStr">
        <is>
          <t>Липа Штамб C180 / o20-25 / Pa180-190</t>
        </is>
      </c>
      <c r="G2384" s="23" t="n">
        <v>878</v>
      </c>
      <c r="H2384" s="23" t="n">
        <v>16560</v>
      </c>
      <c r="I2384" s="21" t="inlineStr">
        <is>
          <t>ID постачальника збігся, але назви різні</t>
        </is>
      </c>
    </row>
    <row r="2385">
      <c r="A2385" s="22" t="n">
        <v>22.5</v>
      </c>
      <c r="B2385" s="22" t="inlineStr">
        <is>
          <t>Клуб Рослин</t>
        </is>
      </c>
      <c r="C2385" s="22" t="inlineStr">
        <is>
          <t>7374</t>
        </is>
      </c>
      <c r="D2385" s="22" t="inlineStr">
        <is>
          <t>7374</t>
        </is>
      </c>
      <c r="E2385" s="21" t="inlineStr">
        <is>
          <t>Добриво Ferrum (Fe) 1 л SmartGrow Україна</t>
        </is>
      </c>
      <c r="F2385" s="21" t="inlineStr">
        <is>
          <t>Спірея японська Голдмунд PC21 C3</t>
        </is>
      </c>
      <c r="G2385" s="23" t="n">
        <v>425</v>
      </c>
      <c r="H2385" s="23" t="n">
        <v>192</v>
      </c>
      <c r="I2385" s="21" t="inlineStr">
        <is>
          <t>ID постачальника збігся, але назви різні</t>
        </is>
      </c>
    </row>
    <row r="2386">
      <c r="A2386" s="22" t="n">
        <v>22.4</v>
      </c>
      <c r="B2386" s="22" t="inlineStr">
        <is>
          <t>Клуб Рослин</t>
        </is>
      </c>
      <c r="C2386" s="22" t="inlineStr">
        <is>
          <t>8075</t>
        </is>
      </c>
      <c r="D2386" s="22" t="inlineStr">
        <is>
          <t>8075</t>
        </is>
      </c>
      <c r="E2386" s="21" t="inlineStr">
        <is>
          <t>Добриво Осмокот / Osmocote High K 12-8-19 (8-9 М) ICL 25 кг Нідерланди</t>
        </is>
      </c>
      <c r="F2386" s="21" t="inlineStr">
        <is>
          <t>Тюльпан багатоквітковий Торонто11/12</t>
        </is>
      </c>
      <c r="G2386" s="23" t="n">
        <v>9529</v>
      </c>
      <c r="H2386" s="23" t="n">
        <v>10</v>
      </c>
      <c r="I2386" s="21" t="inlineStr">
        <is>
          <t>ID постачальника збігся, але назви різні</t>
        </is>
      </c>
    </row>
    <row r="2387">
      <c r="A2387" s="22" t="n">
        <v>22.4</v>
      </c>
      <c r="B2387" s="22" t="inlineStr">
        <is>
          <t>Клуб Рослин</t>
        </is>
      </c>
      <c r="C2387" s="22" t="inlineStr">
        <is>
          <t>7315</t>
        </is>
      </c>
      <c r="D2387" s="22" t="inlineStr">
        <is>
          <t>7315</t>
        </is>
      </c>
      <c r="E2387" s="21" t="inlineStr">
        <is>
          <t>Добриво Вуксал БІО Аскофол WUXAL Bio Ascofol 10 л Unifer Уніфер Німеччина</t>
        </is>
      </c>
      <c r="F2387" s="21" t="inlineStr">
        <is>
          <t>Сціадопітіс кільчастий C12 / H100-120</t>
        </is>
      </c>
      <c r="G2387" s="23" t="n">
        <v>5000</v>
      </c>
      <c r="H2387" s="23" t="n">
        <v>2707</v>
      </c>
      <c r="I2387" s="21" t="inlineStr">
        <is>
          <t>ID постачальника збігся, але назви різні</t>
        </is>
      </c>
    </row>
    <row r="2388">
      <c r="A2388" s="22" t="n">
        <v>22.4</v>
      </c>
      <c r="B2388" s="22" t="inlineStr">
        <is>
          <t>Клуб Рослин</t>
        </is>
      </c>
      <c r="C2388" s="22" t="inlineStr">
        <is>
          <t>7423</t>
        </is>
      </c>
      <c r="D2388" s="22" t="inlineStr">
        <is>
          <t>7423</t>
        </is>
      </c>
      <c r="E2388" s="21" t="inlineStr">
        <is>
          <t>Добриво GroGreen Гель Кальцифос NPK 9-64-0+11СаО+1MgO+В+Zn 5 кг Lima Бельгія</t>
        </is>
      </c>
      <c r="F2388" s="21" t="inlineStr">
        <is>
          <t>Бузок звичайний Мадам Лемуан Штамб GK / Pa80</t>
        </is>
      </c>
      <c r="G2388" s="23" t="n">
        <v>2990</v>
      </c>
      <c r="H2388" s="23" t="n">
        <v>455</v>
      </c>
      <c r="I2388" s="21" t="inlineStr">
        <is>
          <t>ID постачальника збігся, але різні бренди</t>
        </is>
      </c>
    </row>
    <row r="2389">
      <c r="A2389" s="22" t="n">
        <v>22.4</v>
      </c>
      <c r="B2389" s="22" t="inlineStr">
        <is>
          <t>Клуб Рослин</t>
        </is>
      </c>
      <c r="C2389" s="22" t="inlineStr">
        <is>
          <t>7317</t>
        </is>
      </c>
      <c r="D2389" s="22" t="inlineStr">
        <is>
          <t>7317</t>
        </is>
      </c>
      <c r="E2389" s="21" t="inlineStr">
        <is>
          <t>Добриво Новалон Фоліар Novalon Foliar 10-45-15+0.5 MgO+МE 10 кг Terra Tarsa Туреччина</t>
        </is>
      </c>
      <c r="F2389" s="21" t="inlineStr">
        <is>
          <t>Сціадопітіс кільчастий C7,5 / H40-50</t>
        </is>
      </c>
      <c r="G2389" s="23" t="n">
        <v>2750</v>
      </c>
      <c r="H2389" s="23" t="n">
        <v>1740</v>
      </c>
      <c r="I2389" s="21" t="inlineStr">
        <is>
          <t>ID постачальника збігся, але назви різні</t>
        </is>
      </c>
    </row>
    <row r="2390">
      <c r="A2390" s="22" t="n">
        <v>22.4</v>
      </c>
      <c r="B2390" s="22" t="inlineStr">
        <is>
          <t>Клуб Рослин</t>
        </is>
      </c>
      <c r="C2390" s="22" t="inlineStr">
        <is>
          <t>7306</t>
        </is>
      </c>
      <c r="D2390" s="22" t="inlineStr">
        <is>
          <t>7306</t>
        </is>
      </c>
      <c r="E2390" s="21" t="inlineStr">
        <is>
          <t>Добриво ЦTA Стимулянт-4 (CTA Stymulant-4) 1 л Meristem Мерістем Іспанія</t>
        </is>
      </c>
      <c r="F2390" s="21" t="inlineStr">
        <is>
          <t>Верба швейцарська Штамб C3 / Pa60</t>
        </is>
      </c>
      <c r="G2390" s="23" t="n">
        <v>1298</v>
      </c>
      <c r="H2390" s="23" t="n">
        <v>305</v>
      </c>
      <c r="I2390" s="21" t="inlineStr">
        <is>
          <t>ID постачальника збігся, але назви різні</t>
        </is>
      </c>
    </row>
    <row r="2391">
      <c r="A2391" s="22" t="n">
        <v>22.4</v>
      </c>
      <c r="B2391" s="22" t="inlineStr">
        <is>
          <t>Клуб Рослин</t>
        </is>
      </c>
      <c r="C2391" s="22" t="inlineStr">
        <is>
          <t>7628</t>
        </is>
      </c>
      <c r="D2391" s="22" t="inlineStr">
        <is>
          <t>7628</t>
        </is>
      </c>
      <c r="E2391" s="21" t="inlineStr">
        <is>
          <t>Біопестицид-фунгіцид Мікрокат Тен (Microcat Ten) 250 мл Вітера Atlantica Agricola Іспанія</t>
        </is>
      </c>
      <c r="F2391" s="21" t="inlineStr">
        <is>
          <t>Тис середній Хілліі C10 / H60-80</t>
        </is>
      </c>
      <c r="G2391" s="23" t="n">
        <v>1048</v>
      </c>
      <c r="H2391" s="23" t="n">
        <v>1215</v>
      </c>
      <c r="I2391" s="21" t="inlineStr">
        <is>
          <t>ID постачальника збігся, але назви різні</t>
        </is>
      </c>
    </row>
    <row r="2392">
      <c r="A2392" s="22" t="n">
        <v>22.4</v>
      </c>
      <c r="B2392" s="22" t="inlineStr">
        <is>
          <t>Клуб Рослин</t>
        </is>
      </c>
      <c r="C2392" s="22" t="inlineStr">
        <is>
          <t>7626</t>
        </is>
      </c>
      <c r="D2392" s="22" t="inlineStr">
        <is>
          <t>7626</t>
        </is>
      </c>
      <c r="E2392" s="21" t="inlineStr">
        <is>
          <t>Добриво Сульфат магнію / Magnesium Sulphate МКМ 25 кг Maltas Туреччина</t>
        </is>
      </c>
      <c r="F2392" s="21" t="inlineStr">
        <is>
          <t>Тис середній Хілліі Бонсай C130 / H180-200</t>
        </is>
      </c>
      <c r="G2392" s="23" t="n">
        <v>625</v>
      </c>
      <c r="H2392" s="23" t="n">
        <v>49680</v>
      </c>
      <c r="I2392" s="21" t="inlineStr">
        <is>
          <t>ID постачальника збігся, але назви різні</t>
        </is>
      </c>
    </row>
    <row r="2393">
      <c r="A2393" s="22" t="n">
        <v>22.2</v>
      </c>
      <c r="B2393" s="22" t="inlineStr">
        <is>
          <t>Клуб Рослин</t>
        </is>
      </c>
      <c r="C2393" s="22" t="inlineStr">
        <is>
          <t>8083</t>
        </is>
      </c>
      <c r="D2393" s="22" t="inlineStr">
        <is>
          <t>8083</t>
        </is>
      </c>
      <c r="E2393" s="21" t="inlineStr">
        <is>
          <t>Добриво Осмокот / Osmocote Micromax Premium TE (3-4М) 25 кг ICL Нідерланди</t>
        </is>
      </c>
      <c r="F2393" s="21" t="inlineStr">
        <is>
          <t>Тюльпан тріумф Вайт Дрім 11/12</t>
        </is>
      </c>
      <c r="G2393" s="23" t="n">
        <v>9009</v>
      </c>
      <c r="H2393" s="23" t="n">
        <v>10</v>
      </c>
      <c r="I2393" s="21" t="inlineStr">
        <is>
          <t>ID постачальника збігся, але назви різні</t>
        </is>
      </c>
    </row>
    <row r="2394">
      <c r="A2394" s="22" t="n">
        <v>22.2</v>
      </c>
      <c r="B2394" s="22" t="inlineStr">
        <is>
          <t>Клуб Рослин</t>
        </is>
      </c>
      <c r="C2394" s="22" t="inlineStr">
        <is>
          <t>9043</t>
        </is>
      </c>
      <c r="D2394" s="22" t="inlineStr">
        <is>
          <t>9043</t>
        </is>
      </c>
      <c r="E2394" s="21" t="inlineStr">
        <is>
          <t>Регулятор кислотності Носферату Регул - Еко (NospHeratu Regul – Eco) 5 л Вітера Atlantica Іспанія</t>
        </is>
      </c>
      <c r="F2394" s="21" t="inlineStr">
        <is>
          <t>Держак Fiskars QuikFit 136012 малий</t>
        </is>
      </c>
      <c r="G2394" s="23" t="n">
        <v>2328</v>
      </c>
      <c r="H2394" s="23" t="n">
        <v>138</v>
      </c>
      <c r="I2394" s="21" t="inlineStr">
        <is>
          <t>ID постачальника збігся, але різні бренди</t>
        </is>
      </c>
    </row>
    <row r="2395">
      <c r="A2395" s="22" t="n">
        <v>22.2</v>
      </c>
      <c r="B2395" s="22" t="inlineStr">
        <is>
          <t>Клуб Рослин</t>
        </is>
      </c>
      <c r="C2395" s="22" t="inlineStr">
        <is>
          <t>7838</t>
        </is>
      </c>
      <c r="D2395" s="22" t="inlineStr">
        <is>
          <t>7838</t>
        </is>
      </c>
      <c r="E2395" s="21" t="inlineStr">
        <is>
          <t>Добриво Неовіт Фотоактив / Neovit Fotoactive 1 л Bioera Іспанія</t>
        </is>
      </c>
      <c r="F2395" s="21" t="inlineStr">
        <is>
          <t>Туя західна (ий) Смарагд K19 C35 / H120-140</t>
        </is>
      </c>
      <c r="G2395" s="23" t="n">
        <v>1456</v>
      </c>
      <c r="H2395" s="23" t="n">
        <v>420</v>
      </c>
      <c r="I2395" s="21" t="inlineStr">
        <is>
          <t>ID постачальника збігся, але назви різні</t>
        </is>
      </c>
    </row>
    <row r="2396">
      <c r="A2396" s="22" t="n">
        <v>22.2</v>
      </c>
      <c r="B2396" s="22" t="inlineStr">
        <is>
          <t>Клуб Рослин</t>
        </is>
      </c>
      <c r="C2396" s="22" t="inlineStr">
        <is>
          <t>7776</t>
        </is>
      </c>
      <c r="D2396" s="22" t="inlineStr">
        <is>
          <t>7776</t>
        </is>
      </c>
      <c r="E2396" s="21" t="inlineStr">
        <is>
          <t>Добриво Ікар Біго Лівз З (Зимовий) / Ikar Bigo Leaves W 1 л Литва</t>
        </is>
      </c>
      <c r="F2396" s="21" t="inlineStr">
        <is>
          <t>Туя західна (ий) Мірьям ® PC18 C3</t>
        </is>
      </c>
      <c r="G2396" s="23" t="n">
        <v>960</v>
      </c>
      <c r="H2396" s="23" t="n">
        <v>218</v>
      </c>
      <c r="I2396" s="21" t="inlineStr">
        <is>
          <t>ID постачальника збігся, але назви різні</t>
        </is>
      </c>
    </row>
    <row r="2397">
      <c r="A2397" s="22" t="n">
        <v>22.2</v>
      </c>
      <c r="B2397" s="22" t="inlineStr">
        <is>
          <t>Клуб Рослин</t>
        </is>
      </c>
      <c r="C2397" s="22" t="inlineStr">
        <is>
          <t>7714</t>
        </is>
      </c>
      <c r="D2397" s="22" t="inlineStr">
        <is>
          <t>7714</t>
        </is>
      </c>
      <c r="E2397" s="21" t="inlineStr">
        <is>
          <t>Регулятор росту Ферті Рут / Ferti Root 1 л Кіссон Україна</t>
        </is>
      </c>
      <c r="F2397" s="21" t="inlineStr">
        <is>
          <t>Туя західна (ий) Даніка PC21 C3 / L20-30</t>
        </is>
      </c>
      <c r="G2397" s="23" t="n">
        <v>810</v>
      </c>
      <c r="H2397" s="23" t="n">
        <v>196</v>
      </c>
      <c r="I2397" s="21" t="inlineStr">
        <is>
          <t>ID постачальника збігся, але назви різні</t>
        </is>
      </c>
    </row>
    <row r="2398">
      <c r="A2398" s="22" t="n">
        <v>22.2</v>
      </c>
      <c r="B2398" s="22" t="inlineStr">
        <is>
          <t>Клуб Рослин</t>
        </is>
      </c>
      <c r="C2398" s="22" t="inlineStr">
        <is>
          <t>7486</t>
        </is>
      </c>
      <c r="D2398" s="22" t="inlineStr">
        <is>
          <t>7486</t>
        </is>
      </c>
      <c r="E2398" s="21" t="inlineStr">
        <is>
          <t>Мікродобрива Оракул Колофермін Магнію 1 л Долина Україна</t>
        </is>
      </c>
      <c r="F2398" s="21" t="inlineStr">
        <is>
          <t>Тис ягідний (а) C80 / H125-150</t>
        </is>
      </c>
      <c r="G2398" s="23" t="n">
        <v>275</v>
      </c>
      <c r="H2398" s="23" t="n">
        <v>3960</v>
      </c>
      <c r="I2398" s="21" t="inlineStr">
        <is>
          <t>ID постачальника збігся, але назви різні</t>
        </is>
      </c>
    </row>
    <row r="2399">
      <c r="A2399" s="22" t="n">
        <v>22.2</v>
      </c>
      <c r="B2399" s="22" t="inlineStr">
        <is>
          <t>Клуб Рослин</t>
        </is>
      </c>
      <c r="C2399" s="22" t="inlineStr">
        <is>
          <t>1153</t>
        </is>
      </c>
      <c r="D2399" s="22" t="inlineStr">
        <is>
          <t>1153</t>
        </is>
      </c>
      <c r="E2399" s="21" t="inlineStr">
        <is>
          <t>Гербіцид Гренадер Максі ВГ 500 г Агрохімічні технології Україна</t>
        </is>
      </c>
      <c r="F2399" s="21" t="inlineStr">
        <is>
          <t>Калла Ред Алерт 14+</t>
        </is>
      </c>
      <c r="G2399" s="23" t="n"/>
      <c r="H2399" s="23" t="n">
        <v>50</v>
      </c>
      <c r="I2399" s="21" t="inlineStr">
        <is>
          <t>ID постачальника збігся, але назви різні</t>
        </is>
      </c>
    </row>
    <row r="2400">
      <c r="A2400" s="22" t="n">
        <v>22.1</v>
      </c>
      <c r="B2400" s="22" t="inlineStr">
        <is>
          <t>Клуб Рослин</t>
        </is>
      </c>
      <c r="C2400" s="22" t="inlineStr">
        <is>
          <t>7507</t>
        </is>
      </c>
      <c r="D2400" s="22" t="inlineStr">
        <is>
          <t>7507</t>
        </is>
      </c>
      <c r="E2400" s="21" t="inlineStr">
        <is>
          <t>Добриво YaraTera Krista MAG ЯраТера Кріста МАГ Нітрат магнію 25 кг Польща</t>
        </is>
      </c>
      <c r="F2400" s="21" t="inlineStr">
        <is>
          <t>Тис ягідний (а) Куб 100*100*50 C130</t>
        </is>
      </c>
      <c r="G2400" s="23" t="n">
        <v>1398</v>
      </c>
      <c r="H2400" s="23" t="n">
        <v>9936</v>
      </c>
      <c r="I2400" s="21" t="inlineStr">
        <is>
          <t>ID постачальника збігся, але назви різні</t>
        </is>
      </c>
    </row>
    <row r="2401">
      <c r="A2401" s="22" t="n">
        <v>22</v>
      </c>
      <c r="B2401" s="22" t="inlineStr">
        <is>
          <t>Клуб Рослин</t>
        </is>
      </c>
      <c r="C2401" s="22" t="inlineStr">
        <is>
          <t>8081</t>
        </is>
      </c>
      <c r="D2401" s="22" t="inlineStr">
        <is>
          <t>8081</t>
        </is>
      </c>
      <c r="E2401" s="21" t="inlineStr">
        <is>
          <t>Добриво Осмокот / Osmocote Topdress 22-5-6 (4-5 М) 25 кг ICL Нідерланди</t>
        </is>
      </c>
      <c r="F2401" s="21" t="inlineStr">
        <is>
          <t>Тюльпан тріумф Роналдо 11/12</t>
        </is>
      </c>
      <c r="G2401" s="23" t="n">
        <v>6641</v>
      </c>
      <c r="H2401" s="23" t="n">
        <v>10</v>
      </c>
      <c r="I2401" s="21" t="inlineStr">
        <is>
          <t>ID постачальника збігся, але назви різні</t>
        </is>
      </c>
    </row>
    <row r="2402">
      <c r="A2402" s="22" t="n">
        <v>22</v>
      </c>
      <c r="B2402" s="22" t="inlineStr">
        <is>
          <t>Клуб Рослин</t>
        </is>
      </c>
      <c r="C2402" s="22" t="inlineStr">
        <is>
          <t>7283</t>
        </is>
      </c>
      <c r="D2402" s="22" t="inlineStr">
        <is>
          <t>7283</t>
        </is>
      </c>
      <c r="E2402" s="21" t="inlineStr">
        <is>
          <t>Добриво Келькат Мікс ЕДТА / Kelkat Mix EDTA 5 кг Вітера Atlantica Agricola Іспанія</t>
        </is>
      </c>
      <c r="F2402" s="21" t="inlineStr">
        <is>
          <t>Троянда поліантова Румба DP G</t>
        </is>
      </c>
      <c r="G2402" s="23" t="n">
        <v>4666</v>
      </c>
      <c r="H2402" s="23" t="n">
        <v>60</v>
      </c>
      <c r="I2402" s="21" t="inlineStr">
        <is>
          <t>ID постачальника збігся, але різні бренди</t>
        </is>
      </c>
    </row>
    <row r="2403">
      <c r="A2403" s="22" t="n">
        <v>22</v>
      </c>
      <c r="B2403" s="22" t="inlineStr">
        <is>
          <t>Клуб Рослин</t>
        </is>
      </c>
      <c r="C2403" s="22" t="inlineStr">
        <is>
          <t>7768</t>
        </is>
      </c>
      <c r="D2403" s="22" t="inlineStr">
        <is>
          <t>7768</t>
        </is>
      </c>
      <c r="E2403" s="21" t="inlineStr">
        <is>
          <t>Біостимулятор Крузеро (Crucero) 5 л Вітера Atlantica Agricola Іспанія</t>
        </is>
      </c>
      <c r="F2403" s="21" t="inlineStr">
        <is>
          <t>Туя західна (ий) Мірьям ® C4</t>
        </is>
      </c>
      <c r="G2403" s="23" t="n">
        <v>4364</v>
      </c>
      <c r="H2403" s="23" t="n">
        <v>315</v>
      </c>
      <c r="I2403" s="21" t="inlineStr">
        <is>
          <t>ID постачальника збігся, але назви різні</t>
        </is>
      </c>
    </row>
    <row r="2404">
      <c r="A2404" s="22" t="n">
        <v>22</v>
      </c>
      <c r="B2404" s="22" t="inlineStr">
        <is>
          <t>Клуб Рослин</t>
        </is>
      </c>
      <c r="C2404" s="22" t="inlineStr">
        <is>
          <t>7778</t>
        </is>
      </c>
      <c r="D2404" s="22" t="inlineStr">
        <is>
          <t>7778</t>
        </is>
      </c>
      <c r="E2404" s="21" t="inlineStr">
        <is>
          <t>Добриво Фосто (Фосфор) / Fosto 5 л Ikar Литва</t>
        </is>
      </c>
      <c r="F2404" s="21" t="inlineStr">
        <is>
          <t>Туя західна (ий) Мірьям ® PC19 C5 / H15-20 / L20-25</t>
        </is>
      </c>
      <c r="G2404" s="23" t="n">
        <v>3948</v>
      </c>
      <c r="H2404" s="23" t="n">
        <v>384</v>
      </c>
      <c r="I2404" s="21" t="inlineStr">
        <is>
          <t>ID постачальника збігся, але назви різні</t>
        </is>
      </c>
    </row>
    <row r="2405">
      <c r="A2405" s="22" t="n">
        <v>22</v>
      </c>
      <c r="B2405" s="22" t="inlineStr">
        <is>
          <t>Клуб Рослин</t>
        </is>
      </c>
      <c r="C2405" s="22" t="inlineStr">
        <is>
          <t>8018</t>
        </is>
      </c>
      <c r="D2405" s="22" t="inlineStr">
        <is>
          <t>8018</t>
        </is>
      </c>
      <c r="E2405" s="21" t="inlineStr">
        <is>
          <t>Добриво Неовіт Боро / Neovit Boro 5 л Bioera Іспанія</t>
        </is>
      </c>
      <c r="F2405" s="21" t="inlineStr">
        <is>
          <t>Липа Штамб G+C100 / o20-25 / Pa180-190</t>
        </is>
      </c>
      <c r="G2405" s="23" t="n">
        <v>3898</v>
      </c>
      <c r="H2405" s="23" t="n">
        <v>11505</v>
      </c>
      <c r="I2405" s="21" t="inlineStr">
        <is>
          <t>ID постачальника збігся, але назви різні</t>
        </is>
      </c>
    </row>
    <row r="2406">
      <c r="A2406" s="22" t="n">
        <v>22</v>
      </c>
      <c r="B2406" s="22" t="inlineStr">
        <is>
          <t>Клуб Рослин</t>
        </is>
      </c>
      <c r="C2406" s="22" t="inlineStr">
        <is>
          <t>7790</t>
        </is>
      </c>
      <c r="D2406" s="22" t="inlineStr">
        <is>
          <t>7790</t>
        </is>
      </c>
      <c r="E2406" s="21" t="inlineStr">
        <is>
          <t>Добриво Ікар Менделєніум / Ikar Mendelenium 5 л Литва</t>
        </is>
      </c>
      <c r="F2406" s="21" t="inlineStr">
        <is>
          <t>Туя західна (ий) Смарагд C2 / H30-40</t>
        </is>
      </c>
      <c r="G2406" s="23" t="n">
        <v>3489</v>
      </c>
      <c r="H2406" s="23" t="n">
        <v>151</v>
      </c>
      <c r="I2406" s="21" t="inlineStr">
        <is>
          <t>ID постачальника збігся, але назви різні</t>
        </is>
      </c>
    </row>
    <row r="2407">
      <c r="A2407" s="22" t="n">
        <v>22</v>
      </c>
      <c r="B2407" s="22" t="inlineStr">
        <is>
          <t>Клуб Рослин</t>
        </is>
      </c>
      <c r="C2407" s="22" t="inlineStr">
        <is>
          <t>7430</t>
        </is>
      </c>
      <c r="D2407" s="22" t="inlineStr">
        <is>
          <t>7430</t>
        </is>
      </c>
      <c r="E2407" s="21" t="inlineStr">
        <is>
          <t>Добриво GroGreen Гель Блек Меджик 1 кг Lima Бельгія</t>
        </is>
      </c>
      <c r="F2407" s="21" t="inlineStr">
        <is>
          <t>Бузок звичайний Штамб C45 / Pa120</t>
        </is>
      </c>
      <c r="G2407" s="23" t="n">
        <v>1014</v>
      </c>
      <c r="H2407" s="23" t="n">
        <v>666</v>
      </c>
      <c r="I2407" s="21" t="inlineStr">
        <is>
          <t>ID постачальника збігся, але назви різні</t>
        </is>
      </c>
    </row>
    <row r="2408">
      <c r="A2408" s="22" t="n">
        <v>22</v>
      </c>
      <c r="B2408" s="22" t="inlineStr">
        <is>
          <t>Клуб Рослин</t>
        </is>
      </c>
      <c r="C2408" s="22" t="inlineStr">
        <is>
          <t>7775</t>
        </is>
      </c>
      <c r="D2408" s="22" t="inlineStr">
        <is>
          <t>7775</t>
        </is>
      </c>
      <c r="E2408" s="21" t="inlineStr">
        <is>
          <t>Добриво Ікар Біго Лівз В (Весняний) / Ikar Bigo Leaves S 1 л Литва</t>
        </is>
      </c>
      <c r="F2408" s="21" t="inlineStr">
        <is>
          <t>Туя західна (ий) Мірьям ® PC17 C3</t>
        </is>
      </c>
      <c r="G2408" s="23" t="n">
        <v>954</v>
      </c>
      <c r="H2408" s="23" t="n">
        <v>130</v>
      </c>
      <c r="I2408" s="21" t="inlineStr">
        <is>
          <t>ID постачальника збігся, але назви різні</t>
        </is>
      </c>
    </row>
    <row r="2409">
      <c r="A2409" s="22" t="n">
        <v>21.9</v>
      </c>
      <c r="B2409" s="22" t="inlineStr">
        <is>
          <t>Клуб Рослин</t>
        </is>
      </c>
      <c r="C2409" s="22" t="inlineStr">
        <is>
          <t>2230</t>
        </is>
      </c>
      <c r="D2409" s="22" t="inlineStr">
        <is>
          <t>2230</t>
        </is>
      </c>
      <c r="E2409" s="21" t="inlineStr">
        <is>
          <t>Інсектицид Престо КС 5 л Дефенда / Defenda</t>
        </is>
      </c>
      <c r="F2409" s="21" t="inlineStr">
        <is>
          <t>Гортензія волотиста Лаймлайт C7,5</t>
        </is>
      </c>
      <c r="G2409" s="23" t="n">
        <v>3498</v>
      </c>
      <c r="H2409" s="23" t="n">
        <v>275</v>
      </c>
      <c r="I2409" s="21" t="inlineStr">
        <is>
          <t>ID постачальника збігся, але назви різні</t>
        </is>
      </c>
    </row>
    <row r="2410">
      <c r="A2410" s="22" t="n">
        <v>21.9</v>
      </c>
      <c r="B2410" s="22" t="inlineStr">
        <is>
          <t>Клуб Рослин</t>
        </is>
      </c>
      <c r="C2410" s="22" t="inlineStr">
        <is>
          <t>1149</t>
        </is>
      </c>
      <c r="D2410" s="22" t="inlineStr">
        <is>
          <t>1149</t>
        </is>
      </c>
      <c r="E2410" s="21" t="inlineStr">
        <is>
          <t>Гербіцид Геліос Максі 10 кг Агрохімічні Технології Україна</t>
        </is>
      </c>
      <c r="F2410" s="21" t="inlineStr">
        <is>
          <t>Калла Моцарт 14+</t>
        </is>
      </c>
      <c r="G2410" s="23" t="n">
        <v>3248</v>
      </c>
      <c r="H2410" s="23" t="n">
        <v>60</v>
      </c>
      <c r="I2410" s="21" t="inlineStr">
        <is>
          <t>ID постачальника збігся, але назви різні</t>
        </is>
      </c>
    </row>
    <row r="2411">
      <c r="A2411" s="22" t="n">
        <v>21.8</v>
      </c>
      <c r="B2411" s="22" t="inlineStr">
        <is>
          <t>Клуб Рослин</t>
        </is>
      </c>
      <c r="C2411" s="22" t="inlineStr">
        <is>
          <t>7038</t>
        </is>
      </c>
      <c r="D2411" s="22" t="inlineStr">
        <is>
          <t>7038</t>
        </is>
      </c>
      <c r="E2411" s="21" t="inlineStr">
        <is>
          <t>Добриво Брексіл Залізо Brexil Fe 1 кг Syngenta (Valagro) Італія</t>
        </is>
      </c>
      <c r="F2411" s="21" t="inlineStr">
        <is>
          <t>Рододендрон клейкий Зоммердуфт C10 / H60-80</t>
        </is>
      </c>
      <c r="G2411" s="23" t="n">
        <v>585</v>
      </c>
      <c r="H2411" s="23" t="n">
        <v>2153</v>
      </c>
      <c r="I2411" s="21" t="inlineStr">
        <is>
          <t>ID постачальника збігся, але назви різні</t>
        </is>
      </c>
    </row>
    <row r="2412">
      <c r="A2412" s="22" t="n">
        <v>21.7</v>
      </c>
      <c r="B2412" s="22" t="inlineStr">
        <is>
          <t>Клуб Рослин</t>
        </is>
      </c>
      <c r="C2412" s="22" t="inlineStr">
        <is>
          <t>7640</t>
        </is>
      </c>
      <c r="D2412" s="22" t="inlineStr">
        <is>
          <t>7640</t>
        </is>
      </c>
      <c r="E2412" s="21" t="inlineStr">
        <is>
          <t>Укорінювач Хризопон Rose 0.1% 10 кг Rhizopon B.V. Нідерланди</t>
        </is>
      </c>
      <c r="F2412" s="21" t="inlineStr">
        <is>
          <t>Тис середній Хілліі PC C3</t>
        </is>
      </c>
      <c r="G2412" s="23" t="n">
        <v>23585</v>
      </c>
      <c r="H2412" s="23" t="n">
        <v>276</v>
      </c>
      <c r="I2412" s="21" t="inlineStr">
        <is>
          <t>ID постачальника збігся, але різні бренди</t>
        </is>
      </c>
    </row>
    <row r="2413">
      <c r="A2413" s="22" t="n">
        <v>21.7</v>
      </c>
      <c r="B2413" s="22" t="inlineStr">
        <is>
          <t>Клуб Рослин</t>
        </is>
      </c>
      <c r="C2413" s="22" t="inlineStr">
        <is>
          <t>7291</t>
        </is>
      </c>
      <c r="D2413" s="22" t="inlineStr">
        <is>
          <t>7291</t>
        </is>
      </c>
      <c r="E2413" s="21" t="inlineStr">
        <is>
          <t>Добриво Вігортем-С / Vigortem-S 0.5 кг Meristem Мерістем Іспанія</t>
        </is>
      </c>
      <c r="F2413" s="21" t="inlineStr">
        <is>
          <t>Троянда Сі Фоам PC15 C1,2 / L30-40</t>
        </is>
      </c>
      <c r="G2413" s="23" t="n">
        <v>930</v>
      </c>
      <c r="H2413" s="23" t="n">
        <v>60</v>
      </c>
      <c r="I2413" s="21" t="inlineStr">
        <is>
          <t>ID постачальника збігся, але назви різні</t>
        </is>
      </c>
    </row>
    <row r="2414">
      <c r="A2414" s="22" t="n">
        <v>21.7</v>
      </c>
      <c r="B2414" s="22" t="inlineStr">
        <is>
          <t>Клуб Рослин</t>
        </is>
      </c>
      <c r="C2414" s="22" t="inlineStr">
        <is>
          <t>7814</t>
        </is>
      </c>
      <c r="D2414" s="22" t="inlineStr">
        <is>
          <t>7814</t>
        </is>
      </c>
      <c r="E2414" s="21" t="inlineStr">
        <is>
          <t>Добриво Неовіт Кальціо / Neovit Calcio 250 мл Bioera Іспанія</t>
        </is>
      </c>
      <c r="F2414" s="21" t="inlineStr">
        <is>
          <t>Туя західна (ий) Смарагд K G / H160-180</t>
        </is>
      </c>
      <c r="G2414" s="23" t="n">
        <v>380</v>
      </c>
      <c r="H2414" s="23" t="n">
        <v>900</v>
      </c>
      <c r="I2414" s="21" t="inlineStr">
        <is>
          <t>ID постачальника збігся, але назви різні</t>
        </is>
      </c>
    </row>
    <row r="2415">
      <c r="A2415" s="22" t="n">
        <v>21.5</v>
      </c>
      <c r="B2415" s="22" t="inlineStr">
        <is>
          <t>Клуб Рослин</t>
        </is>
      </c>
      <c r="C2415" s="22" t="inlineStr">
        <is>
          <t>9042</t>
        </is>
      </c>
      <c r="D2415" s="22" t="inlineStr">
        <is>
          <t>9042</t>
        </is>
      </c>
      <c r="E2415" s="21" t="inlineStr">
        <is>
          <t>Піногасник Супресор 1 л Укравіт Ukravit Україна</t>
        </is>
      </c>
      <c r="F2415" s="21" t="inlineStr">
        <is>
          <t>Держак Bellota М952 SB для грабель1200 мм, d=28 мм (Беллота)</t>
        </is>
      </c>
      <c r="G2415" s="23" t="n">
        <v>548</v>
      </c>
      <c r="H2415" s="23" t="n">
        <v>248</v>
      </c>
      <c r="I2415" s="21" t="inlineStr">
        <is>
          <t>ID постачальника збігся, але різні об'єми або розміри</t>
        </is>
      </c>
    </row>
    <row r="2416">
      <c r="A2416" s="22" t="n">
        <v>21.4</v>
      </c>
      <c r="B2416" s="22" t="inlineStr">
        <is>
          <t>Клуб Рослин</t>
        </is>
      </c>
      <c r="C2416" s="22" t="inlineStr">
        <is>
          <t>7963</t>
        </is>
      </c>
      <c r="D2416" s="22" t="inlineStr">
        <is>
          <t>7963</t>
        </is>
      </c>
      <c r="E2416" s="21" t="inlineStr">
        <is>
          <t>Добриво Текнокель Аміно Кальцій / Tecnokel Amino Ca 1 л AgriTecno Іспанія</t>
        </is>
      </c>
      <c r="F2416" s="21" t="inlineStr">
        <is>
          <t>Туя складчата Віпкорд D7,5 / H30-50</t>
        </is>
      </c>
      <c r="G2416" s="23" t="n">
        <v>578</v>
      </c>
      <c r="H2416" s="23" t="n">
        <v>655</v>
      </c>
      <c r="I2416" s="21" t="inlineStr">
        <is>
          <t>ID постачальника збігся, але назви різні</t>
        </is>
      </c>
    </row>
    <row r="2417">
      <c r="A2417" s="22" t="n">
        <v>21.2</v>
      </c>
      <c r="B2417" s="22" t="inlineStr">
        <is>
          <t>Клуб Рослин</t>
        </is>
      </c>
      <c r="C2417" s="22" t="inlineStr">
        <is>
          <t>4024</t>
        </is>
      </c>
      <c r="D2417" s="22" t="inlineStr">
        <is>
          <t>4024</t>
        </is>
      </c>
      <c r="E2417" s="21" t="inlineStr">
        <is>
          <t>Лімацид Слімекс Плюс / Slimex Plus 3 кг Overa Pest Solution Польща</t>
        </is>
      </c>
      <c r="F2417" s="21" t="inlineStr">
        <is>
          <t>Ялина звичайна Вінгліз Віпінг C20 / H80-100</t>
        </is>
      </c>
      <c r="G2417" s="23" t="n">
        <v>825</v>
      </c>
      <c r="H2417" s="23" t="n">
        <v>4200</v>
      </c>
      <c r="I2417" s="21" t="inlineStr">
        <is>
          <t>ID постачальника збігся, але назви різні</t>
        </is>
      </c>
    </row>
    <row r="2418">
      <c r="A2418" s="22" t="n">
        <v>21.2</v>
      </c>
      <c r="B2418" s="22" t="inlineStr">
        <is>
          <t>Клуб Рослин</t>
        </is>
      </c>
      <c r="C2418" s="22" t="inlineStr">
        <is>
          <t>7606</t>
        </is>
      </c>
      <c r="D2418" s="22" t="inlineStr">
        <is>
          <t>7606</t>
        </is>
      </c>
      <c r="E2418" s="21" t="inlineStr">
        <is>
          <t>Добриво GroGreen Гель Брасіка NPK 9-9-39+6.6MgO+54SO3+TE 200 г Lima Бельгія</t>
        </is>
      </c>
      <c r="F2418" s="21" t="inlineStr">
        <is>
          <t>Тис середній Хіксіі Бонсай C180 / H200-250</t>
        </is>
      </c>
      <c r="G2418" s="23" t="n">
        <v>250</v>
      </c>
      <c r="H2418" s="23" t="n">
        <v>57960</v>
      </c>
      <c r="I2418" s="21" t="inlineStr">
        <is>
          <t>ID постачальника збігся, але назви різні</t>
        </is>
      </c>
    </row>
    <row r="2419">
      <c r="A2419" s="22" t="n">
        <v>21.1</v>
      </c>
      <c r="B2419" s="22" t="inlineStr">
        <is>
          <t>Клуб Рослин</t>
        </is>
      </c>
      <c r="C2419" s="22" t="inlineStr">
        <is>
          <t>7002</t>
        </is>
      </c>
      <c r="D2419" s="22" t="inlineStr">
        <is>
          <t>7002</t>
        </is>
      </c>
      <c r="E2419" s="21" t="inlineStr">
        <is>
          <t>Добриво Мастер Маster 18+18+18+3 25 кг Syngenta (Valagro) Італія</t>
        </is>
      </c>
      <c r="F2419" s="21" t="inlineStr">
        <is>
          <t>Рододендрон гібридний Нова Зембла C3</t>
        </is>
      </c>
      <c r="G2419" s="23" t="n">
        <v>4875</v>
      </c>
      <c r="H2419" s="23" t="n">
        <v>300</v>
      </c>
      <c r="I2419" s="21" t="inlineStr">
        <is>
          <t>ID постачальника збігся, але назви різні</t>
        </is>
      </c>
    </row>
    <row r="2420">
      <c r="A2420" s="22" t="n">
        <v>21.1</v>
      </c>
      <c r="B2420" s="22" t="inlineStr">
        <is>
          <t>Клуб Рослин</t>
        </is>
      </c>
      <c r="C2420" s="22" t="inlineStr">
        <is>
          <t>7685</t>
        </is>
      </c>
      <c r="D2420" s="22" t="inlineStr">
        <is>
          <t>7685</t>
        </is>
      </c>
      <c r="E2420" s="21" t="inlineStr">
        <is>
          <t>Добриво Сульфат калію / Potassium Sulphate (SOLU K 52) 25 кг Salinen Austria AG Австрія</t>
        </is>
      </c>
      <c r="F2420" s="21" t="inlineStr">
        <is>
          <t>Туя західна (ий) Брабант PC22 C15</t>
        </is>
      </c>
      <c r="G2420" s="23" t="n">
        <v>1948</v>
      </c>
      <c r="H2420" s="23" t="n">
        <v>540</v>
      </c>
      <c r="I2420" s="21" t="inlineStr">
        <is>
          <t>ID постачальника збігся, але назви різні</t>
        </is>
      </c>
    </row>
    <row r="2421">
      <c r="A2421" s="22" t="n">
        <v>21.1</v>
      </c>
      <c r="B2421" s="22" t="inlineStr">
        <is>
          <t>Клуб Рослин</t>
        </is>
      </c>
      <c r="C2421" s="22" t="inlineStr">
        <is>
          <t>3137</t>
        </is>
      </c>
      <c r="D2421" s="22" t="inlineStr">
        <is>
          <t>3137</t>
        </is>
      </c>
      <c r="E2421" s="21" t="inlineStr">
        <is>
          <t>Фунгіцид Мерпан Платинум 1 кг Adama Адама Ізраїль</t>
        </is>
      </c>
      <c r="F2421" s="21" t="inlineStr">
        <is>
          <t>Бірючина звичайна GK / H80-100</t>
        </is>
      </c>
      <c r="G2421" s="23" t="n">
        <v>698</v>
      </c>
      <c r="H2421" s="23" t="n">
        <v>50</v>
      </c>
      <c r="I2421" s="21" t="inlineStr">
        <is>
          <t>ID постачальника збігся, але різні бренди</t>
        </is>
      </c>
    </row>
    <row r="2422">
      <c r="A2422" s="22" t="n">
        <v>20.9</v>
      </c>
      <c r="B2422" s="22" t="inlineStr">
        <is>
          <t>Клуб Рослин</t>
        </is>
      </c>
      <c r="C2422" s="22" t="inlineStr">
        <is>
          <t>3279</t>
        </is>
      </c>
      <c r="D2422" s="22" t="inlineStr">
        <is>
          <t>3279</t>
        </is>
      </c>
      <c r="E2422" s="21" t="inlineStr">
        <is>
          <t>Фунгіцид Процеб ВДГ 10 кг Sumi Agro Сумі Агро Японія</t>
        </is>
      </c>
      <c r="F2422" s="21" t="inlineStr">
        <is>
          <t>Жимолость блискуча Майгрюн PC21 C3</t>
        </is>
      </c>
      <c r="G2422" s="23" t="n">
        <v>4798</v>
      </c>
      <c r="H2422" s="23" t="n">
        <v>174</v>
      </c>
      <c r="I2422" s="21" t="inlineStr">
        <is>
          <t>ID постачальника збігся, але назви різні</t>
        </is>
      </c>
    </row>
    <row r="2423">
      <c r="A2423" s="22" t="n">
        <v>20.9</v>
      </c>
      <c r="B2423" s="22" t="inlineStr">
        <is>
          <t>Клуб Рослин</t>
        </is>
      </c>
      <c r="C2423" s="22" t="inlineStr">
        <is>
          <t>1102</t>
        </is>
      </c>
      <c r="D2423" s="22" t="inlineStr">
        <is>
          <t>1102</t>
        </is>
      </c>
      <c r="E2423" s="21" t="inlineStr">
        <is>
          <t>Гербіцид Пендіган 1 л Adama Адама Ізраїль</t>
        </is>
      </c>
      <c r="F2423" s="21" t="inlineStr">
        <is>
          <t>Самшит вічнозенений Куля PC19 C27,5 / H35-40 / L40</t>
        </is>
      </c>
      <c r="G2423" s="23" t="n">
        <v>598</v>
      </c>
      <c r="H2423" s="23" t="n">
        <v>1560</v>
      </c>
      <c r="I2423" s="21" t="inlineStr">
        <is>
          <t>ID постачальника збігся, але назви різні</t>
        </is>
      </c>
    </row>
    <row r="2424">
      <c r="A2424" s="22" t="n">
        <v>20.8</v>
      </c>
      <c r="B2424" s="22" t="inlineStr">
        <is>
          <t>Клуб Рослин</t>
        </is>
      </c>
      <c r="C2424" s="22" t="inlineStr">
        <is>
          <t>3295</t>
        </is>
      </c>
      <c r="D2424" s="22" t="inlineStr">
        <is>
          <t>3295</t>
        </is>
      </c>
      <c r="E2424" s="21" t="inlineStr">
        <is>
          <t>Фунгіцид Чемпіон ВГ 10 кг Nufarm Нуфарм Австралія мідьвмістний препарат</t>
        </is>
      </c>
      <c r="F2424" s="21" t="inlineStr">
        <is>
          <t>Жимолость східна Зойка C2</t>
        </is>
      </c>
      <c r="G2424" s="23" t="n">
        <v>6448</v>
      </c>
      <c r="H2424" s="23" t="n">
        <v>145</v>
      </c>
      <c r="I2424" s="21" t="inlineStr">
        <is>
          <t>ID постачальника збігся, але назви різні</t>
        </is>
      </c>
    </row>
    <row r="2425">
      <c r="A2425" s="22" t="n">
        <v>20.8</v>
      </c>
      <c r="B2425" s="22" t="inlineStr">
        <is>
          <t>Клуб Рослин</t>
        </is>
      </c>
      <c r="C2425" s="22" t="inlineStr">
        <is>
          <t>7300</t>
        </is>
      </c>
      <c r="D2425" s="22" t="inlineStr">
        <is>
          <t>7300</t>
        </is>
      </c>
      <c r="E2425" s="21" t="inlineStr">
        <is>
          <t>Біостимулятор Стімакс Плюс / Stimax Plus 1 л Meristem Мерістем Іспанія</t>
        </is>
      </c>
      <c r="F2425" s="21" t="inlineStr">
        <is>
          <t>Малина звичайна Зюгана BS GK</t>
        </is>
      </c>
      <c r="G2425" s="23" t="n">
        <v>1425</v>
      </c>
      <c r="H2425" s="23" t="n">
        <v>20</v>
      </c>
      <c r="I2425" s="21" t="inlineStr">
        <is>
          <t>ID постачальника збігся, але різні бренди</t>
        </is>
      </c>
    </row>
    <row r="2426">
      <c r="A2426" s="22" t="n">
        <v>20.8</v>
      </c>
      <c r="B2426" s="22" t="inlineStr">
        <is>
          <t>Клуб Рослин</t>
        </is>
      </c>
      <c r="C2426" s="22" t="inlineStr">
        <is>
          <t>9102</t>
        </is>
      </c>
      <c r="D2426" s="22" t="inlineStr">
        <is>
          <t>9102</t>
        </is>
      </c>
      <c r="E2426" s="21" t="inlineStr">
        <is>
          <t>Прилипач Дует-Ефект 10 л Кіссон Україна</t>
        </is>
      </c>
      <c r="F2426" s="21" t="inlineStr">
        <is>
          <t>Добриво Ekote Agriculture Hi N 26-05-11+3MgO (3 місяці), 25 кг</t>
        </is>
      </c>
      <c r="G2426" s="23" t="n">
        <v>773</v>
      </c>
      <c r="H2426" s="23" t="n">
        <v>3193</v>
      </c>
      <c r="I2426" s="21" t="inlineStr">
        <is>
          <t>ID постачальника збігся, але різні об'єми або розміри</t>
        </is>
      </c>
    </row>
    <row r="2427">
      <c r="A2427" s="22" t="n">
        <v>20.6</v>
      </c>
      <c r="B2427" s="22" t="inlineStr">
        <is>
          <t>Клуб Рослин</t>
        </is>
      </c>
      <c r="C2427" s="22" t="inlineStr">
        <is>
          <t>7298</t>
        </is>
      </c>
      <c r="D2427" s="22" t="inlineStr">
        <is>
          <t>7298</t>
        </is>
      </c>
      <c r="E2427" s="21" t="inlineStr">
        <is>
          <t>Біостимулятор Стімакс Фрут / Stimax Fruit 1 л Meristem Мерістем Іспанія</t>
        </is>
      </c>
      <c r="F2427" s="21" t="inlineStr">
        <is>
          <t>Малина звичайна Полька BS GK</t>
        </is>
      </c>
      <c r="G2427" s="23" t="n">
        <v>1425</v>
      </c>
      <c r="H2427" s="23" t="n">
        <v>20</v>
      </c>
      <c r="I2427" s="21" t="inlineStr">
        <is>
          <t>ID постачальника збігся, але різні бренди</t>
        </is>
      </c>
    </row>
    <row r="2428">
      <c r="A2428" s="22" t="n">
        <v>20.5</v>
      </c>
      <c r="B2428" s="22" t="inlineStr">
        <is>
          <t>Клуб Рослин</t>
        </is>
      </c>
      <c r="C2428" s="22" t="inlineStr">
        <is>
          <t>7077</t>
        </is>
      </c>
      <c r="D2428" s="22" t="inlineStr">
        <is>
          <t>7077</t>
        </is>
      </c>
      <c r="E2428" s="21" t="inlineStr">
        <is>
          <t>Біостимулятор росту Мегафол Megafol 10 л Syngenta (Valagro) Італія</t>
        </is>
      </c>
      <c r="F2428" s="21" t="inlineStr">
        <is>
          <t>Троянда Арка C80 / H175-200</t>
        </is>
      </c>
      <c r="G2428" s="23" t="n">
        <v>6598</v>
      </c>
      <c r="H2428" s="23" t="n">
        <v>10867</v>
      </c>
      <c r="I2428" s="21" t="inlineStr">
        <is>
          <t>ID постачальника збігся, але назви різні</t>
        </is>
      </c>
    </row>
    <row r="2429">
      <c r="A2429" s="22" t="n">
        <v>20.5</v>
      </c>
      <c r="B2429" s="22" t="inlineStr">
        <is>
          <t>Клуб Рослин</t>
        </is>
      </c>
      <c r="C2429" s="22" t="inlineStr">
        <is>
          <t>1105</t>
        </is>
      </c>
      <c r="D2429" s="22" t="inlineStr">
        <is>
          <t>1105</t>
        </is>
      </c>
      <c r="E2429" s="21" t="inlineStr">
        <is>
          <t>Гербіцид Датоніт Голд 5 л Ukravit Укравіт Україна</t>
        </is>
      </c>
      <c r="F2429" s="21" t="inlineStr">
        <is>
          <t>Самшит вічнозенений C10 / H20-25</t>
        </is>
      </c>
      <c r="G2429" s="23" t="n">
        <v>2600</v>
      </c>
      <c r="H2429" s="23" t="n">
        <v>414</v>
      </c>
      <c r="I2429" s="21" t="inlineStr">
        <is>
          <t>ID постачальника збігся, але назви різні</t>
        </is>
      </c>
    </row>
    <row r="2430">
      <c r="A2430" s="22" t="n">
        <v>20.5</v>
      </c>
      <c r="B2430" s="22" t="inlineStr">
        <is>
          <t>Клуб Рослин</t>
        </is>
      </c>
      <c r="C2430" s="22" t="inlineStr">
        <is>
          <t>7411</t>
        </is>
      </c>
      <c r="D2430" s="22" t="inlineStr">
        <is>
          <t>7411</t>
        </is>
      </c>
      <c r="E2430" s="21" t="inlineStr">
        <is>
          <t>Добриво GroGreen Гроліф NPK 0-40-40 + TE + QPS45 1 кг Lima Бельгія</t>
        </is>
      </c>
      <c r="F2430" s="21" t="inlineStr">
        <is>
          <t>Бузок звичайний K20 C65 / Pa80</t>
        </is>
      </c>
      <c r="G2430" s="23" t="n">
        <v>487</v>
      </c>
      <c r="H2430" s="23" t="n">
        <v>552</v>
      </c>
      <c r="I2430" s="21" t="inlineStr">
        <is>
          <t>ID постачальника збігся, але назви різні</t>
        </is>
      </c>
    </row>
    <row r="2431">
      <c r="A2431" s="22" t="n">
        <v>20.3</v>
      </c>
      <c r="B2431" s="22" t="inlineStr">
        <is>
          <t>Клуб Рослин</t>
        </is>
      </c>
      <c r="C2431" s="22" t="inlineStr">
        <is>
          <t>7417</t>
        </is>
      </c>
      <c r="D2431" s="22" t="inlineStr">
        <is>
          <t>7417</t>
        </is>
      </c>
      <c r="E2431" s="21" t="inlineStr">
        <is>
          <t>Добриво GroGreen Гель P-K-S NPK 7-47-44+3.2CaO+13.7SO3+TE 5 кг Lima Бельгія</t>
        </is>
      </c>
      <c r="F2431" s="21" t="inlineStr">
        <is>
          <t>Бузок звичайний Красавіца Москви K16 G / H80-100</t>
        </is>
      </c>
      <c r="G2431" s="23" t="n">
        <v>3835</v>
      </c>
      <c r="H2431" s="23" t="n">
        <v>205</v>
      </c>
      <c r="I2431" s="21" t="inlineStr">
        <is>
          <t>ID постачальника збігся, але різні об'єми або розміри</t>
        </is>
      </c>
    </row>
    <row r="2432">
      <c r="A2432" s="22" t="n">
        <v>20.3</v>
      </c>
      <c r="B2432" s="22" t="inlineStr">
        <is>
          <t>Клуб Рослин</t>
        </is>
      </c>
      <c r="C2432" s="22" t="inlineStr">
        <is>
          <t>7421</t>
        </is>
      </c>
      <c r="D2432" s="22" t="inlineStr">
        <is>
          <t>7421</t>
        </is>
      </c>
      <c r="E2432" s="21" t="inlineStr">
        <is>
          <t>Добриво GroGreen Гель Брасіка NPK 9-9-39+6.6MgO+54SO3+TE 5 кг Lima Бельгія</t>
        </is>
      </c>
      <c r="F2432" s="21" t="inlineStr">
        <is>
          <t>Бузок звичайний Мадам Лемуан PC17 C10 / Pa80-100</t>
        </is>
      </c>
      <c r="G2432" s="23" t="n">
        <v>2327</v>
      </c>
      <c r="H2432" s="23" t="n">
        <v>549</v>
      </c>
      <c r="I2432" s="21" t="inlineStr">
        <is>
          <t>ID постачальника збігся, але назви різні</t>
        </is>
      </c>
    </row>
    <row r="2433">
      <c r="A2433" s="22" t="n">
        <v>20.2</v>
      </c>
      <c r="B2433" s="22" t="inlineStr">
        <is>
          <t>Клуб Рослин</t>
        </is>
      </c>
      <c r="C2433" s="22" t="inlineStr">
        <is>
          <t>7027</t>
        </is>
      </c>
      <c r="D2433" s="22" t="inlineStr">
        <is>
          <t>7027</t>
        </is>
      </c>
      <c r="E2433" s="21" t="inlineStr">
        <is>
          <t>Добриво Брексіл Мульти Brexil Multi 1 кг Syngenta (Valagro) Італія</t>
        </is>
      </c>
      <c r="F2433" s="21" t="inlineStr">
        <is>
          <t>Рододендрон західна (ий) Джок Бридон C80 / H80-100</t>
        </is>
      </c>
      <c r="G2433" s="23" t="n">
        <v>685</v>
      </c>
      <c r="H2433" s="23" t="n">
        <v>6293</v>
      </c>
      <c r="I2433" s="21" t="inlineStr">
        <is>
          <t>ID постачальника збігся, але назви різні</t>
        </is>
      </c>
    </row>
    <row r="2434">
      <c r="A2434" s="22" t="n">
        <v>20.2</v>
      </c>
      <c r="B2434" s="22" t="inlineStr">
        <is>
          <t>Клуб Рослин</t>
        </is>
      </c>
      <c r="C2434" s="22" t="inlineStr">
        <is>
          <t>2221</t>
        </is>
      </c>
      <c r="D2434" s="22" t="inlineStr">
        <is>
          <t>2221</t>
        </is>
      </c>
      <c r="E2434" s="21" t="inlineStr">
        <is>
          <t>Інсектицид МуравНЕТ 300 г Overa Pest Solution Польща</t>
        </is>
      </c>
      <c r="F2434" s="21" t="inlineStr">
        <is>
          <t>Гортензія волотиста Ільвобо Бобо ® C7,5</t>
        </is>
      </c>
      <c r="G2434" s="23" t="n">
        <v>298</v>
      </c>
      <c r="H2434" s="23" t="n">
        <v>366</v>
      </c>
      <c r="I2434" s="21" t="inlineStr">
        <is>
          <t>ID постачальника збігся, але назви різні</t>
        </is>
      </c>
    </row>
    <row r="2435">
      <c r="A2435" s="22" t="n">
        <v>20</v>
      </c>
      <c r="B2435" s="22" t="inlineStr">
        <is>
          <t>Клуб Рослин</t>
        </is>
      </c>
      <c r="C2435" s="22" t="inlineStr">
        <is>
          <t>1123</t>
        </is>
      </c>
      <c r="D2435" s="22" t="inlineStr">
        <is>
          <t>1123</t>
        </is>
      </c>
      <c r="E2435" s="21" t="inlineStr">
        <is>
          <t>Гербіцид Міладар Дуо 5 л Ukravit Укравіт Україна</t>
        </is>
      </c>
      <c r="F2435" s="21" t="inlineStr">
        <is>
          <t>Самшит вічнозенений G+C7,5 / H50-75</t>
        </is>
      </c>
      <c r="G2435" s="23" t="n">
        <v>3248</v>
      </c>
      <c r="H2435" s="23" t="n">
        <v>190</v>
      </c>
      <c r="I2435" s="21" t="inlineStr">
        <is>
          <t>ID постачальника збігся, але назви різні</t>
        </is>
      </c>
    </row>
    <row r="2436">
      <c r="A2436" s="22" t="n">
        <v>20</v>
      </c>
      <c r="B2436" s="22" t="inlineStr">
        <is>
          <t>Клуб Рослин</t>
        </is>
      </c>
      <c r="C2436" s="22" t="inlineStr">
        <is>
          <t>1-1000</t>
        </is>
      </c>
      <c r="D2436" s="22" t="inlineStr">
        <is>
          <t>11000</t>
        </is>
      </c>
      <c r="E2436" s="21" t="inlineStr">
        <is>
          <t>Садова замазка Lac Balsam / Лак Бальзам 1 кг Frunol Delicia GmbH Німеччина</t>
        </is>
      </c>
      <c r="F2436" s="21" t="inlineStr">
        <is>
          <t>Ножиці ARS 330HN-P для рукоділля рожеві</t>
        </is>
      </c>
      <c r="G2436" s="23" t="n">
        <v>1098</v>
      </c>
      <c r="H2436" s="23" t="n">
        <v>595</v>
      </c>
      <c r="I2436" s="21" t="inlineStr">
        <is>
          <t>ID постачальника збігся, але різні бренди</t>
        </is>
      </c>
    </row>
    <row r="2437">
      <c r="A2437" s="22" t="n">
        <v>20</v>
      </c>
      <c r="B2437" s="22" t="inlineStr">
        <is>
          <t>Клуб Рослин</t>
        </is>
      </c>
      <c r="C2437" s="22" t="inlineStr">
        <is>
          <t>7416</t>
        </is>
      </c>
      <c r="D2437" s="22" t="inlineStr">
        <is>
          <t>7416</t>
        </is>
      </c>
      <c r="E2437" s="21" t="inlineStr">
        <is>
          <t>Добриво GroGreen Гель P-K-S NPK 7-47-44+3.2CaO+13.7SO3+TE 1 кг Lima Бельгія</t>
        </is>
      </c>
      <c r="F2437" s="21" t="inlineStr">
        <is>
          <t>Бузок звичайний Красавіца Москви K15 C20 / H80-100</t>
        </is>
      </c>
      <c r="G2437" s="23" t="n">
        <v>936</v>
      </c>
      <c r="H2437" s="23" t="n">
        <v>460</v>
      </c>
      <c r="I2437" s="21" t="inlineStr">
        <is>
          <t>ID постачальника збігся, але різні коди виробника</t>
        </is>
      </c>
    </row>
    <row r="2438">
      <c r="A2438" s="22" t="n">
        <v>19.8</v>
      </c>
      <c r="B2438" s="22" t="inlineStr">
        <is>
          <t>Клуб Рослин</t>
        </is>
      </c>
      <c r="C2438" s="22" t="inlineStr">
        <is>
          <t>4028</t>
        </is>
      </c>
      <c r="D2438" s="22" t="inlineStr">
        <is>
          <t>4028</t>
        </is>
      </c>
      <c r="E2438" s="21" t="inlineStr">
        <is>
          <t>Лімацид Слімекс Плюс / Slimex Plus 25 кг Overa Pest Solution Польща</t>
        </is>
      </c>
      <c r="F2438" s="21" t="inlineStr">
        <is>
          <t>Ялина двоколірна C10 / H30-40</t>
        </is>
      </c>
      <c r="G2438" s="23" t="n">
        <v>5748</v>
      </c>
      <c r="H2438" s="23" t="n">
        <v>2318</v>
      </c>
      <c r="I2438" s="21" t="inlineStr">
        <is>
          <t>ID постачальника збігся, але назви різні</t>
        </is>
      </c>
    </row>
    <row r="2439">
      <c r="A2439" s="22" t="n">
        <v>19.8</v>
      </c>
      <c r="B2439" s="22" t="inlineStr">
        <is>
          <t>Клуб Рослин</t>
        </is>
      </c>
      <c r="C2439" s="22" t="inlineStr">
        <is>
          <t>4008</t>
        </is>
      </c>
      <c r="D2439" s="22" t="inlineStr">
        <is>
          <t>4008</t>
        </is>
      </c>
      <c r="E2439" s="21" t="inlineStr">
        <is>
          <t>Лімацид Слімекс Плюс / Slimex Plus 5 кг Overa Pest Solution Польща</t>
        </is>
      </c>
      <c r="F2439" s="21" t="inlineStr">
        <is>
          <t>Ялина звичайна Віллс Цверг C7,5 / H30-40</t>
        </is>
      </c>
      <c r="G2439" s="23" t="n">
        <v>1350</v>
      </c>
      <c r="H2439" s="23" t="n">
        <v>1325</v>
      </c>
      <c r="I2439" s="21" t="inlineStr">
        <is>
          <t>ID постачальника збігся, але назви різні</t>
        </is>
      </c>
    </row>
    <row r="2440">
      <c r="A2440" s="22" t="n">
        <v>19.6</v>
      </c>
      <c r="B2440" s="22" t="inlineStr">
        <is>
          <t>Клуб Рослин</t>
        </is>
      </c>
      <c r="C2440" s="22" t="inlineStr">
        <is>
          <t>8029</t>
        </is>
      </c>
      <c r="D2440" s="22" t="inlineStr">
        <is>
          <t>8029</t>
        </is>
      </c>
      <c r="E2440" s="21" t="inlineStr">
        <is>
          <t>Стимулятор росту Ізабіон 1 л ( розлив) Syngenta Сингента Швейцарія</t>
        </is>
      </c>
      <c r="F2440" s="21" t="inlineStr">
        <is>
          <t>Тсуга канадська K C65 / H180-200</t>
        </is>
      </c>
      <c r="G2440" s="23" t="n">
        <v>998</v>
      </c>
      <c r="H2440" s="23" t="n">
        <v>2318</v>
      </c>
      <c r="I2440" s="21" t="inlineStr">
        <is>
          <t>ID постачальника збігся, але назви різні</t>
        </is>
      </c>
    </row>
    <row r="2441">
      <c r="A2441" s="22" t="n">
        <v>19.4</v>
      </c>
      <c r="B2441" s="22" t="inlineStr">
        <is>
          <t>Клуб Рослин</t>
        </is>
      </c>
      <c r="C2441" s="22" t="inlineStr">
        <is>
          <t>9100</t>
        </is>
      </c>
      <c r="D2441" s="22" t="inlineStr">
        <is>
          <t>9100</t>
        </is>
      </c>
      <c r="E2441" s="21" t="inlineStr">
        <is>
          <t>Прилипач Магніт 10 л Кіссон Україна</t>
        </is>
      </c>
      <c r="F2441" s="21" t="inlineStr">
        <is>
          <t>Добриво Ekote Agriculture Coated N 42-00-00 (5-6 місяців), 20 кг</t>
        </is>
      </c>
      <c r="G2441" s="23" t="n">
        <v>1872</v>
      </c>
      <c r="H2441" s="23" t="n">
        <v>3499</v>
      </c>
      <c r="I2441" s="21" t="inlineStr">
        <is>
          <t>ID постачальника збігся, але різні об'єми або розміри</t>
        </is>
      </c>
    </row>
    <row r="2442">
      <c r="A2442" s="22" t="n">
        <v>19.2</v>
      </c>
      <c r="B2442" s="22" t="inlineStr">
        <is>
          <t>Клуб Рослин</t>
        </is>
      </c>
      <c r="C2442" s="22" t="inlineStr">
        <is>
          <t>1108</t>
        </is>
      </c>
      <c r="D2442" s="22" t="inlineStr">
        <is>
          <t>1108</t>
        </is>
      </c>
      <c r="E2442" s="21" t="inlineStr">
        <is>
          <t>Гербіцид Міладар 5 л Ukravit Укравіт Україна</t>
        </is>
      </c>
      <c r="F2442" s="21" t="inlineStr">
        <is>
          <t>Самшит вічнозенений C180 / H130</t>
        </is>
      </c>
      <c r="G2442" s="23" t="n">
        <v>1325</v>
      </c>
      <c r="H2442" s="23" t="n">
        <v>4830</v>
      </c>
      <c r="I2442" s="21" t="inlineStr">
        <is>
          <t>ID постачальника збігся, але назви різні</t>
        </is>
      </c>
    </row>
    <row r="2443">
      <c r="A2443" s="22" t="n">
        <v>19</v>
      </c>
      <c r="B2443" s="22" t="inlineStr">
        <is>
          <t>Клуб Рослин</t>
        </is>
      </c>
      <c r="C2443" s="22" t="inlineStr">
        <is>
          <t>7432</t>
        </is>
      </c>
      <c r="D2443" s="22" t="inlineStr">
        <is>
          <t>7432</t>
        </is>
      </c>
      <c r="E2443" s="21" t="inlineStr">
        <is>
          <t>Добриво GroGreen Gel Pro-Algin / ГроГрін Гель Про-Алгін 1 кг Lima Бельгія</t>
        </is>
      </c>
      <c r="F2443" s="21" t="inlineStr">
        <is>
          <t>Бузок звичайний Штамб K19 C60 / Pa120</t>
        </is>
      </c>
      <c r="G2443" s="23" t="n">
        <v>1182</v>
      </c>
      <c r="H2443" s="23" t="n">
        <v>666</v>
      </c>
      <c r="I2443" s="21" t="inlineStr">
        <is>
          <t>ID постачальника збігся, але назви різні</t>
        </is>
      </c>
    </row>
    <row r="2444">
      <c r="A2444" s="22" t="n">
        <v>18.2</v>
      </c>
      <c r="B2444" s="22" t="inlineStr">
        <is>
          <t>Клуб Рослин</t>
        </is>
      </c>
      <c r="C2444" s="22" t="inlineStr">
        <is>
          <t>7412</t>
        </is>
      </c>
      <c r="D2444" s="22" t="inlineStr">
        <is>
          <t>7412</t>
        </is>
      </c>
      <c r="E2444" s="21" t="inlineStr">
        <is>
          <t>Добриво GroGreen Гель Вегетатив NPK 27-27-27+3MgO+TE 1 кг Lima Бельгія</t>
        </is>
      </c>
      <c r="F2444" s="21" t="inlineStr">
        <is>
          <t>Бузок звичайний K20 C80 / H140-160</t>
        </is>
      </c>
      <c r="G2444" s="23" t="n">
        <v>680</v>
      </c>
      <c r="H2444" s="23" t="n">
        <v>1246</v>
      </c>
      <c r="I2444" s="21" t="inlineStr">
        <is>
          <t>ID постачальника збігся, але різні коди виробника</t>
        </is>
      </c>
    </row>
    <row r="2445">
      <c r="A2445" s="22" t="n">
        <v>17.6</v>
      </c>
      <c r="B2445" s="22" t="inlineStr">
        <is>
          <t>Клуб Рослин</t>
        </is>
      </c>
      <c r="C2445" s="22" t="inlineStr">
        <is>
          <t>9101</t>
        </is>
      </c>
      <c r="D2445" s="22" t="inlineStr">
        <is>
          <t>9101</t>
        </is>
      </c>
      <c r="E2445" s="21" t="inlineStr">
        <is>
          <t>Ад’ювант Сілівіт 1 л Кіссон Україна</t>
        </is>
      </c>
      <c r="F2445" s="21" t="inlineStr">
        <is>
          <t>Добриво Ekote Agriculture Coated N 43-00-00 (3-4 місяці), 20 кг</t>
        </is>
      </c>
      <c r="G2445" s="23" t="n">
        <v>732</v>
      </c>
      <c r="H2445" s="23" t="n">
        <v>3346</v>
      </c>
      <c r="I2445" s="21" t="inlineStr">
        <is>
          <t>ID постачальника збігся, але різні об'єми або розміри</t>
        </is>
      </c>
    </row>
    <row r="2446">
      <c r="A2446" s="22" t="n">
        <v>14.7</v>
      </c>
      <c r="B2446" s="22" t="inlineStr">
        <is>
          <t>Клуб Рослин</t>
        </is>
      </c>
      <c r="C2446" s="22" t="inlineStr">
        <is>
          <t>7079</t>
        </is>
      </c>
      <c r="D2446" s="22" t="inlineStr">
        <is>
          <t>7079</t>
        </is>
      </c>
      <c r="E2446" s="21" t="inlineStr">
        <is>
          <t>Біостимулятор Віва Viva 10 л Syngenta (Valagro) Італія</t>
        </is>
      </c>
      <c r="F2446" s="21" t="inlineStr">
        <is>
          <t>Троянда C2 / H20-30</t>
        </is>
      </c>
      <c r="G2446" s="23" t="n">
        <v>5225</v>
      </c>
      <c r="H2446" s="23" t="n">
        <v>203</v>
      </c>
      <c r="I2446" s="21" t="inlineStr">
        <is>
          <t>ID постачальника збігся, але назви різні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44" customWidth="1" min="3" max="3"/>
  </cols>
  <sheetData>
    <row r="1" ht="32" customHeight="1">
      <c r="A1" s="1" t="inlineStr">
        <is>
          <t>Показник</t>
        </is>
      </c>
      <c r="B1" s="1" t="inlineStr">
        <is>
          <t>Значення</t>
        </is>
      </c>
      <c r="C1" s="1" t="inlineStr">
        <is>
          <t>Пояснення</t>
        </is>
      </c>
    </row>
    <row r="2">
      <c r="A2" s="22" t="inlineStr">
        <is>
          <t>Звіт сформовано</t>
        </is>
      </c>
      <c r="B2" s="22" t="inlineStr">
        <is>
          <t>08.10.2026 13:58</t>
        </is>
      </c>
      <c r="C2" s="29" t="inlineStr"/>
    </row>
    <row r="3">
      <c r="A3" s="22" t="inlineStr">
        <is>
          <t>Спільних товарів</t>
        </is>
      </c>
      <c r="B3" s="22">
        <f>COUNTA('Порівняння'!A2:A526)</f>
        <v/>
      </c>
      <c r="C3" s="29" t="inlineStr"/>
    </row>
    <row r="4">
      <c r="A4" s="22" t="inlineStr">
        <is>
          <t>Потребують уваги</t>
        </is>
      </c>
      <c r="B4" s="22">
        <f>COUNTIF('Порівняння'!A2:A526,"Потребує уваги")</f>
        <v/>
      </c>
      <c r="C4" s="29" t="inlineStr">
        <is>
          <t>червоні рядки на аркуші «Порівняння»</t>
        </is>
      </c>
    </row>
    <row r="5">
      <c r="A5" s="22" t="inlineStr">
        <is>
          <t>Ваша ціна вища за орієнтир</t>
        </is>
      </c>
      <c r="B5" s="22">
        <f>COUNTIF('Порівняння'!A2:A526,"Ваша ціна вища")</f>
        <v/>
      </c>
      <c r="C5" s="29" t="inlineStr"/>
    </row>
    <row r="6">
      <c r="A6" s="22" t="inlineStr">
        <is>
          <t>В нормі</t>
        </is>
      </c>
      <c r="B6" s="22">
        <f>COUNTIF('Порівняння'!A2:A526,"В нормі")</f>
        <v/>
      </c>
      <c r="C6" s="29" t="inlineStr"/>
    </row>
    <row r="7">
      <c r="A7" s="22" t="inlineStr">
        <is>
          <t>Постачальник змінив ціну сьогодні</t>
        </is>
      </c>
      <c r="B7" s="22">
        <f>COUNT('Порівняння'!O2:O526)</f>
        <v/>
      </c>
      <c r="C7" s="29" t="inlineStr"/>
    </row>
    <row r="8">
      <c r="A8" s="22" t="inlineStr">
        <is>
          <t>Немає в наявності в жодного постачальника</t>
        </is>
      </c>
      <c r="B8" s="22" t="n">
        <v>95</v>
      </c>
      <c r="C8" s="29" t="inlineStr">
        <is>
          <t>товар продається, а купити ніде</t>
        </is>
      </c>
    </row>
    <row r="9">
      <c r="A9" s="22" t="inlineStr">
        <is>
          <t>Товарів у вашому фіді</t>
        </is>
      </c>
      <c r="B9" s="22" t="n">
        <v>3836</v>
      </c>
      <c r="C9" s="29" t="inlineStr"/>
    </row>
    <row r="10">
      <c r="A10" s="22" t="inlineStr">
        <is>
          <t>Товарів у «Водоспад»</t>
        </is>
      </c>
      <c r="B10" s="22" t="n">
        <v>7072</v>
      </c>
      <c r="C10" s="29" t="inlineStr"/>
    </row>
    <row r="11">
      <c r="A11" s="22" t="inlineStr">
        <is>
          <t>Товарів у «Клуб Рослин»</t>
        </is>
      </c>
      <c r="B11" s="22" t="n">
        <v>14183</v>
      </c>
      <c r="C11" s="29" t="inlineStr"/>
    </row>
    <row r="12">
      <c r="A12" s="22" t="inlineStr">
        <is>
          <t>Пар на перевірку</t>
        </is>
      </c>
      <c r="B12" s="22" t="n">
        <v>2444</v>
      </c>
      <c r="C12" s="29" t="inlineStr">
        <is>
          <t>аркуш «Пари на перевірку»</t>
        </is>
      </c>
    </row>
    <row r="13">
      <c r="A13" s="22" t="inlineStr">
        <is>
          <t>Як зіставлено</t>
        </is>
      </c>
      <c r="B13" s="22" t="inlineStr">
        <is>
          <t>код: 618, схожа назва: 35, назва: 5, модель: 16</t>
        </is>
      </c>
      <c r="C13" s="29" t="inlineStr"/>
    </row>
    <row r="14">
      <c r="A14" s="22" t="inlineStr"/>
      <c r="B14" s="22" t="inlineStr"/>
      <c r="C14" s="29" t="inlineStr"/>
    </row>
    <row r="15">
      <c r="A15" s="30" t="inlineStr">
        <is>
          <t>Пороги</t>
        </is>
      </c>
      <c r="B15" s="22" t="inlineStr"/>
      <c r="C15" s="29" t="inlineStr">
        <is>
          <t>значення з config.json у репозиторії</t>
        </is>
      </c>
    </row>
    <row r="16">
      <c r="A16" s="22" t="inlineStr">
        <is>
          <t>Допуск на округлення, грн</t>
        </is>
      </c>
      <c r="B16" s="22" t="n">
        <v>1</v>
      </c>
      <c r="C16" s="29" t="inlineStr">
        <is>
          <t>різниця в межах допуску не підсвічується</t>
        </is>
      </c>
    </row>
    <row r="17">
      <c r="A17" s="22" t="inlineStr">
        <is>
          <t>Мінімальна націнка до ціни постачальника, %</t>
        </is>
      </c>
      <c r="B17" s="22" t="n">
        <v>0</v>
      </c>
      <c r="C17" s="29" t="inlineStr">
        <is>
          <t>нижче цього рядок червоний</t>
        </is>
      </c>
    </row>
    <row r="18">
      <c r="A18" s="22" t="inlineStr">
        <is>
          <t>Максимальна націнка до ціни постачальника, %</t>
        </is>
      </c>
      <c r="B18" s="22" t="n">
        <v>0</v>
      </c>
      <c r="C18" s="29" t="inlineStr">
        <is>
          <t>вище цього рядок помаранчевий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2026-10-08T11:16:41Z</dcterms:created>
  <dcterms:modified xmlns:dcterms="http://purl.org/dc/terms/" xmlns:xsi="http://www.w3.org/2001/XMLSchema-instance" xsi:type="dcterms:W3CDTF">2026-10-08T11:16:41Z</dcterms:modified>
</cp:coreProperties>
</file>